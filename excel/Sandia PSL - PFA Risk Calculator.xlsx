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jdelke\Code\SuncalPublic-PagesBranch\excel\"/>
    </mc:Choice>
  </mc:AlternateContent>
  <xr:revisionPtr revIDLastSave="0" documentId="13_ncr:1_{F5F2CFEB-4D28-433E-B107-666849F8143B}" xr6:coauthVersionLast="47" xr6:coauthVersionMax="47" xr10:uidLastSave="{00000000-0000-0000-0000-000000000000}"/>
  <bookViews>
    <workbookView xWindow="180" yWindow="75" windowWidth="28800" windowHeight="20010" tabRatio="794" xr2:uid="{F87F62C1-8FCD-4A14-820F-6333CE03117A}"/>
  </bookViews>
  <sheets>
    <sheet name="Instructions" sheetId="9" r:id="rId1"/>
    <sheet name="Risk Calculator - Normal" sheetId="4" r:id="rId2"/>
    <sheet name="Risk Calculator - Gamma" sheetId="5" r:id="rId3"/>
    <sheet name="Specific Risk" sheetId="6" r:id="rId4"/>
    <sheet name="Guardband Calculator" sheetId="7" r:id="rId5"/>
    <sheet name="Risk Curves" sheetId="8" r:id="rId6"/>
    <sheet name="Cost Model" sheetId="3" r:id="rId7"/>
    <sheet name="Lookups" sheetId="2" state="hidden" r:id="rId8"/>
  </sheets>
  <definedNames>
    <definedName name="BIVARIATE_NORMCDF">_xlfn.LAMBDA(_xlpm.p,_xlpm.q,_xlpm.rho,     _xlfn.LET(         _xlpm.cx, -1.0950081470333,         _xlpm.cy, -0.75651138383854,         _xlpm.d, SQRT(1-_xlpm.rho^2),         _xlpm.a, -_xlpm.rho/_xlpm.d,         _xlpm.b, _xlpm.p/_xlpm.d,         _xlpm.aqplusb, _xlpm.a*_xlpm.q + _xlpm.b,         _xlpm.z, 1-_xlpm.a^2*_xlpm.cy,         _xlpm.sqrtz, SQRT(_xlpm.z),         _xlpm.sqrt2, SQRT(2),         IF(_xlpm.a&gt;=0, "A&gt;0",              IF(_xlpm.aqplusb&gt;=0,                  0.5 + 0.5 * ERF(_xlpm.q/_xlpm.sqrt2)                 - 1/(4*_xlpm.sqrtz) * EXP((_xlpm.a^2*_xlpm.cx^2+2*_xlpm.sqrt2*_xlpm.b*_xlpm.cx+2*_xlpm.b^2*_xlpm.cy)/(4*_xlpm.z))                 * (1 + ERF((_xlpm.sqrt2*_xlpm.q - _xlpm.sqrt2*_xlpm.a^2*_xlpm.cy*_xlpm.q - _xlpm.sqrt2*_xlpm.a*_xlpm.b*_xlpm.cy - _xlpm.a*_xlpm.cx)/(2*_xlpm.sqrtz))),                  0.5 - 0.5 * ERF(_xlpm.b/(_xlpm.sqrt2*_xlpm.a))                 - 1/(4*_xlpm.sqrtz) * EXP((_xlpm.a^2*_xlpm.cx^2+2*_xlpm.sqrt2*_xlpm.b*_xlpm.cx+2*_xlpm.b^2*_xlpm.cy)/(4*_xlpm.z))                 * (1 - ERF((_xlpm.sqrt2*_xlpm.b + _xlpm.a^2*_xlpm.cx)/(2*_xlpm.a*_xlpm.sqrtz)))                 + 1/(4*_xlpm.sqrtz) * EXP((_xlpm.a^2*_xlpm.cx^2-2*_xlpm.sqrt2*_xlpm.b*_xlpm.cx+2*_xlpm.b^2*_xlpm.cy)/(4*_xlpm.z))                     * (ERF((_xlpm.sqrt2*_xlpm.q-_xlpm.sqrt2*_xlpm.a^2*_xlpm.cy*_xlpm.q - _xlpm.sqrt2*_xlpm.a*_xlpm.b*_xlpm.cy + _xlpm.a*_xlpm.cx)/(2*_xlpm.sqrtz))                 + ERF((-(_xlpm.a^2)*_xlpm.cx + _xlpm.sqrt2*_xlpm.b)/(2*_xlpm.a*_xlpm.sqrtz)))             )         )     ) )</definedName>
    <definedName name="GB_WIDTH">_xlfn.LAMBDA(_xlpm.gbmethod,_xlpm.turval,_xlpm.tl,_xlpm.tu,_xlpm.nom,_xlpm.unc,_xlpm.psig,_xlpm.mpfa,     _xlfn.IFS(_xlpm.gbmethod="RDS", GBW_RDS(_xlpm.turval,_xlpm.unc,_xlpm.tl,_xlpm.tu),         _xlpm.gbmethod="PFA", GBW_TARGET(_xlpm.tl,_xlpm.tu,_xlpm.nom,_xlpm.unc/2,_xlpm.psig,_xlpm.mpfa)     ) )</definedName>
    <definedName name="GB_WIDTH_GAMMA" comment="Solve for guardband width with gamma distribution">_xlfn.LAMBDA(_xlpm.tu,_xlpm.alpha,_xlpm.beta,_xlpm.sigt,_xlpm.pfaval,     _xlfn.LET(_xlpm.func, _xlfn.LAMBDA(_xlpm.x, PFA_GAMMA(_xlpm.tu, _xlpm.tu-_xlpm.x, _xlpm.alpha, _xlpm.beta, _xlpm.sigt)),         L_SOLVE_NR(_xlpm.func, _xlpm.sigt/10, _xlpm.pfaval, _xlpm.sigt/100, _xlpm.sigt/5000, 25)     ) )</definedName>
    <definedName name="GBW_RDS">_xlfn.LAMBDA(_xlpm.tur,_xlpm.unc,_xlpm.tl,_xlpm.tu,         IF(ISNUMBER(_xlpm.tur),             IF(_xlpm.tur&gt;=1,                 _xlpm.unc*(_xlpm.tur*(1-(SQRT(1-1/_xlpm.tur^2)))),                 (_xlpm.tu-_xlpm.tl)/2             ),             _xlpm.unc         )     )</definedName>
    <definedName name="GBW_TARGET">_xlfn.LAMBDA(_xlpm.tl,_xlpm.tu,_xlpm.nom,_xlpm.sigt,_xlpm.sigp,_xlpm.pfaval,     _xlfn.IFS(AND(ISNUMBER(_xlpm.tl), ISNUMBER(_xlpm.tu)), _xlfn.LET(             _xlpm.func, _xlfn.LAMBDA(_xlpm.x, PFA(_xlpm.tl,_xlpm.tu,_xlpm.tl+_xlpm.x,_xlpm.tu-_xlpm.x,_xlpm.nom,_xlpm.sigt,_xlpm.sigp)),             L_SOLVE_NR(_xlpm.func, _xlpm.sigt/10, _xlpm.pfaval, _xlpm.sigt/100, _xlpm.sigt/5000, 25)         ),         ISNUMBER(_xlpm.tl), _xlfn.LET(             _xlpm.func, _xlfn.LAMBDA(_xlpm.x, PFA_ASYMMETRIC(NA(),_xlpm.tu,NA(),_xlpm.tu-_xlpm.x,_xlpm.nom,_xlpm.sigt,_xlpm.sigp)),             L_SOLVE_NR(_xlpm.func, _xlpm.sigt/10, _xlpm.pfaval, _xlpm.sigt/100, _xlpm.sigt/5000, 25)         ),         ISNUMBER(_xlpm.tu), _xlfn.LET(             _xlpm.func, _xlfn.LAMBDA(_xlpm.x, PFA_ASYMMETRIC(_xlpm.tl,NA(),_xlpm.tl+_xlpm.x,NA(),_xlpm.nom,_xlpm.sigt,_xlpm.sigp)),             L_SOLVE_NR(_xlpm.func, _xlpm.sigt/10, _xlpm.pfaval, _xlpm.sigt/100, _xlpm.sigt/5000, 25)         )     ) )</definedName>
    <definedName name="IS_SYMMETRIC">_xlfn.LAMBDA(_xlpm.tl,_xlpm.tu,_xlpm.al,_xlpm.au,_xlpm.nom,     _xlfn.IFS(ISERROR(_xlpm.tu-_xlpm.nom), FALSE,         ISERROR(_xlpm.nom-_xlpm.tl), FALSE,         ISERROR(_xlpm.au-_xlpm.nom), FALSE,         ISERROR(_xlpm.al-_xlpm.nom), FALSE,         ABS((_xlpm.tu-_xlpm.nom)-(_xlpm.nom-_xlpm.tl))&gt;0.000000001, FALSE,         ABS((_xlpm.al-_xlpm.nom)-(_xlpm.nom-_xlpm.al))&gt;0.000000001, FALSE,         TRUE, TRUE     ) )</definedName>
    <definedName name="L_SOLVE_NR">_xlfn.LAMBDA(_xlpm.function,_xlpm.xstart,_xlop.y,_xlop.xstep,_xlop.epsilon,_xlop.iterations,_xlop.info, _xlfn.LET(_xlpm.doc,"https://www.vertex42.com/lambda/newton-raphson.html",     _xlpm.version,"1.0.0",     _xlpm.n,ROWS(_xlpm.xstart),     _xlpm.y,IF(_xlfn.ISOMITTED(_xlpm.y),0,_xlpm.y),     _xlpm.xstep,IF(_xlfn.ISOMITTED(_xlpm.xstep),0.1,_xlpm.xstep),     _xlpm.epsilon,IF(_xlfn.ISOMITTED(_xlpm.epsilon),0.00000000000001,_xlpm.epsilon),     _xlpm.iterations,IF(_xlfn.ISOMITTED(_xlpm.iterations),20,_xlpm.iterations),     _xlpm.ret,_xlfn.REDUCE({"x","Fx","Iterations"},_xlfn.SEQUENCE(_xlpm.n),_xlfn.LAMBDA(_xlpm.acc_row,_xlpm.i,         _xlfn.VSTACK(_xlpm.acc_row,         _xlfn.REDUCE(             _xlfn.HSTACK(INDEX(_xlpm.xstart,_xlpm.i),_xlpm.function(INDEX(_xlpm.xstart,_xlpm.i))-_xlpm.y,0),             _xlfn.SEQUENCE(_xlpm.iterations),             _xlfn.LAMBDA(_xlpm.acc,_xlpm.k,             _xlfn.LET(_xlpm.cur_row,_xlfn.TAKE(_xlpm.acc,-1),                 IF(ABS(INDEX(_xlpm.cur_row,1,2))&lt;ABS(_xlpm.epsilon),_xlpm.acc,                     _xlfn.LET(                         _xlpm.xn,INDEX(_xlpm.cur_row,1,1),                         _xlpm.fn,INDEX(_xlpm.cur_row,1,2),                         _xlpm.fprimen,(_xlpm.function(_xlpm.xn+_xlpm.xstep)-_xlpm.y-_xlpm.fn)/_xlpm.xstep,                         _xlpm.xnew,_xlpm.xn-_xlpm.fn/_xlpm.fprimen,                         _xlpm.fnew,_xlpm.function(_xlpm.xnew)-_xlpm.y,                         _xlpm.new_row,_xlfn.HSTACK(_xlpm.xnew,_xlpm.fnew,_xlpm.k),                         _xlpm.output,IF(_xlpm.info="verbose",_xlfn.VSTACK(_xlpm.acc,_xlpm.new_row),_xlpm.new_row),                         _xlpm.output                     )                 )             ))         ))     )),     IF(OR(_xlpm.info=TRUE,_xlpm.info="verbose"),_xlpm.ret,_xlfn.DROP(_xlpm.ret,1,-2)) ))</definedName>
    <definedName name="LINSPACE">_xlfn.LAMBDA(_xlpm.start,_xlpm.end,_xlpm.n, _xlfn.LET(_xlpm.doc,"https://www.vertex42.com/lambda/linspace.html",     _xlfn.SEQUENCE(_xlpm.n,1,_xlpm.start,(_xlpm.end-_xlpm.start)/(_xlpm.n-1)) ))</definedName>
    <definedName name="PFA">_xlfn.LAMBDA(_xlpm.tl,_xlpm.tu,_xlpm.al,_xlpm.au,_xlpm.nom,_xlpm.sigt,_xlpm.sigp,     IF(IS_SYMMETRIC(_xlpm.tl,_xlpm.tu,_xlpm.al,_xlpm.au,_xlpm.nom), PFA_SYMMETRIC((_xlpm.tu-_xlpm.tl)/2, (_xlpm.au-_xlpm.al)/2, _xlpm.sigt, _xlpm.sigp),        PFA_ASYMMETRIC(_xlpm.tl, _xlpm.tu, _xlpm.al, _xlpm.au, _xlpm.nom, _xlpm.sigt, _xlpm.sigp)     ) )</definedName>
    <definedName name="PFA_ASYMMETRIC">_xlfn.LAMBDA(_xlpm.tl,_xlpm.tu,_xlpm.al,_xlpm.au,_xlpm.nom,_xlpm.sigt,_xlpm.sigp,     _xlfn.LET(_xlpm.sp, _xlpm.sigp,         _xlpm.st, SQRT(_xlpm.sigt^2 + _xlpm.sigp^2),         _xlpm.rho, SQRT(_xlpm.sigp^2 / (_xlpm.sigp^2+_xlpm.sigt^2)),         _xlpm.ttl, IF(ISNUMBER(_xlpm.tl), _xlpm.tl, -1E+99),         _xlpm.ttu, IF(ISNUMBER(_xlpm.tu), _xlpm.tu, 1E+99),         _xlpm.aal, IF(ISNUMBER(_xlpm.al), _xlpm.al, _xlpm.ttl),         _xlpm.aau, IF(ISNUMBER(_xlpm.au), _xlpm.au, _xlpm.ttu),         _xlpm.pfaleft, IF(ISNUMBER(_xlpm.ttl), BIVARIATE_NORMCDF((_xlpm.aau-_xlpm.nom)/_xlpm.st, (_xlpm.ttl-_xlpm.nom)/_xlpm.sp, _xlpm.rho) - BIVARIATE_NORMCDF((_xlpm.aal-_xlpm.nom)/_xlpm.st, (_xlpm.ttl-_xlpm.nom)/_xlpm.sp, _xlpm.rho), 0),         _xlpm.pfarght, IF(ISNUMBER(_xlpm.ttu), BIVARIATE_NORMCDF((-_xlpm.aal+_xlpm.nom)/_xlpm.st, (-_xlpm.ttu+_xlpm.nom)/_xlpm.sp, _xlpm.rho) - BIVARIATE_NORMCDF((-_xlpm.aau+_xlpm.nom)/_xlpm.st, (-_xlpm.ttu+_xlpm.nom)/_xlpm.sp, _xlpm.rho), 0),         _xlpm.pfaleft+_xlpm.pfarght     ) )</definedName>
    <definedName name="PFA_GAMMA" comment="PFA with gamma distribution of products and normal distribution test uncertainty.">_xlfn.LAMBDA(_xlpm.tlimit,_xlpm.alimit,_xlpm.alpha,_xlpm.beta,_xlpm.sigm,     _xlfn.LET(_xlpm.upperinf, _xlpm.alpha/_xlpm.beta + 6*SQRT(_xlpm.alpha)/_xlpm.beta,         TRAPZ(_xlpm.tlimit, _xlpm.upperinf, ABS(_xlpm.upperinf-_xlpm.tlimit)/500,             _xlfn.LAMBDA(_xlpm.x,                 (_xlfn.NORM.DIST(_xlpm.alimit-_xlpm.x, 0, _xlpm.sigm, TRUE)-_xlfn.NORM.DIST(-_xlpm.alimit-_xlpm.x, 0, _xlpm.sigm, TRUE))*_xlfn.GAMMA.DIST(_xlpm.x, _xlpm.alpha, 1/_xlpm.beta, FALSE)             )         )     ) )</definedName>
    <definedName name="PFA_SYMMETRIC">_xlfn.LAMBDA(_xlpm.t,_xlpm.a,_xlpm.sigt,_xlpm.sigp,     _xlfn.LET(_xlpm.sp, _xlpm.sigp,         _xlpm.st, SQRT(_xlpm.sigt^2 + _xlpm.sigp^2),         _xlpm.rho, SQRT(_xlpm.sigp^2 / (_xlpm.sigp^2+_xlpm.sigt^2)),         2*(BIVARIATE_NORMCDF(_xlpm.a/_xlpm.st, -_xlpm.t/_xlpm.sp, _xlpm.rho) - BIVARIATE_NORMCDF(-_xlpm.a/_xlpm.st, -_xlpm.t/_xlpm.sp, _xlpm.rho))     ) )</definedName>
    <definedName name="PFR">_xlfn.LAMBDA(_xlpm.tl,_xlpm.tu,_xlpm.al,_xlpm.au,_xlpm.nom,_xlpm.sigt,_xlpm.sigp,         IF(IS_SYMMETRIC(_xlpm.tl,_xlpm.tu,_xlpm.al,_xlpm.au,_xlpm.nom), PFR_SYMMETRIC((_xlpm.tu-_xlpm.tl)/2, (_xlpm.au-_xlpm.al)/2, _xlpm.sigt, _xlpm.sigp),         PFR_ASYMMETRIC(_xlpm.tl, _xlpm.tu, _xlpm.al, _xlpm.au, _xlpm.nom, _xlpm.sigt, _xlpm.sigp)         )     )</definedName>
    <definedName name="PFR_ASYMMETRIC">_xlfn.LAMBDA(_xlpm.tl,_xlpm.tu,_xlpm.al,_xlpm.au,_xlpm.nom,_xlpm.sigt,_xlpm.sigp,     _xlfn.LET(_xlpm.sp, _xlpm.sigp,         _xlpm.st, SQRT(_xlpm.sigt^2 + _xlpm.sigp^2),         _xlpm.rho, SQRT(_xlpm.sigp^2 / (_xlpm.sigp^2+_xlpm.sigt^2)),         _xlpm.ttl, IF(ISNUMBER(_xlpm.tl), _xlpm.tl, -1E+99),         _xlpm.ttu, IF(ISNUMBER(_xlpm.tu), _xlpm.tu, 1E+99),         _xlpm.aal, IF(ISNUMBER(_xlpm.al), _xlpm.al, _xlpm.ttl),         _xlpm.aau, IF(ISNUMBER(_xlpm.au), _xlpm.au, _xlpm.ttu),         _xlpm.pfrbot, BIVARIATE_NORMCDF((_xlpm.aal-_xlpm.nom)/_xlpm.st, (_xlpm.ttu-_xlpm.nom)/_xlpm.sp, _xlpm.rho) - BIVARIATE_NORMCDF((_xlpm.aal-_xlpm.nom)/_xlpm.st, (_xlpm.ttl-_xlpm.nom)/_xlpm.sp, _xlpm.rho),         _xlpm.pfrtop, BIVARIATE_NORMCDF((-_xlpm.aau+_xlpm.nom)/_xlpm.st, (-_xlpm.ttl+_xlpm.nom)/_xlpm.sp, _xlpm.rho) - BIVARIATE_NORMCDF((-_xlpm.aau+_xlpm.nom)/_xlpm.st, (-_xlpm.ttu+_xlpm.nom)/_xlpm.sp, _xlpm.rho),     _xlpm.pfrtop+_xlpm.pfrbot     ) )</definedName>
    <definedName name="PFR_GAMMA" comment="PFR with gamma product distribution and normal measurement uncertainty distribution">_xlfn.LAMBDA(_xlpm.tlimit,_xlpm.alimit,_xlpm.alpha,_xlpm.beta,_xlpm.sigm,     _xlfn.LET(_xlpm.pfrhi, TRAPZ(0, _xlpm.tlimit, _xlpm.tlimit/500,                     _xlfn.LAMBDA(_xlpm.x, (1-_xlfn.NORM.DIST(_xlpm.alimit-_xlpm.x, 0, _xlpm.sigm, TRUE))*_xlfn.GAMMA.DIST(_xlpm.x, _xlpm.alpha, 1/_xlpm.beta, FALSE))                 ),         _xlpm.pfrlo, TRAPZ(0, _xlpm.tlimit, _xlpm.tlimit/500,                     _xlfn.LAMBDA(_xlpm.x, (_xlfn.NORM.DIST(-_xlpm.x, 0, _xlpm.sigm, TRUE))*_xlfn.GAMMA.DIST(_xlpm.x, _xlpm.alpha, 1/_xlpm.beta, FALSE))                 ),         _xlpm.pfrhi+_xlpm.pfrlo     ) )</definedName>
    <definedName name="PFR_SYMMETRIC">_xlfn.LAMBDA(_xlpm.t,_xlpm.a,_xlpm.sigt,_xlpm.sigp,     _xlfn.LET(_xlpm.sp, _xlpm.sigp,         _xlpm.st, SQRT(_xlpm.sigt^2 + _xlpm.sigp^2),         _xlpm.rho, SQRT(_xlpm.sigp^2 / (_xlpm.sigp^2+_xlpm.sigt^2)),         2*(BIVARIATE_NORMCDF(-_xlpm.a/_xlpm.st, _xlpm.t/_xlpm.sp, _xlpm.rho) - BIVARIATE_NORMCDF(-_xlpm.a/_xlpm.st, -_xlpm.t/_xlpm.sp, _xlpm.rho))     ) )</definedName>
    <definedName name="RAND_GAMMA" comment="Random number from gamma distribution">_xlfn.LAMBDA(_xlpm.a,_xlpm.b, _xlfn.GAMMA.INV(RAND(), _xlpm.a, 1/_xlpm.b))</definedName>
    <definedName name="RAND_NORM" comment="Generate Normal Random Sample">_xlfn.LAMBDA(_xlpm.mu,_xlpm.a, _xlfn.NORM.INV(RAND(), _xlpm.mu, _xlpm.a))</definedName>
    <definedName name="SAMPLES_JOINT_GAMMA" comment="Random samples from joint gamma-normal distribution">_xlfn.LAMBDA(_xlpm.alpha,_xlpm.beta,_xlpm.sigt,_xlpm.nsamples,     _xlfn.LET(_xlpm.psamples, _xlfn.MAP(_xlfn.SEQUENCE(_xlpm.nsamples),             _xlfn.LAMBDA(_xlpm.k, RAND_GAMMA(_xlpm.alpha, _xlpm.beta))),         _xlpm.tsamples, _xlfn.MAP(_xlpm.psamples,             _xlfn.LAMBDA(_xlpm.k, RAND_NORM(_xlpm.k, _xlpm.sigt))),         _xlfn.HSTACK(_xlpm.psamples, _xlpm.tsamples)     ) )</definedName>
    <definedName name="SAMPLES_JOINT_NORM">_xlfn.LAMBDA(_xlpm.mup,_xlpm.sigp,_xlpm.sigt,_xlpm.nsamples,     _xlfn.LET(_xlpm.psamples, _xlfn.MAP(_xlfn.SEQUENCE(_xlpm.nsamples),             _xlfn.LAMBDA(_xlpm.k, RAND_NORM(_xlpm.mup, _xlpm.sigp))),         _xlpm.tsamples, _xlfn.MAP(_xlpm.psamples,             _xlfn.LAMBDA(_xlpm.k, RAND_NORM(_xlpm.k, _xlpm.sigt))),         _xlfn.HSTACK(_xlpm.psamples, _xlpm.tsamples)     ) )</definedName>
    <definedName name="SIGMA_FROM_ITP">_xlfn.LAMBDA(_xlpm.nom,_xlpm.tl,_xlpm.tu,_xlpm.itp,     _xlfn.IFS(AND(ISNUMBER(_xlpm.tl), ISNUMBER(_xlpm.tu)), _xlfn.LET(             _xlpm.center, (_xlpm.tl+_xlpm.tu)/2,             _xlpm.width, (_xlpm.tu-_xlpm.tl)/2,             _xlpm.bias, (_xlpm.nom-_xlpm.center)/_xlpm.width,             IF(ABS(_xlpm.bias)&lt;0.000000001, _xlpm.width/_xlfn.NORM.S.INV((1+_xlpm.itp)/2),                 _xlfn.LET(_xlpm.func, _xlfn.LAMBDA(_xlpm.sigma, _xlfn.NORM.DIST(1, _xlpm.bias, _xlpm.sigma, TRUE)-_xlfn.NORM.DIST(-1,_xlpm.bias,_xlpm.sigma,TRUE)),                     _xlpm.width*L_SOLVE_NR(_xlpm.func, 0.5, _xlpm.itp, 0.00001)                 )             )         ),         ISNUMBER(_xlpm.tl), IF(_xlpm.tl=_xlpm.nom, NA(), ABS(_xlpm.nom-_xlpm.tl)/_xlfn.NORM.S.INV(_xlpm.itp)),         ISNUMBER(_xlpm.tu), IF(_xlpm.tu=_xlpm.nom, NA(), ABS(_xlpm.tu-_xlpm.nom)/_xlfn.NORM.S.INV(_xlpm.itp))     ) )</definedName>
    <definedName name="TOL_DISPLAY_1">_xlfn.LAMBDA(_xlpm.tl,_xlpm.tu,_xlpm.toltype,     _xlfn.IFS(_xlpm.toltype="±", (_xlpm.tl+_xlpm.tu)/2,         _xlpm.toltype="to", _xlpm.tl,         1, " "     ) )</definedName>
    <definedName name="TOL_DISPLAY_2">_xlfn.LAMBDA(_xlpm.tl,_xlpm.tu,_xlpm.toltype, _xlfn.LET(_xlpm.center, (_xlpm.tl+_xlpm.tu)/2,     _xlpm.pm, ABS(_xlpm.tl-_xlpm.center),     _xlfn.IFS(_xlpm.toltype="±", _xlpm.pm,     _xlpm.toltype="to", _xlpm.tu,     _xlpm.toltype="max", _xlpm.tu,     _xlpm.toltype="min", _xlpm.tl ) ) )</definedName>
    <definedName name="TOL_LOWER_LIMIT">_xlfn.LAMBDA(_xlpm.tola,_xlpm.toltype,_xlpm.tolb, _xlfn.IFS(_xlpm.toltype="±", _xlpm.tola-_xlpm.tolb, _xlpm.toltype="to", _xlpm.tola, _xlpm.toltype="min", MAX(_xlpm.tolb, _xlpm.tola)))</definedName>
    <definedName name="TOL_UPPER_LIMIT">_xlfn.LAMBDA(_xlpm.tola,_xlpm.toltype,_xlpm.tolb, _xlfn.IFS(_xlpm.toltype="±", _xlpm.tola+_xlpm.tolb, _xlpm.toltype="to", _xlpm.tolb, _xlpm.toltype="max", MAX(_xlpm.tolb, _xlpm.tola)))</definedName>
    <definedName name="TRAPZ" comment="Trapezoidal integration">_xlfn.LAMBDA(_xlpm.lower,_xlpm.upper,_xlpm.dx,_xlpm.f,     _xlfn.LET(_xlpm.seq, _xlfn.SEQUENCE(0+(_xlpm.upper-_xlpm.lower)/_xlpm.dx, 1, _xlpm.lower+_xlpm.dx, _xlpm.dx),         _xlfn.REDUCE(0, _xlpm.seq,         _xlfn.LAMBDA(_xlpm.acc,_xlpm.b, _xlpm.acc + (_xlpm.dx / 2) * (_xlpm.f(_xlpm.b) + _xlpm.f(_xlpm.b-_xlpm.dx)))         )     ) )</definedName>
    <definedName name="TUR">_xlfn.LAMBDA(_xlpm.tola,_xlpm.toltype,_xlpm.tolb,_xlpm.unc,_xlpm.nom,         _xlfn.LET(_xlpm.t, MAX(_xlpm.tola,_xlpm.tolb),             _xlfn.IFS(_xlpm.toltype="±", _xlpm.tolb/_xlpm.unc,             _xlpm.toltype="to", ABS(_xlpm.tolb-_xlpm.tola)/2/_xlpm.unc,             _xlpm.toltype="max", (_xlpm.t-_xlpm.nom)/_xlpm.unc,             _xlpm.toltype="min", (_xlpm.nom-_xlpm.t)/_xlpm.unc)         )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a="1"/>
  <c r="H5" i="8" s="1"/>
  <c r="B11" i="8" a="1"/>
  <c r="B11" i="8" s="1"/>
  <c r="K11" i="8" s="1" a="1"/>
  <c r="K11" i="8" s="1"/>
  <c r="T5" i="7" a="1"/>
  <c r="T5" i="7" s="1"/>
  <c r="T4" i="7" a="1"/>
  <c r="T4" i="7" s="1"/>
  <c r="K5" i="6" a="1"/>
  <c r="K5" i="6" s="1"/>
  <c r="K8" i="6" s="1"/>
  <c r="K4" i="6" a="1"/>
  <c r="K4" i="6" s="1"/>
  <c r="K7" i="6" s="1"/>
  <c r="D11" i="8" l="1" a="1"/>
  <c r="D11" i="8" s="1"/>
  <c r="F11" i="8" a="1"/>
  <c r="F11" i="8" s="1"/>
  <c r="E11" i="8" a="1"/>
  <c r="E11" i="8" s="1"/>
  <c r="H11" i="8" a="1"/>
  <c r="H11" i="8" s="1"/>
  <c r="I11" i="8" a="1"/>
  <c r="I11" i="8" s="1"/>
  <c r="J11" i="8" a="1"/>
  <c r="J11" i="8" s="1"/>
  <c r="C11" i="8" a="1"/>
  <c r="C11" i="8" s="1"/>
  <c r="T15" i="7" a="1"/>
  <c r="T15" i="7" s="1"/>
  <c r="T7" i="7"/>
  <c r="T8" i="7"/>
  <c r="K11" i="6"/>
  <c r="K13" i="6" s="1"/>
  <c r="K22" i="6"/>
  <c r="K15" i="6" a="1"/>
  <c r="K15" i="6" s="1"/>
  <c r="K17" i="6" s="1"/>
  <c r="C8" i="6" s="1"/>
  <c r="K16" i="6" a="1"/>
  <c r="K16" i="6" s="1"/>
  <c r="K18" i="6" s="1"/>
  <c r="C9" i="6" s="1"/>
  <c r="K23" i="6"/>
  <c r="N8" i="5" a="1"/>
  <c r="N8" i="5" s="1"/>
  <c r="N9" i="5" s="1"/>
  <c r="N35" i="5" a="1"/>
  <c r="N35" i="5" s="1"/>
  <c r="C12" i="5"/>
  <c r="N4" i="5"/>
  <c r="N6" i="5"/>
  <c r="N5" i="5"/>
  <c r="T11" i="7" l="1"/>
  <c r="K12" i="6"/>
  <c r="M5" i="6" a="1"/>
  <c r="M5" i="6" s="1"/>
  <c r="K25" i="6"/>
  <c r="K29" i="6"/>
  <c r="K26" i="6"/>
  <c r="K28" i="6"/>
  <c r="K32" i="6"/>
  <c r="K31" i="6"/>
  <c r="C17" i="5"/>
  <c r="C13" i="5" a="1"/>
  <c r="C13" i="5" s="1"/>
  <c r="C16" i="5"/>
  <c r="O30" i="5"/>
  <c r="O31" i="5"/>
  <c r="T13" i="7" l="1"/>
  <c r="V4" i="7" a="1"/>
  <c r="V4" i="7" s="1"/>
  <c r="T12" i="7"/>
  <c r="N5" i="6" a="1"/>
  <c r="N5" i="6" s="1"/>
  <c r="O5" i="6" a="1"/>
  <c r="O5" i="6" s="1"/>
  <c r="M31" i="5"/>
  <c r="C11" i="5"/>
  <c r="C15" i="5" a="1"/>
  <c r="C15" i="5" s="1"/>
  <c r="C14" i="5" a="1"/>
  <c r="C14" i="5" s="1"/>
  <c r="M30" i="5"/>
  <c r="G5" i="5"/>
  <c r="C18" i="5"/>
  <c r="C19" i="5" s="1"/>
  <c r="P5" i="6" l="1" a="1"/>
  <c r="P5" i="6" s="1"/>
  <c r="X4" i="7" a="1"/>
  <c r="X4" i="7" s="1"/>
  <c r="W4" i="7" a="1"/>
  <c r="W4" i="7" s="1"/>
  <c r="P31" i="5"/>
  <c r="P30" i="5"/>
  <c r="D11" i="4" l="1"/>
  <c r="C12" i="4" a="1"/>
  <c r="C12" i="4" s="1"/>
  <c r="O4" i="4" a="1"/>
  <c r="O4" i="4" s="1"/>
  <c r="O3" i="4" a="1"/>
  <c r="O3" i="4" s="1"/>
  <c r="O5" i="4" s="1" a="1"/>
  <c r="O5" i="4" s="1"/>
  <c r="D16" i="3"/>
  <c r="C13" i="3" a="1"/>
  <c r="C13" i="3" s="1"/>
  <c r="K7" i="3" a="1"/>
  <c r="K7" i="3" s="1"/>
  <c r="K6" i="3" a="1"/>
  <c r="K6" i="3" s="1"/>
  <c r="O35" i="4" l="1" a="1"/>
  <c r="O35" i="4" s="1"/>
  <c r="G5" i="4"/>
  <c r="C17" i="4"/>
  <c r="C18" i="4" s="1"/>
  <c r="C19" i="4"/>
  <c r="O30" i="4"/>
  <c r="O31" i="4"/>
  <c r="P30" i="4"/>
  <c r="P31" i="4"/>
  <c r="O6" i="4" a="1"/>
  <c r="O6" i="4" s="1"/>
  <c r="C13" i="4" a="1"/>
  <c r="C13" i="4" s="1"/>
  <c r="K8" i="3" a="1"/>
  <c r="K8" i="3" s="1"/>
  <c r="C15" i="3" s="1" a="1"/>
  <c r="C15" i="3" s="1"/>
  <c r="K11" i="3" a="1"/>
  <c r="K11" i="3" s="1"/>
  <c r="K12" i="3" s="1"/>
  <c r="O8" i="4" l="1"/>
  <c r="O7" i="4"/>
  <c r="N30" i="4"/>
  <c r="R31" i="4"/>
  <c r="R30" i="4"/>
  <c r="N29" i="4"/>
  <c r="C14" i="3" a="1"/>
  <c r="C14" i="3" s="1"/>
  <c r="K13" i="3"/>
  <c r="C16" i="3" s="1" a="1"/>
  <c r="C16" i="3" s="1"/>
  <c r="C15" i="4" l="1" a="1"/>
  <c r="C15" i="4" s="1"/>
  <c r="Q30" i="4"/>
  <c r="Q31" i="4"/>
  <c r="C11" i="4" a="1"/>
  <c r="C11" i="4" s="1"/>
  <c r="E11" i="4" a="1"/>
  <c r="E11" i="4" s="1"/>
  <c r="C14" i="4" a="1"/>
  <c r="C14" i="4" s="1"/>
  <c r="C16" i="4"/>
  <c r="E16" i="3" a="1"/>
  <c r="E16" i="3" s="1"/>
  <c r="C18" i="3" a="1"/>
  <c r="C18" i="3" s="1"/>
  <c r="H14" i="3" s="1"/>
  <c r="H16" i="3" s="1"/>
  <c r="C17" i="3" a="1"/>
  <c r="C17" i="3" s="1"/>
  <c r="H13" i="3" s="1"/>
  <c r="H15" i="3" s="1"/>
  <c r="H17"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<sst xmlns="http://schemas.openxmlformats.org/spreadsheetml/2006/main" count="181" uniqueCount="115">
  <si>
    <t>Global (Average) Risk Calculator</t>
  </si>
  <si>
    <t>Nominal/Expected Value</t>
  </si>
  <si>
    <t>Tolerance</t>
  </si>
  <si>
    <t>±</t>
  </si>
  <si>
    <t>In-Tolerance Probability</t>
  </si>
  <si>
    <t>Measurement Uncertainty (k=2) ±</t>
  </si>
  <si>
    <t>Guardband Method</t>
  </si>
  <si>
    <t>RDS</t>
  </si>
  <si>
    <t>TUR</t>
  </si>
  <si>
    <t>PFA (No Guardband)</t>
  </si>
  <si>
    <t>Acceptance Limit</t>
  </si>
  <si>
    <t>Specific Risk Calculator</t>
  </si>
  <si>
    <t>Specific Risk, Upper Limit</t>
  </si>
  <si>
    <t>Specific Risk</t>
  </si>
  <si>
    <t>Probability of Conformance</t>
  </si>
  <si>
    <t>Tolerance Types</t>
  </si>
  <si>
    <t>Guardband Methods</t>
  </si>
  <si>
    <t>to</t>
  </si>
  <si>
    <t>PFA</t>
  </si>
  <si>
    <t>max</t>
  </si>
  <si>
    <t>min</t>
  </si>
  <si>
    <t>Lower Tolerance</t>
  </si>
  <si>
    <t>Upper Tolerance</t>
  </si>
  <si>
    <t>Process Stdev</t>
  </si>
  <si>
    <t>Guardband Width</t>
  </si>
  <si>
    <t>Lower Acceptance Limit</t>
  </si>
  <si>
    <t>Upper Acceptance Limit</t>
  </si>
  <si>
    <t>Cost Model - compare financial tradeoff between false accept and false reject</t>
  </si>
  <si>
    <t>Cost Model</t>
  </si>
  <si>
    <t>← Intermediate calculations in hidden columns here.</t>
  </si>
  <si>
    <t>PFA Required</t>
  </si>
  <si>
    <t>Cost of False Accept</t>
  </si>
  <si>
    <t>Cost of False Reject</t>
  </si>
  <si>
    <t>Number of units produced</t>
  </si>
  <si>
    <t>Risk Results</t>
  </si>
  <si>
    <t>Cost Results</t>
  </si>
  <si>
    <t>Number of Falsely Accepted Items</t>
  </si>
  <si>
    <t>Number of Falsely Rejected Items</t>
  </si>
  <si>
    <t>PFR (No Guardband)</t>
  </si>
  <si>
    <t>Cost of Falsely Accepted Items</t>
  </si>
  <si>
    <t>Cost of Falsely Rejected Items</t>
  </si>
  <si>
    <t>PFA (Guardbanded)</t>
  </si>
  <si>
    <t>Total cost of false decisions</t>
  </si>
  <si>
    <t>PFR (Guardbanded)</t>
  </si>
  <si>
    <t>Global (Average) Risk Calculator - Normal Product Distribution</t>
  </si>
  <si>
    <t>PFA Target</t>
  </si>
  <si>
    <t>Worst-case Specific Risk</t>
  </si>
  <si>
    <t>Process Yield</t>
  </si>
  <si>
    <t>Process Risk</t>
  </si>
  <si>
    <t>Process Capability, Cpk</t>
  </si>
  <si>
    <t>Average PFA (No Guardband)</t>
  </si>
  <si>
    <t>Average PFA(Guardbanded)</t>
  </si>
  <si>
    <t>Average PFR (Guardbanded)</t>
  </si>
  <si>
    <t>TL</t>
  </si>
  <si>
    <t>TU</t>
  </si>
  <si>
    <t>AL</t>
  </si>
  <si>
    <t>AU</t>
  </si>
  <si>
    <t>N</t>
  </si>
  <si>
    <t>Product Sample</t>
  </si>
  <si>
    <t>Measurement Sample</t>
  </si>
  <si>
    <t>Measured Product Average</t>
  </si>
  <si>
    <t>Measured Prodcut Standard Dev</t>
  </si>
  <si>
    <t>alpha</t>
  </si>
  <si>
    <t>beta</t>
  </si>
  <si>
    <t>Manual</t>
  </si>
  <si>
    <t>Manual Acceptance Limit</t>
  </si>
  <si>
    <t>Global (Average) Risk Calculator - GAMMA Product Distribution</t>
  </si>
  <si>
    <t>x</t>
  </si>
  <si>
    <t>None</t>
  </si>
  <si>
    <t>← Intermediate and plot data in hidden columns here</t>
  </si>
  <si>
    <t>Manual Guardband Width</t>
  </si>
  <si>
    <t>Measured</t>
  </si>
  <si>
    <t>Low</t>
  </si>
  <si>
    <t>Range</t>
  </si>
  <si>
    <t>High</t>
  </si>
  <si>
    <t>Specific Risk, Lower</t>
  </si>
  <si>
    <t>Plot Tolerances:</t>
  </si>
  <si>
    <t>Minimum Probability of Conformance</t>
  </si>
  <si>
    <t>Lower Guardband Width</t>
  </si>
  <si>
    <t>Upper Guardband Width</t>
  </si>
  <si>
    <t>Range Lower</t>
  </si>
  <si>
    <t>Range Upper</t>
  </si>
  <si>
    <t>GBW</t>
  </si>
  <si>
    <t>sigma product</t>
  </si>
  <si>
    <t>PFR</t>
  </si>
  <si>
    <t>Plot PFA as function of guardband width</t>
  </si>
  <si>
    <t>Plot Probability of Conformance for the measurement uncertainty and tolerance</t>
  </si>
  <si>
    <t>ITP</t>
  </si>
  <si>
    <t>ITP Low</t>
  </si>
  <si>
    <t>ITP High</t>
  </si>
  <si>
    <t>Guardband</t>
  </si>
  <si>
    <t>Manual Guardband Factor</t>
  </si>
  <si>
    <t>TUR Values</t>
  </si>
  <si>
    <t>Plot PFA and PFR versus ITP at different TURs, with optional guardbanding</t>
  </si>
  <si>
    <t>← Intermediate and plot data in hidden rows above here</t>
  </si>
  <si>
    <t>uncertainty@sandia.gov</t>
  </si>
  <si>
    <t>Spreadsheet Tabs</t>
  </si>
  <si>
    <t>Lookup</t>
  </si>
  <si>
    <t>Provides allowable options for dropdown menus. Hidden by default.</t>
  </si>
  <si>
    <t>About</t>
  </si>
  <si>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</si>
  <si>
    <t>SAND2025-10736O</t>
  </si>
  <si>
    <t>Sandia Primary Standards Lab - Smart Measurement Assurance Plan - Risk Calculator</t>
  </si>
  <si>
    <t>This workbook calculates average and specific measurement decision risk.
No Excel Macros are used, however the calculations make use of Excel's LAMBDA function which is only available in Office 365 or 2024.</t>
  </si>
  <si>
    <t>Risk Calculator - Normal</t>
  </si>
  <si>
    <t>Calculate average (global) risk assuming a normal distribution of products</t>
  </si>
  <si>
    <t>Risk Calculator - Gamma</t>
  </si>
  <si>
    <t>Calculate average (global) risk assuming a gamma distribution of products</t>
  </si>
  <si>
    <t>Plot probability of conformance (specific risk) over a range of measured values</t>
  </si>
  <si>
    <t>Guardbands</t>
  </si>
  <si>
    <t>Risk Curves</t>
  </si>
  <si>
    <t>Plot PFA versus in-tolerance probability for various TUR, with optional guardbanding</t>
  </si>
  <si>
    <t>Compare financial tradeoff between PFA and PFR</t>
  </si>
  <si>
    <t>Plot probability of false accept and reject (PFA and PFR) as a function of guardband width for a measurement</t>
  </si>
  <si>
    <t>v0.1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</si>
</sst>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0.0000%"/>
    <numFmt numFmtId="167" formatCode="0.0000"/>
    <numFmt numFmtId="168" formatCode="_(* #,##0_);_(* \(#,##0\);_(* &quot;-&quot;??_);_(@_)"/>
    <numFmt numFmtId="169" formatCode="0.000%"/>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i/>
      <sz val="11"/>
      <color rgb="FF323940"/>
      <name val="Aptos Narrow"/>
      <family val="2"/>
      <scheme val="minor"/>
    </font>
    <font>
      <sz val="11"/>
      <color rgb="FF323940"/>
      <name val="Aptos Narrow"/>
      <family val="2"/>
      <scheme val="minor"/>
    </font>
  </fonts>
  <fills count="11">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0"/>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141">
    <xf numFmtId="0" fontId="0" fillId="0" borderId="0" xfId="0"/>
    <xf numFmtId="0" fontId="0" fillId="3" borderId="4" xfId="0" applyFill="1" applyBorder="1" applyAlignment="1">
      <alignment horizontal="right"/>
    </xf>
    <xf numFmtId="0" fontId="0" fillId="3" borderId="0" xfId="0" applyFill="1" applyAlignment="1">
      <alignment vertical="center"/>
    </xf>
    <xf numFmtId="0" fontId="0" fillId="3" borderId="5" xfId="0" applyFill="1" applyBorder="1" applyAlignment="1">
      <alignment vertical="center"/>
    </xf>
    <xf numFmtId="164" fontId="0" fillId="3" borderId="0" xfId="0" applyNumberFormat="1" applyFill="1" applyAlignment="1">
      <alignment horizontal="right" vertical="center"/>
    </xf>
    <xf numFmtId="0" fontId="0" fillId="3" borderId="0" xfId="0" applyFill="1" applyAlignment="1">
      <alignment horizontal="center" vertical="center"/>
    </xf>
    <xf numFmtId="164" fontId="0" fillId="3" borderId="5" xfId="0" applyNumberFormat="1" applyFill="1" applyBorder="1" applyAlignment="1">
      <alignment horizontal="left" vertical="center"/>
    </xf>
    <xf numFmtId="0" fontId="0" fillId="4" borderId="4" xfId="0" applyFill="1" applyBorder="1" applyAlignment="1">
      <alignment horizontal="right"/>
    </xf>
    <xf numFmtId="165" fontId="0" fillId="4" borderId="0" xfId="0" applyNumberFormat="1" applyFill="1" applyAlignment="1">
      <alignment vertical="center"/>
    </xf>
    <xf numFmtId="0" fontId="0" fillId="4" borderId="0" xfId="0" applyFill="1" applyAlignment="1">
      <alignment vertical="center"/>
    </xf>
    <xf numFmtId="0" fontId="0" fillId="4" borderId="5" xfId="0" applyFill="1" applyBorder="1" applyAlignment="1">
      <alignment vertical="center"/>
    </xf>
    <xf numFmtId="0" fontId="0" fillId="4" borderId="6" xfId="0" applyFill="1" applyBorder="1" applyAlignment="1">
      <alignment horizontal="right"/>
    </xf>
    <xf numFmtId="0" fontId="0" fillId="4" borderId="7" xfId="0" applyFill="1" applyBorder="1" applyAlignment="1">
      <alignment vertical="center"/>
    </xf>
    <xf numFmtId="0" fontId="0" fillId="4" borderId="8" xfId="0" applyFill="1" applyBorder="1" applyAlignment="1">
      <alignment vertical="center"/>
    </xf>
    <xf numFmtId="0" fontId="4" fillId="0" borderId="0" xfId="0" applyFont="1"/>
    <xf numFmtId="0" fontId="0" fillId="5" borderId="0" xfId="0" applyFill="1"/>
    <xf numFmtId="0" fontId="0" fillId="5" borderId="0" xfId="0" applyFill="1" applyAlignment="1">
      <alignment wrapText="1"/>
    </xf>
    <xf numFmtId="0" fontId="2" fillId="0" borderId="0" xfId="0" applyFont="1" applyAlignment="1">
      <alignment horizontal="center"/>
    </xf>
    <xf numFmtId="166" fontId="0" fillId="3" borderId="0" xfId="0" applyNumberFormat="1" applyFill="1"/>
    <xf numFmtId="0" fontId="0" fillId="3" borderId="0" xfId="0" applyFill="1"/>
    <xf numFmtId="0" fontId="0" fillId="3" borderId="5" xfId="0" applyFill="1" applyBorder="1"/>
    <xf numFmtId="44" fontId="0" fillId="3" borderId="5" xfId="2" applyFont="1" applyFill="1" applyBorder="1"/>
    <xf numFmtId="44" fontId="0" fillId="0" borderId="0" xfId="2" applyFont="1" applyFill="1" applyBorder="1"/>
    <xf numFmtId="0" fontId="0" fillId="0" borderId="0" xfId="0" applyAlignment="1">
      <alignment horizontal="center"/>
    </xf>
    <xf numFmtId="167" fontId="0" fillId="5" borderId="0" xfId="0" applyNumberFormat="1" applyFill="1" applyAlignment="1">
      <alignment horizontal="center" vertical="center"/>
    </xf>
    <xf numFmtId="168" fontId="0" fillId="3" borderId="5" xfId="1" applyNumberFormat="1" applyFont="1" applyFill="1" applyBorder="1"/>
    <xf numFmtId="168" fontId="0" fillId="0" borderId="0" xfId="1" applyNumberFormat="1" applyFont="1" applyFill="1" applyBorder="1"/>
    <xf numFmtId="169" fontId="0" fillId="3" borderId="0" xfId="0" applyNumberFormat="1" applyFill="1" applyAlignment="1">
      <alignment vertical="center"/>
    </xf>
    <xf numFmtId="0" fontId="0" fillId="3" borderId="4" xfId="0" applyFill="1" applyBorder="1"/>
    <xf numFmtId="0" fontId="0" fillId="3" borderId="6" xfId="0" applyFill="1" applyBorder="1" applyAlignment="1">
      <alignment horizontal="right"/>
    </xf>
    <xf numFmtId="2" fontId="0" fillId="3" borderId="7" xfId="0" applyNumberFormat="1" applyFill="1" applyBorder="1" applyAlignment="1">
      <alignment horizontal="right" vertical="center"/>
    </xf>
    <xf numFmtId="0" fontId="0" fillId="3" borderId="7" xfId="0" applyFill="1" applyBorder="1" applyAlignment="1">
      <alignment vertical="center"/>
    </xf>
    <xf numFmtId="0" fontId="0" fillId="3" borderId="8" xfId="0" applyFill="1" applyBorder="1" applyAlignment="1">
      <alignment vertical="center"/>
    </xf>
    <xf numFmtId="0" fontId="0" fillId="3" borderId="6" xfId="0" applyFill="1" applyBorder="1"/>
    <xf numFmtId="0" fontId="0" fillId="3" borderId="8" xfId="0" applyFill="1" applyBorder="1"/>
    <xf numFmtId="0" fontId="0" fillId="0" borderId="0" xfId="0" applyAlignment="1">
      <alignment horizontal="right"/>
    </xf>
    <xf numFmtId="0" fontId="0" fillId="0" borderId="0" xfId="0" applyAlignment="1">
      <alignment vertical="center"/>
    </xf>
    <xf numFmtId="167" fontId="0" fillId="5" borderId="0" xfId="0" applyNumberFormat="1" applyFill="1" applyAlignment="1">
      <alignment horizontal="center"/>
    </xf>
    <xf numFmtId="168" fontId="0" fillId="4" borderId="5" xfId="1" applyNumberFormat="1" applyFont="1" applyFill="1" applyBorder="1"/>
    <xf numFmtId="169" fontId="0" fillId="4" borderId="0" xfId="3" applyNumberFormat="1" applyFont="1" applyFill="1" applyBorder="1" applyAlignment="1">
      <alignment vertical="center"/>
    </xf>
    <xf numFmtId="0" fontId="4" fillId="4" borderId="4" xfId="0" applyFont="1" applyFill="1" applyBorder="1" applyAlignment="1">
      <alignment horizontal="right"/>
    </xf>
    <xf numFmtId="44" fontId="4" fillId="4" borderId="5" xfId="0" applyNumberFormat="1" applyFont="1" applyFill="1" applyBorder="1"/>
    <xf numFmtId="44" fontId="4" fillId="0" borderId="0" xfId="0" applyNumberFormat="1" applyFont="1"/>
    <xf numFmtId="165" fontId="4" fillId="4" borderId="0" xfId="0" applyNumberFormat="1" applyFont="1" applyFill="1" applyAlignment="1">
      <alignment vertical="center"/>
    </xf>
    <xf numFmtId="0" fontId="4" fillId="4" borderId="0" xfId="0" applyFont="1" applyFill="1" applyAlignment="1">
      <alignment horizontal="center" vertical="center"/>
    </xf>
    <xf numFmtId="165" fontId="4" fillId="4" borderId="5" xfId="0" applyNumberFormat="1" applyFont="1" applyFill="1" applyBorder="1" applyAlignment="1">
      <alignment horizontal="left" vertical="center"/>
    </xf>
    <xf numFmtId="169" fontId="0" fillId="4" borderId="7" xfId="3" applyNumberFormat="1" applyFont="1" applyFill="1" applyBorder="1" applyAlignment="1">
      <alignment vertical="center"/>
    </xf>
    <xf numFmtId="0" fontId="0" fillId="4" borderId="6" xfId="0" applyFill="1" applyBorder="1"/>
    <xf numFmtId="0" fontId="0" fillId="4" borderId="8" xfId="0" applyFill="1" applyBorder="1"/>
    <xf numFmtId="0" fontId="3" fillId="0" borderId="0" xfId="0" applyFont="1"/>
    <xf numFmtId="0" fontId="0" fillId="3" borderId="0" xfId="0" applyFill="1" applyBorder="1" applyAlignment="1">
      <alignment horizontal="right"/>
    </xf>
    <xf numFmtId="164" fontId="0" fillId="3" borderId="0" xfId="0" applyNumberFormat="1" applyFill="1" applyBorder="1" applyAlignment="1">
      <alignment horizontal="right" vertical="center"/>
    </xf>
    <xf numFmtId="0" fontId="0" fillId="3" borderId="0" xfId="0" applyFill="1" applyBorder="1" applyAlignment="1">
      <alignment horizontal="center" vertical="center"/>
    </xf>
    <xf numFmtId="0" fontId="0" fillId="3" borderId="0" xfId="0" applyFill="1" applyBorder="1" applyAlignment="1">
      <alignment vertical="center"/>
    </xf>
    <xf numFmtId="9" fontId="0" fillId="3" borderId="0" xfId="0" applyNumberFormat="1" applyFill="1" applyBorder="1" applyAlignment="1">
      <alignment vertical="center"/>
    </xf>
    <xf numFmtId="2" fontId="0" fillId="3" borderId="0" xfId="0" applyNumberFormat="1" applyFill="1" applyBorder="1" applyAlignment="1">
      <alignment horizontal="right" vertical="center"/>
    </xf>
    <xf numFmtId="0" fontId="0" fillId="3" borderId="0" xfId="0" applyFill="1" applyBorder="1" applyAlignment="1">
      <alignment horizontal="right" vertical="center"/>
    </xf>
    <xf numFmtId="9" fontId="0" fillId="3" borderId="0" xfId="0" applyNumberFormat="1" applyFill="1" applyBorder="1" applyAlignment="1">
      <alignment horizontal="right" vertical="center" wrapText="1"/>
    </xf>
    <xf numFmtId="0" fontId="0" fillId="3" borderId="0" xfId="3" applyNumberFormat="1" applyFont="1" applyFill="1" applyBorder="1" applyAlignment="1">
      <alignment vertical="center"/>
    </xf>
    <xf numFmtId="10" fontId="0" fillId="3" borderId="0" xfId="3" applyNumberFormat="1" applyFont="1" applyFill="1" applyBorder="1" applyAlignment="1">
      <alignment horizontal="right"/>
    </xf>
    <xf numFmtId="0" fontId="0" fillId="7" borderId="0" xfId="0" applyFill="1"/>
    <xf numFmtId="0" fontId="0" fillId="7" borderId="0" xfId="0" applyFill="1" applyAlignment="1">
      <alignment wrapText="1"/>
    </xf>
    <xf numFmtId="164" fontId="0" fillId="7" borderId="0" xfId="0" applyNumberFormat="1" applyFill="1" applyAlignment="1">
      <alignment horizontal="center" vertical="center"/>
    </xf>
    <xf numFmtId="167" fontId="0" fillId="7" borderId="0" xfId="0" applyNumberFormat="1" applyFill="1" applyAlignment="1">
      <alignment horizontal="center" vertical="center"/>
    </xf>
    <xf numFmtId="167" fontId="0" fillId="7" borderId="0" xfId="0" applyNumberFormat="1" applyFill="1" applyAlignment="1">
      <alignment horizontal="center"/>
    </xf>
    <xf numFmtId="164" fontId="0" fillId="7" borderId="0" xfId="0" applyNumberFormat="1" applyFill="1" applyAlignment="1">
      <alignment horizontal="center"/>
    </xf>
    <xf numFmtId="164" fontId="0" fillId="7" borderId="0" xfId="0" applyNumberFormat="1" applyFill="1"/>
    <xf numFmtId="0" fontId="0" fillId="8" borderId="0" xfId="0" applyFill="1"/>
    <xf numFmtId="0" fontId="0" fillId="8" borderId="0" xfId="0" applyFill="1" applyAlignment="1">
      <alignment wrapText="1"/>
    </xf>
    <xf numFmtId="164" fontId="0" fillId="8" borderId="0" xfId="0" applyNumberFormat="1" applyFill="1" applyAlignment="1">
      <alignment horizontal="center" vertical="center"/>
    </xf>
    <xf numFmtId="164" fontId="0" fillId="8" borderId="0" xfId="0" applyNumberFormat="1" applyFill="1" applyAlignment="1">
      <alignment horizontal="center"/>
    </xf>
    <xf numFmtId="164" fontId="0" fillId="8" borderId="0" xfId="0" applyNumberFormat="1" applyFill="1"/>
    <xf numFmtId="0" fontId="0" fillId="3" borderId="0" xfId="0" applyFill="1" applyBorder="1"/>
    <xf numFmtId="0" fontId="0" fillId="0" borderId="0" xfId="0" applyFont="1"/>
    <xf numFmtId="2" fontId="0" fillId="3" borderId="0" xfId="0" applyNumberFormat="1" applyFill="1" applyBorder="1" applyAlignment="1">
      <alignment vertical="center"/>
    </xf>
    <xf numFmtId="0" fontId="0" fillId="3" borderId="1" xfId="0" applyFill="1" applyBorder="1" applyAlignment="1">
      <alignment horizontal="right"/>
    </xf>
    <xf numFmtId="164" fontId="0" fillId="3" borderId="2" xfId="0" applyNumberFormat="1" applyFill="1" applyBorder="1" applyAlignment="1">
      <alignment horizontal="right" vertical="center"/>
    </xf>
    <xf numFmtId="0" fontId="0" fillId="3" borderId="2" xfId="0" applyFill="1" applyBorder="1" applyAlignment="1">
      <alignment horizontal="center" vertical="center"/>
    </xf>
    <xf numFmtId="164" fontId="0" fillId="3" borderId="3" xfId="0" applyNumberFormat="1" applyFill="1" applyBorder="1" applyAlignment="1">
      <alignment horizontal="left" vertical="center"/>
    </xf>
    <xf numFmtId="9" fontId="0" fillId="3" borderId="7" xfId="0" applyNumberFormat="1" applyFill="1" applyBorder="1"/>
    <xf numFmtId="0" fontId="0" fillId="3" borderId="7" xfId="0" applyFill="1" applyBorder="1"/>
    <xf numFmtId="0" fontId="0" fillId="9" borderId="1" xfId="0" applyFill="1" applyBorder="1"/>
    <xf numFmtId="164" fontId="0" fillId="9" borderId="2" xfId="0" applyNumberFormat="1" applyFill="1" applyBorder="1"/>
    <xf numFmtId="0" fontId="0" fillId="9" borderId="2" xfId="0" applyFill="1" applyBorder="1"/>
    <xf numFmtId="0" fontId="0" fillId="9" borderId="3" xfId="0" applyFill="1" applyBorder="1"/>
    <xf numFmtId="0" fontId="0" fillId="9" borderId="6" xfId="0" applyFill="1" applyBorder="1"/>
    <xf numFmtId="164" fontId="0" fillId="9" borderId="7" xfId="0" applyNumberFormat="1" applyFill="1" applyBorder="1"/>
    <xf numFmtId="0" fontId="0" fillId="9" borderId="7" xfId="0" applyFill="1" applyBorder="1"/>
    <xf numFmtId="0" fontId="0" fillId="9" borderId="8" xfId="0" applyFill="1" applyBorder="1"/>
    <xf numFmtId="0" fontId="0" fillId="3" borderId="7" xfId="0" applyFill="1" applyBorder="1" applyAlignment="1">
      <alignment horizontal="right" vertical="center"/>
    </xf>
    <xf numFmtId="0" fontId="0" fillId="3" borderId="1" xfId="0" applyFill="1" applyBorder="1"/>
    <xf numFmtId="0" fontId="0" fillId="3" borderId="2" xfId="0" applyFill="1" applyBorder="1"/>
    <xf numFmtId="0" fontId="0" fillId="3" borderId="3" xfId="0" applyFill="1" applyBorder="1"/>
    <xf numFmtId="0" fontId="0" fillId="9" borderId="4" xfId="0" applyFill="1" applyBorder="1" applyAlignment="1">
      <alignment horizontal="right"/>
    </xf>
    <xf numFmtId="2" fontId="0" fillId="9" borderId="0" xfId="0" applyNumberFormat="1" applyFill="1" applyBorder="1" applyAlignment="1">
      <alignment vertical="center"/>
    </xf>
    <xf numFmtId="0" fontId="0" fillId="9" borderId="0" xfId="0" applyFill="1" applyBorder="1" applyAlignment="1">
      <alignment horizontal="center" vertical="center"/>
    </xf>
    <xf numFmtId="2" fontId="0" fillId="9" borderId="5" xfId="0" applyNumberFormat="1" applyFill="1" applyBorder="1" applyAlignment="1">
      <alignment horizontal="left" vertical="center"/>
    </xf>
    <xf numFmtId="165" fontId="0" fillId="9" borderId="0" xfId="0" applyNumberFormat="1" applyFill="1" applyBorder="1" applyAlignment="1">
      <alignment vertical="center"/>
    </xf>
    <xf numFmtId="0" fontId="0" fillId="9" borderId="0" xfId="0" applyFill="1" applyBorder="1" applyAlignment="1">
      <alignment vertical="center"/>
    </xf>
    <xf numFmtId="0" fontId="0" fillId="9" borderId="5" xfId="0" applyFill="1" applyBorder="1" applyAlignment="1">
      <alignment vertical="center"/>
    </xf>
    <xf numFmtId="10" fontId="0" fillId="9" borderId="0" xfId="3" applyNumberFormat="1" applyFont="1" applyFill="1" applyBorder="1" applyAlignment="1">
      <alignment vertical="center"/>
    </xf>
    <xf numFmtId="10" fontId="1" fillId="9" borderId="0" xfId="3" applyNumberFormat="1" applyFont="1" applyFill="1" applyBorder="1"/>
    <xf numFmtId="0" fontId="0" fillId="9" borderId="0" xfId="0" applyFill="1" applyBorder="1"/>
    <xf numFmtId="0" fontId="0" fillId="9" borderId="5" xfId="0" applyFill="1" applyBorder="1"/>
    <xf numFmtId="10" fontId="0" fillId="9" borderId="0" xfId="3" applyNumberFormat="1" applyFont="1" applyFill="1" applyBorder="1"/>
    <xf numFmtId="10" fontId="0" fillId="9" borderId="0" xfId="0" applyNumberFormat="1" applyFill="1" applyBorder="1"/>
    <xf numFmtId="0" fontId="0" fillId="9" borderId="6" xfId="0" applyFill="1" applyBorder="1" applyAlignment="1">
      <alignment horizontal="right"/>
    </xf>
    <xf numFmtId="167" fontId="0" fillId="9" borderId="7" xfId="0" applyNumberFormat="1" applyFill="1" applyBorder="1"/>
    <xf numFmtId="0" fontId="0" fillId="0" borderId="2" xfId="0" applyFill="1" applyBorder="1" applyAlignment="1">
      <alignment horizontal="right"/>
    </xf>
    <xf numFmtId="165" fontId="0" fillId="9" borderId="7" xfId="0" applyNumberFormat="1" applyFill="1" applyBorder="1"/>
    <xf numFmtId="0" fontId="0" fillId="10" borderId="0" xfId="0" applyFill="1" applyAlignment="1">
      <alignment wrapText="1"/>
    </xf>
    <xf numFmtId="0" fontId="0" fillId="10" borderId="0" xfId="0" applyFill="1"/>
    <xf numFmtId="0" fontId="0" fillId="10" borderId="11" xfId="0" applyFill="1" applyBorder="1" applyAlignment="1">
      <alignment wrapText="1"/>
    </xf>
    <xf numFmtId="0" fontId="0" fillId="10" borderId="12" xfId="0" applyFill="1" applyBorder="1" applyAlignment="1">
      <alignment wrapText="1"/>
    </xf>
    <xf numFmtId="0" fontId="0" fillId="10" borderId="0" xfId="0" applyFill="1" applyAlignment="1">
      <alignment horizontal="center"/>
    </xf>
    <xf numFmtId="0" fontId="0" fillId="10" borderId="13" xfId="0" applyFill="1" applyBorder="1" applyAlignment="1">
      <alignment wrapText="1"/>
    </xf>
    <xf numFmtId="0" fontId="0" fillId="10" borderId="14" xfId="0" applyFill="1" applyBorder="1" applyAlignment="1">
      <alignment wrapText="1"/>
    </xf>
    <xf numFmtId="0" fontId="4" fillId="10" borderId="15" xfId="0" applyFont="1" applyFill="1" applyBorder="1" applyAlignment="1">
      <alignment horizontal="left" vertical="center" wrapText="1"/>
    </xf>
    <xf numFmtId="0" fontId="0" fillId="10" borderId="15" xfId="0" applyFill="1" applyBorder="1" applyAlignment="1">
      <alignment horizontal="left" vertical="center" wrapText="1"/>
    </xf>
    <xf numFmtId="0" fontId="0" fillId="10" borderId="9" xfId="0" applyFill="1" applyBorder="1" applyAlignment="1">
      <alignment vertical="top" wrapText="1"/>
    </xf>
    <xf numFmtId="0" fontId="7" fillId="0" borderId="10" xfId="0" applyFont="1" applyBorder="1" applyAlignment="1">
      <alignment horizontal="left" wrapText="1"/>
    </xf>
    <xf numFmtId="0" fontId="0" fillId="10" borderId="13" xfId="0" applyFill="1" applyBorder="1" applyAlignment="1">
      <alignment vertical="top" wrapText="1"/>
    </xf>
    <xf numFmtId="0" fontId="8" fillId="0" borderId="14" xfId="0" applyFont="1" applyBorder="1" applyAlignment="1">
      <alignment horizontal="left" wrapText="1"/>
    </xf>
    <xf numFmtId="0" fontId="0" fillId="10" borderId="0" xfId="0" applyFill="1" applyAlignment="1">
      <alignment vertical="top" wrapText="1"/>
    </xf>
    <xf numFmtId="0" fontId="4" fillId="7" borderId="9" xfId="0" applyFont="1" applyFill="1" applyBorder="1" applyAlignment="1">
      <alignment horizontal="center" vertical="top" wrapText="1"/>
    </xf>
    <xf numFmtId="0" fontId="4" fillId="7" borderId="10" xfId="0" applyFont="1" applyFill="1" applyBorder="1" applyAlignment="1">
      <alignment horizontal="center" vertical="top" wrapText="1"/>
    </xf>
    <xf numFmtId="0" fontId="6" fillId="7" borderId="9" xfId="0" applyFont="1" applyFill="1" applyBorder="1" applyAlignment="1">
      <alignment horizontal="center" wrapText="1"/>
    </xf>
    <xf numFmtId="0" fontId="6" fillId="7" borderId="10" xfId="0" applyFont="1" applyFill="1" applyBorder="1" applyAlignment="1">
      <alignment horizontal="center" wrapText="1"/>
    </xf>
    <xf numFmtId="0" fontId="4" fillId="7" borderId="11" xfId="0" applyFont="1" applyFill="1" applyBorder="1" applyAlignment="1">
      <alignment horizontal="center" wrapText="1"/>
    </xf>
    <xf numFmtId="0" fontId="4" fillId="7" borderId="12" xfId="0" applyFont="1" applyFill="1" applyBorder="1" applyAlignment="1">
      <alignment horizontal="center" wrapText="1"/>
    </xf>
    <xf numFmtId="0" fontId="5" fillId="10" borderId="11" xfId="4" applyFill="1" applyBorder="1" applyAlignment="1">
      <alignment horizontal="center" wrapText="1"/>
    </xf>
    <xf numFmtId="0" fontId="5" fillId="10" borderId="12" xfId="4" applyFill="1" applyBorder="1" applyAlignment="1">
      <alignment horizontal="center" wrapText="1"/>
    </xf>
    <xf numFmtId="0" fontId="4" fillId="7" borderId="15" xfId="0" applyFont="1" applyFill="1" applyBorder="1" applyAlignment="1">
      <alignment horizont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6" borderId="1" xfId="0" applyFont="1" applyFill="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cellXfs>
  <cellStyles count="5">
    <cellStyle name="Comma" xfId="1" builtinId="3"/>
    <cellStyle name="Currency" xfId="2" builtinId="4"/>
    <cellStyle name="Hyperlink" xfId="4" builtinId="8"/>
    <cellStyle name="Normal" xfId="0" builtinId="0"/>
    <cellStyle name="Percent" xfId="3" builtinId="5"/>
  </cellStyles>
  <dxfs count="4">
    <dxf>
      <font>
        <color theme="2" tint="-0.24994659260841701"/>
      </font>
    </dxf>
    <dxf>
      <font>
        <color theme="2" tint="-0.24994659260841701"/>
      </font>
    </dxf>
    <dxf>
      <font>
        <color theme="2" tint="-0.24994659260841701"/>
      </font>
    </dxf>
    <dxf>
      <font>
        <color theme="2"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031097597948774E-2"/>
          <c:y val="3.6297640653357534E-2"/>
          <c:w val="0.89793369888169916"/>
          <c:h val="0.85393386369389424"/>
        </c:manualLayout>
      </c:layout>
      <c:scatterChart>
        <c:scatterStyle val="lineMarker"/>
        <c:varyColors val="0"/>
        <c:ser>
          <c:idx val="1"/>
          <c:order val="0"/>
          <c:tx>
            <c:v>LowerTol</c:v>
          </c:tx>
          <c:spPr>
            <a:ln w="12700" cap="rnd">
              <a:solidFill>
                <a:schemeClr val="tx1"/>
              </a:solidFill>
              <a:round/>
            </a:ln>
            <a:effectLst/>
          </c:spPr>
          <c:marker>
            <c:symbol val="none"/>
          </c:marker>
          <c:xVal>
            <c:numRef>
              <c:f>'Risk Calculator - Normal'!$N$29:$N$30</c:f>
              <c:numCache>
                <c:formatCode>General</c:formatCode>
                <c:ptCount val="2"/>
                <c:pt idx="0">
                  <c:v>190</c:v>
                </c:pt>
                <c:pt idx="1">
                  <c:v>210</c:v>
                </c:pt>
              </c:numCache>
            </c:numRef>
          </c:xVal>
          <c:yVal>
            <c:numRef>
              <c:f>'Risk Calculator - Normal'!$O$30:$O$31</c:f>
              <c:numCache>
                <c:formatCode>0.0</c:formatCode>
                <c:ptCount val="2"/>
                <c:pt idx="0">
                  <c:v>195</c:v>
                </c:pt>
                <c:pt idx="1">
                  <c:v>195</c:v>
                </c:pt>
              </c:numCache>
            </c:numRef>
          </c:yVal>
          <c:smooth val="0"/>
          <c:extLst>
            <c:ext xmlns:c16="http://schemas.microsoft.com/office/drawing/2014/chart" uri="{C3380CC4-5D6E-409C-BE32-E72D297353CC}">
              <c16:uniqueId val="{00000001-CC7C-4E1D-B19D-9EC81EFA0279}"/>
            </c:ext>
          </c:extLst>
        </c:ser>
        <c:ser>
          <c:idx val="0"/>
          <c:order val="1"/>
          <c:tx>
            <c:v>UpperTol</c:v>
          </c:tx>
          <c:spPr>
            <a:ln w="12700" cap="rnd">
              <a:solidFill>
                <a:schemeClr val="tx1"/>
              </a:solidFill>
              <a:round/>
            </a:ln>
            <a:effectLst/>
          </c:spPr>
          <c:marker>
            <c:symbol val="none"/>
          </c:marker>
          <c:xVal>
            <c:numRef>
              <c:f>'Risk Calculator - Normal'!$N$29:$N$30</c:f>
              <c:numCache>
                <c:formatCode>General</c:formatCode>
                <c:ptCount val="2"/>
                <c:pt idx="0">
                  <c:v>190</c:v>
                </c:pt>
                <c:pt idx="1">
                  <c:v>210</c:v>
                </c:pt>
              </c:numCache>
            </c:numRef>
          </c:xVal>
          <c:yVal>
            <c:numRef>
              <c:f>'Risk Calculator - Normal'!$P$30:$P$31</c:f>
              <c:numCache>
                <c:formatCode>0.0</c:formatCode>
                <c:ptCount val="2"/>
                <c:pt idx="0">
                  <c:v>205</c:v>
                </c:pt>
                <c:pt idx="1">
                  <c:v>205</c:v>
                </c:pt>
              </c:numCache>
            </c:numRef>
          </c:yVal>
          <c:smooth val="0"/>
          <c:extLst>
            <c:ext xmlns:c16="http://schemas.microsoft.com/office/drawing/2014/chart" uri="{C3380CC4-5D6E-409C-BE32-E72D297353CC}">
              <c16:uniqueId val="{00000002-CC7C-4E1D-B19D-9EC81EFA0279}"/>
            </c:ext>
          </c:extLst>
        </c:ser>
        <c:ser>
          <c:idx val="2"/>
          <c:order val="2"/>
          <c:tx>
            <c:v>LowerTol2</c:v>
          </c:tx>
          <c:spPr>
            <a:ln w="12700" cap="rnd">
              <a:solidFill>
                <a:schemeClr val="tx1"/>
              </a:solidFill>
              <a:round/>
            </a:ln>
            <a:effectLst/>
          </c:spPr>
          <c:marker>
            <c:symbol val="none"/>
          </c:marker>
          <c:xVal>
            <c:numRef>
              <c:f>'Risk Calculator - Normal'!$O$30:$O$31</c:f>
              <c:numCache>
                <c:formatCode>0.0</c:formatCode>
                <c:ptCount val="2"/>
                <c:pt idx="0">
                  <c:v>195</c:v>
                </c:pt>
                <c:pt idx="1">
                  <c:v>195</c:v>
                </c:pt>
              </c:numCache>
            </c:numRef>
          </c:xVal>
          <c:yVal>
            <c:numRef>
              <c:f>'Risk Calculator - Normal'!$N$29:$N$30</c:f>
              <c:numCache>
                <c:formatCode>General</c:formatCode>
                <c:ptCount val="2"/>
                <c:pt idx="0">
                  <c:v>190</c:v>
                </c:pt>
                <c:pt idx="1">
                  <c:v>210</c:v>
                </c:pt>
              </c:numCache>
            </c:numRef>
          </c:yVal>
          <c:smooth val="0"/>
          <c:extLst>
            <c:ext xmlns:c16="http://schemas.microsoft.com/office/drawing/2014/chart" uri="{C3380CC4-5D6E-409C-BE32-E72D297353CC}">
              <c16:uniqueId val="{00000003-CC7C-4E1D-B19D-9EC81EFA0279}"/>
            </c:ext>
          </c:extLst>
        </c:ser>
        <c:ser>
          <c:idx val="3"/>
          <c:order val="3"/>
          <c:tx>
            <c:v>UpperTol2</c:v>
          </c:tx>
          <c:spPr>
            <a:ln w="12700" cap="rnd">
              <a:solidFill>
                <a:schemeClr val="tx1"/>
              </a:solidFill>
              <a:round/>
            </a:ln>
            <a:effectLst/>
          </c:spPr>
          <c:marker>
            <c:symbol val="none"/>
          </c:marker>
          <c:xVal>
            <c:numRef>
              <c:f>'Risk Calculator - Normal'!$P$30:$P$31</c:f>
              <c:numCache>
                <c:formatCode>0.0</c:formatCode>
                <c:ptCount val="2"/>
                <c:pt idx="0">
                  <c:v>205</c:v>
                </c:pt>
                <c:pt idx="1">
                  <c:v>205</c:v>
                </c:pt>
              </c:numCache>
            </c:numRef>
          </c:xVal>
          <c:yVal>
            <c:numRef>
              <c:f>'Risk Calculator - Normal'!$N$29:$N$30</c:f>
              <c:numCache>
                <c:formatCode>General</c:formatCode>
                <c:ptCount val="2"/>
                <c:pt idx="0">
                  <c:v>190</c:v>
                </c:pt>
                <c:pt idx="1">
                  <c:v>210</c:v>
                </c:pt>
              </c:numCache>
            </c:numRef>
          </c:yVal>
          <c:smooth val="0"/>
          <c:extLst>
            <c:ext xmlns:c16="http://schemas.microsoft.com/office/drawing/2014/chart" uri="{C3380CC4-5D6E-409C-BE32-E72D297353CC}">
              <c16:uniqueId val="{00000004-CC7C-4E1D-B19D-9EC81EFA0279}"/>
            </c:ext>
          </c:extLst>
        </c:ser>
        <c:ser>
          <c:idx val="4"/>
          <c:order val="4"/>
          <c:tx>
            <c:v>LowerA</c:v>
          </c:tx>
          <c:spPr>
            <a:ln w="19050" cap="rnd">
              <a:solidFill>
                <a:schemeClr val="accent5"/>
              </a:solidFill>
              <a:prstDash val="dash"/>
              <a:round/>
            </a:ln>
            <a:effectLst/>
          </c:spPr>
          <c:marker>
            <c:symbol val="none"/>
          </c:marker>
          <c:xVal>
            <c:numRef>
              <c:f>'Risk Calculator - Normal'!$N$29:$N$30</c:f>
              <c:numCache>
                <c:formatCode>General</c:formatCode>
                <c:ptCount val="2"/>
                <c:pt idx="0">
                  <c:v>190</c:v>
                </c:pt>
                <c:pt idx="1">
                  <c:v>210</c:v>
                </c:pt>
              </c:numCache>
            </c:numRef>
          </c:xVal>
          <c:yVal>
            <c:numRef>
              <c:f>'Risk Calculator - Normal'!$Q$30:$Q$31</c:f>
              <c:numCache>
                <c:formatCode>0.0</c:formatCode>
                <c:ptCount val="2"/>
                <c:pt idx="0">
                  <c:v>195.6612652619817</c:v>
                </c:pt>
                <c:pt idx="1">
                  <c:v>195.6612652619817</c:v>
                </c:pt>
              </c:numCache>
            </c:numRef>
          </c:yVal>
          <c:smooth val="0"/>
          <c:extLst>
            <c:ext xmlns:c16="http://schemas.microsoft.com/office/drawing/2014/chart" uri="{C3380CC4-5D6E-409C-BE32-E72D297353CC}">
              <c16:uniqueId val="{00000005-CC7C-4E1D-B19D-9EC81EFA0279}"/>
            </c:ext>
          </c:extLst>
        </c:ser>
        <c:ser>
          <c:idx val="5"/>
          <c:order val="5"/>
          <c:tx>
            <c:v>UpperA</c:v>
          </c:tx>
          <c:spPr>
            <a:ln w="19050" cap="rnd">
              <a:solidFill>
                <a:schemeClr val="accent5"/>
              </a:solidFill>
              <a:prstDash val="dash"/>
              <a:round/>
            </a:ln>
            <a:effectLst/>
          </c:spPr>
          <c:marker>
            <c:symbol val="none"/>
          </c:marker>
          <c:xVal>
            <c:numRef>
              <c:f>'Risk Calculator - Normal'!$N$29:$N$30</c:f>
              <c:numCache>
                <c:formatCode>General</c:formatCode>
                <c:ptCount val="2"/>
                <c:pt idx="0">
                  <c:v>190</c:v>
                </c:pt>
                <c:pt idx="1">
                  <c:v>210</c:v>
                </c:pt>
              </c:numCache>
            </c:numRef>
          </c:xVal>
          <c:yVal>
            <c:numRef>
              <c:f>'Risk Calculator - Normal'!$R$30:$R$31</c:f>
              <c:numCache>
                <c:formatCode>0.0</c:formatCode>
                <c:ptCount val="2"/>
                <c:pt idx="0">
                  <c:v>204.3387347380183</c:v>
                </c:pt>
                <c:pt idx="1">
                  <c:v>204.3387347380183</c:v>
                </c:pt>
              </c:numCache>
            </c:numRef>
          </c:yVal>
          <c:smooth val="0"/>
          <c:extLst>
            <c:ext xmlns:c16="http://schemas.microsoft.com/office/drawing/2014/chart" uri="{C3380CC4-5D6E-409C-BE32-E72D297353CC}">
              <c16:uniqueId val="{00000006-CC7C-4E1D-B19D-9EC81EFA0279}"/>
            </c:ext>
          </c:extLst>
        </c:ser>
        <c:ser>
          <c:idx val="6"/>
          <c:order val="6"/>
          <c:tx>
            <c:v>Samples</c:v>
          </c:tx>
          <c:spPr>
            <a:ln w="28575" cap="rnd">
              <a:noFill/>
              <a:round/>
            </a:ln>
            <a:effectLst/>
          </c:spPr>
          <c:marker>
            <c:symbol val="circle"/>
            <c:size val="2"/>
            <c:spPr>
              <a:solidFill>
                <a:schemeClr val="tx1">
                  <a:lumMod val="65000"/>
                  <a:lumOff val="35000"/>
                </a:schemeClr>
              </a:solidFill>
              <a:ln w="9525">
                <a:solidFill>
                  <a:schemeClr val="accent1">
                    <a:lumMod val="60000"/>
                  </a:schemeClr>
                </a:solidFill>
              </a:ln>
              <a:effectLst/>
            </c:spPr>
          </c:marker>
          <c:xVal>
            <c:numRef>
              <c:f>'Risk Calculator - Normal'!$O$35:$O$1034</c:f>
              <c:numCache>
                <c:formatCode>General</c:formatCode>
                <c:ptCount val="1000"/>
                <c:pt idx="0">
                  <c:v>198.15063673855164</c:v>
                </c:pt>
                <c:pt idx="1">
                  <c:v>196.99175519159053</c:v>
                </c:pt>
                <c:pt idx="2">
                  <c:v>199.53106308044588</c:v>
                </c:pt>
                <c:pt idx="3">
                  <c:v>197.6762266493667</c:v>
                </c:pt>
                <c:pt idx="4">
                  <c:v>199.71224181842425</c:v>
                </c:pt>
                <c:pt idx="5">
                  <c:v>206.05875753679985</c:v>
                </c:pt>
                <c:pt idx="6">
                  <c:v>193.87984446563269</c:v>
                </c:pt>
                <c:pt idx="7">
                  <c:v>196.62240840594689</c:v>
                </c:pt>
                <c:pt idx="8">
                  <c:v>202.06731340029344</c:v>
                </c:pt>
                <c:pt idx="9">
                  <c:v>196.23115480584661</c:v>
                </c:pt>
                <c:pt idx="10">
                  <c:v>198.62517200816401</c:v>
                </c:pt>
                <c:pt idx="11">
                  <c:v>201.41375866850262</c:v>
                </c:pt>
                <c:pt idx="12">
                  <c:v>200.13616171597855</c:v>
                </c:pt>
                <c:pt idx="13">
                  <c:v>199.92152060945966</c:v>
                </c:pt>
                <c:pt idx="14">
                  <c:v>203.12839636852016</c:v>
                </c:pt>
                <c:pt idx="15">
                  <c:v>201.64324421224509</c:v>
                </c:pt>
                <c:pt idx="16">
                  <c:v>193.37544657025853</c:v>
                </c:pt>
                <c:pt idx="17">
                  <c:v>204.94861398417564</c:v>
                </c:pt>
                <c:pt idx="18">
                  <c:v>195.13974509288491</c:v>
                </c:pt>
                <c:pt idx="19">
                  <c:v>201.88501754452463</c:v>
                </c:pt>
                <c:pt idx="20">
                  <c:v>202.97848077410211</c:v>
                </c:pt>
                <c:pt idx="21">
                  <c:v>205.96553410017927</c:v>
                </c:pt>
                <c:pt idx="22">
                  <c:v>200.92559844595442</c:v>
                </c:pt>
                <c:pt idx="23">
                  <c:v>198.61275153322495</c:v>
                </c:pt>
                <c:pt idx="24">
                  <c:v>201.82612636887887</c:v>
                </c:pt>
                <c:pt idx="25">
                  <c:v>204.39401074943447</c:v>
                </c:pt>
                <c:pt idx="26">
                  <c:v>199.8880731605035</c:v>
                </c:pt>
                <c:pt idx="27">
                  <c:v>199.53685665226183</c:v>
                </c:pt>
                <c:pt idx="28">
                  <c:v>202.04248959859243</c:v>
                </c:pt>
                <c:pt idx="29">
                  <c:v>202.53469195377662</c:v>
                </c:pt>
                <c:pt idx="30">
                  <c:v>202.47405992111266</c:v>
                </c:pt>
                <c:pt idx="31">
                  <c:v>198.91867749691585</c:v>
                </c:pt>
                <c:pt idx="32">
                  <c:v>207.02973488413886</c:v>
                </c:pt>
                <c:pt idx="33">
                  <c:v>199.71711509301687</c:v>
                </c:pt>
                <c:pt idx="34">
                  <c:v>196.53524085356048</c:v>
                </c:pt>
                <c:pt idx="35">
                  <c:v>201.21885565073089</c:v>
                </c:pt>
                <c:pt idx="36">
                  <c:v>195.53096248739496</c:v>
                </c:pt>
                <c:pt idx="37">
                  <c:v>200.98890238102837</c:v>
                </c:pt>
                <c:pt idx="38">
                  <c:v>197.22852670682676</c:v>
                </c:pt>
                <c:pt idx="39">
                  <c:v>196.36487767492892</c:v>
                </c:pt>
                <c:pt idx="40">
                  <c:v>198.3840559955697</c:v>
                </c:pt>
                <c:pt idx="41">
                  <c:v>197.1878984785736</c:v>
                </c:pt>
                <c:pt idx="42">
                  <c:v>199.43298129599413</c:v>
                </c:pt>
                <c:pt idx="43">
                  <c:v>195.61473667271389</c:v>
                </c:pt>
                <c:pt idx="44">
                  <c:v>202.90397500954231</c:v>
                </c:pt>
                <c:pt idx="45">
                  <c:v>198.93487559350243</c:v>
                </c:pt>
                <c:pt idx="46">
                  <c:v>197.89721245706414</c:v>
                </c:pt>
                <c:pt idx="47">
                  <c:v>203.03311545361319</c:v>
                </c:pt>
                <c:pt idx="48">
                  <c:v>197.28507853582619</c:v>
                </c:pt>
                <c:pt idx="49">
                  <c:v>206.00286284537938</c:v>
                </c:pt>
                <c:pt idx="50">
                  <c:v>200.47893482580665</c:v>
                </c:pt>
                <c:pt idx="51">
                  <c:v>198.79290763116708</c:v>
                </c:pt>
                <c:pt idx="52">
                  <c:v>198.16703192438425</c:v>
                </c:pt>
                <c:pt idx="53">
                  <c:v>200.28082006854697</c:v>
                </c:pt>
                <c:pt idx="54">
                  <c:v>199.63717707453074</c:v>
                </c:pt>
                <c:pt idx="55">
                  <c:v>197.21004719320044</c:v>
                </c:pt>
                <c:pt idx="56">
                  <c:v>198.55839692485984</c:v>
                </c:pt>
                <c:pt idx="57">
                  <c:v>198.14276833748244</c:v>
                </c:pt>
                <c:pt idx="58">
                  <c:v>203.6211484059761</c:v>
                </c:pt>
                <c:pt idx="59">
                  <c:v>193.60642101376911</c:v>
                </c:pt>
                <c:pt idx="60">
                  <c:v>200.98618646291462</c:v>
                </c:pt>
                <c:pt idx="61">
                  <c:v>195.75147589326207</c:v>
                </c:pt>
                <c:pt idx="62">
                  <c:v>198.86605587297464</c:v>
                </c:pt>
                <c:pt idx="63">
                  <c:v>195.06159318370874</c:v>
                </c:pt>
                <c:pt idx="64">
                  <c:v>197.16057005410767</c:v>
                </c:pt>
                <c:pt idx="65">
                  <c:v>200.77349412896569</c:v>
                </c:pt>
                <c:pt idx="66">
                  <c:v>200.30817835898813</c:v>
                </c:pt>
                <c:pt idx="67">
                  <c:v>200.89663679613329</c:v>
                </c:pt>
                <c:pt idx="68">
                  <c:v>198.92551745986637</c:v>
                </c:pt>
                <c:pt idx="69">
                  <c:v>199.26801955161551</c:v>
                </c:pt>
                <c:pt idx="70">
                  <c:v>199.66179891160388</c:v>
                </c:pt>
                <c:pt idx="71">
                  <c:v>197.30270045145014</c:v>
                </c:pt>
                <c:pt idx="72">
                  <c:v>198.63882919617205</c:v>
                </c:pt>
                <c:pt idx="73">
                  <c:v>196.16368117380992</c:v>
                </c:pt>
                <c:pt idx="74">
                  <c:v>202.58085594423733</c:v>
                </c:pt>
                <c:pt idx="75">
                  <c:v>199.26223982242925</c:v>
                </c:pt>
                <c:pt idx="76">
                  <c:v>199.38133114848583</c:v>
                </c:pt>
                <c:pt idx="77">
                  <c:v>198.85902174546626</c:v>
                </c:pt>
                <c:pt idx="78">
                  <c:v>199.86342106548773</c:v>
                </c:pt>
                <c:pt idx="79">
                  <c:v>202.20409453487835</c:v>
                </c:pt>
                <c:pt idx="80">
                  <c:v>200.46217524120752</c:v>
                </c:pt>
                <c:pt idx="81">
                  <c:v>203.69412449302698</c:v>
                </c:pt>
                <c:pt idx="82">
                  <c:v>198.52394264701755</c:v>
                </c:pt>
                <c:pt idx="83">
                  <c:v>201.41483235749214</c:v>
                </c:pt>
                <c:pt idx="84">
                  <c:v>197.42197976214379</c:v>
                </c:pt>
                <c:pt idx="85">
                  <c:v>197.59321438330358</c:v>
                </c:pt>
                <c:pt idx="86">
                  <c:v>198.45720208053947</c:v>
                </c:pt>
                <c:pt idx="87">
                  <c:v>201.46680630533507</c:v>
                </c:pt>
                <c:pt idx="88">
                  <c:v>200.93907892511774</c:v>
                </c:pt>
                <c:pt idx="89">
                  <c:v>197.97756729363982</c:v>
                </c:pt>
                <c:pt idx="90">
                  <c:v>205.3091317528858</c:v>
                </c:pt>
                <c:pt idx="91">
                  <c:v>202.58433356591507</c:v>
                </c:pt>
                <c:pt idx="92">
                  <c:v>195.61962235428476</c:v>
                </c:pt>
                <c:pt idx="93">
                  <c:v>195.41515710946706</c:v>
                </c:pt>
                <c:pt idx="94">
                  <c:v>194.5497744922971</c:v>
                </c:pt>
                <c:pt idx="95">
                  <c:v>202.2521859593183</c:v>
                </c:pt>
                <c:pt idx="96">
                  <c:v>198.97221924894399</c:v>
                </c:pt>
                <c:pt idx="97">
                  <c:v>198.59780033928203</c:v>
                </c:pt>
                <c:pt idx="98">
                  <c:v>198.00235615395417</c:v>
                </c:pt>
                <c:pt idx="99">
                  <c:v>205.03370639103875</c:v>
                </c:pt>
                <c:pt idx="100">
                  <c:v>199.16799488068543</c:v>
                </c:pt>
                <c:pt idx="101">
                  <c:v>193.61493892610042</c:v>
                </c:pt>
                <c:pt idx="102">
                  <c:v>199.38564643643383</c:v>
                </c:pt>
                <c:pt idx="103">
                  <c:v>194.86705283898772</c:v>
                </c:pt>
                <c:pt idx="104">
                  <c:v>200.32413392865743</c:v>
                </c:pt>
                <c:pt idx="105">
                  <c:v>197.52991361924899</c:v>
                </c:pt>
                <c:pt idx="106">
                  <c:v>192.71929947781766</c:v>
                </c:pt>
                <c:pt idx="107">
                  <c:v>197.03476066029626</c:v>
                </c:pt>
                <c:pt idx="108">
                  <c:v>200.08753488810711</c:v>
                </c:pt>
                <c:pt idx="109">
                  <c:v>205.36082372093517</c:v>
                </c:pt>
                <c:pt idx="110">
                  <c:v>198.2339390880858</c:v>
                </c:pt>
                <c:pt idx="111">
                  <c:v>198.46303545045251</c:v>
                </c:pt>
                <c:pt idx="112">
                  <c:v>199.74989631039622</c:v>
                </c:pt>
                <c:pt idx="113">
                  <c:v>197.30938447475782</c:v>
                </c:pt>
                <c:pt idx="114">
                  <c:v>200.59315564096678</c:v>
                </c:pt>
                <c:pt idx="115">
                  <c:v>199.35499049598349</c:v>
                </c:pt>
                <c:pt idx="116">
                  <c:v>194.34808643770236</c:v>
                </c:pt>
                <c:pt idx="117">
                  <c:v>192.86778047750738</c:v>
                </c:pt>
                <c:pt idx="118">
                  <c:v>203.84999195745399</c:v>
                </c:pt>
                <c:pt idx="119">
                  <c:v>199.12181478475955</c:v>
                </c:pt>
                <c:pt idx="120">
                  <c:v>201.83846843396756</c:v>
                </c:pt>
                <c:pt idx="121">
                  <c:v>206.96093001251603</c:v>
                </c:pt>
                <c:pt idx="122">
                  <c:v>201.43890602174883</c:v>
                </c:pt>
                <c:pt idx="123">
                  <c:v>204.03646276786804</c:v>
                </c:pt>
                <c:pt idx="124">
                  <c:v>196.25860299925284</c:v>
                </c:pt>
                <c:pt idx="125">
                  <c:v>198.75870220080435</c:v>
                </c:pt>
                <c:pt idx="126">
                  <c:v>203.39801687692457</c:v>
                </c:pt>
                <c:pt idx="127">
                  <c:v>200.34069382632632</c:v>
                </c:pt>
                <c:pt idx="128">
                  <c:v>199.10748015002289</c:v>
                </c:pt>
                <c:pt idx="129">
                  <c:v>198.25079700776317</c:v>
                </c:pt>
                <c:pt idx="130">
                  <c:v>197.34706710486182</c:v>
                </c:pt>
                <c:pt idx="131">
                  <c:v>200.72193196305756</c:v>
                </c:pt>
                <c:pt idx="132">
                  <c:v>199.98546579929217</c:v>
                </c:pt>
                <c:pt idx="133">
                  <c:v>202.92301608443776</c:v>
                </c:pt>
                <c:pt idx="134">
                  <c:v>197.9208460027719</c:v>
                </c:pt>
                <c:pt idx="135">
                  <c:v>203.13922402696016</c:v>
                </c:pt>
                <c:pt idx="136">
                  <c:v>196.5175587867268</c:v>
                </c:pt>
                <c:pt idx="137">
                  <c:v>199.7941417355913</c:v>
                </c:pt>
                <c:pt idx="138">
                  <c:v>202.87245706303921</c:v>
                </c:pt>
                <c:pt idx="139">
                  <c:v>198.05738700311835</c:v>
                </c:pt>
                <c:pt idx="140">
                  <c:v>202.39923759212184</c:v>
                </c:pt>
                <c:pt idx="141">
                  <c:v>197.3023677352912</c:v>
                </c:pt>
                <c:pt idx="142">
                  <c:v>204.1069296690211</c:v>
                </c:pt>
                <c:pt idx="143">
                  <c:v>195.47117888665665</c:v>
                </c:pt>
                <c:pt idx="144">
                  <c:v>198.05907177282569</c:v>
                </c:pt>
                <c:pt idx="145">
                  <c:v>199.89318294954873</c:v>
                </c:pt>
                <c:pt idx="146">
                  <c:v>204.97953101640667</c:v>
                </c:pt>
                <c:pt idx="147">
                  <c:v>197.53867192709438</c:v>
                </c:pt>
                <c:pt idx="148">
                  <c:v>194.52420085434147</c:v>
                </c:pt>
                <c:pt idx="149">
                  <c:v>202.30230128858389</c:v>
                </c:pt>
                <c:pt idx="150">
                  <c:v>194.82745991560134</c:v>
                </c:pt>
                <c:pt idx="151">
                  <c:v>199.71654410374538</c:v>
                </c:pt>
                <c:pt idx="152">
                  <c:v>201.84960005928792</c:v>
                </c:pt>
                <c:pt idx="153">
                  <c:v>201.58857352337182</c:v>
                </c:pt>
                <c:pt idx="154">
                  <c:v>202.57091189506161</c:v>
                </c:pt>
                <c:pt idx="155">
                  <c:v>201.83932993587783</c:v>
                </c:pt>
                <c:pt idx="156">
                  <c:v>192.66414728920097</c:v>
                </c:pt>
                <c:pt idx="157">
                  <c:v>200.64337625087802</c:v>
                </c:pt>
                <c:pt idx="158">
                  <c:v>202.2775254331747</c:v>
                </c:pt>
                <c:pt idx="159">
                  <c:v>203.77278284030172</c:v>
                </c:pt>
                <c:pt idx="160">
                  <c:v>199.75082428014983</c:v>
                </c:pt>
                <c:pt idx="161">
                  <c:v>201.40659266662593</c:v>
                </c:pt>
                <c:pt idx="162">
                  <c:v>207.25789285589605</c:v>
                </c:pt>
                <c:pt idx="163">
                  <c:v>199.37632305984621</c:v>
                </c:pt>
                <c:pt idx="164">
                  <c:v>201.78140663790705</c:v>
                </c:pt>
                <c:pt idx="165">
                  <c:v>202.49727396414684</c:v>
                </c:pt>
                <c:pt idx="166">
                  <c:v>205.19723270096554</c:v>
                </c:pt>
                <c:pt idx="167">
                  <c:v>198.06008448624854</c:v>
                </c:pt>
                <c:pt idx="168">
                  <c:v>203.6162737563676</c:v>
                </c:pt>
                <c:pt idx="169">
                  <c:v>195.47612559658836</c:v>
                </c:pt>
                <c:pt idx="170">
                  <c:v>206.79758010269404</c:v>
                </c:pt>
                <c:pt idx="171">
                  <c:v>200.76667999919866</c:v>
                </c:pt>
                <c:pt idx="172">
                  <c:v>200.23644541563039</c:v>
                </c:pt>
                <c:pt idx="173">
                  <c:v>196.66781609498051</c:v>
                </c:pt>
                <c:pt idx="174">
                  <c:v>201.66609452949282</c:v>
                </c:pt>
                <c:pt idx="175">
                  <c:v>194.34040500418502</c:v>
                </c:pt>
                <c:pt idx="176">
                  <c:v>203.96812847278707</c:v>
                </c:pt>
                <c:pt idx="177">
                  <c:v>201.06745193476434</c:v>
                </c:pt>
                <c:pt idx="178">
                  <c:v>204.162715024286</c:v>
                </c:pt>
                <c:pt idx="179">
                  <c:v>194.5462019131966</c:v>
                </c:pt>
                <c:pt idx="180">
                  <c:v>202.50424662328456</c:v>
                </c:pt>
                <c:pt idx="181">
                  <c:v>197.72621263412236</c:v>
                </c:pt>
                <c:pt idx="182">
                  <c:v>204.78846783001788</c:v>
                </c:pt>
                <c:pt idx="183">
                  <c:v>196.98239510569846</c:v>
                </c:pt>
                <c:pt idx="184">
                  <c:v>198.31727211341953</c:v>
                </c:pt>
                <c:pt idx="185">
                  <c:v>200.88369884408664</c:v>
                </c:pt>
                <c:pt idx="186">
                  <c:v>200.53418853275829</c:v>
                </c:pt>
                <c:pt idx="187">
                  <c:v>199.73796082398604</c:v>
                </c:pt>
                <c:pt idx="188">
                  <c:v>201.00020794389761</c:v>
                </c:pt>
                <c:pt idx="189">
                  <c:v>200.19002854867171</c:v>
                </c:pt>
                <c:pt idx="190">
                  <c:v>196.30386382109472</c:v>
                </c:pt>
                <c:pt idx="191">
                  <c:v>205.76743696181751</c:v>
                </c:pt>
                <c:pt idx="192">
                  <c:v>197.45116287838673</c:v>
                </c:pt>
                <c:pt idx="193">
                  <c:v>198.67358379990668</c:v>
                </c:pt>
                <c:pt idx="194">
                  <c:v>196.98568627552842</c:v>
                </c:pt>
                <c:pt idx="195">
                  <c:v>193.30904623702941</c:v>
                </c:pt>
                <c:pt idx="196">
                  <c:v>196.46356596153367</c:v>
                </c:pt>
                <c:pt idx="197">
                  <c:v>195.37785401098469</c:v>
                </c:pt>
                <c:pt idx="198">
                  <c:v>201.31674969463728</c:v>
                </c:pt>
                <c:pt idx="199">
                  <c:v>199.51663151707996</c:v>
                </c:pt>
                <c:pt idx="200">
                  <c:v>199.61530137511107</c:v>
                </c:pt>
                <c:pt idx="201">
                  <c:v>196.97054307245432</c:v>
                </c:pt>
                <c:pt idx="202">
                  <c:v>198.93033083150451</c:v>
                </c:pt>
                <c:pt idx="203">
                  <c:v>203.36662745177298</c:v>
                </c:pt>
                <c:pt idx="204">
                  <c:v>204.37565902894949</c:v>
                </c:pt>
                <c:pt idx="205">
                  <c:v>195.52791839458962</c:v>
                </c:pt>
                <c:pt idx="206">
                  <c:v>204.15745537681602</c:v>
                </c:pt>
                <c:pt idx="207">
                  <c:v>194.0381051470836</c:v>
                </c:pt>
                <c:pt idx="208">
                  <c:v>200.75966187725714</c:v>
                </c:pt>
                <c:pt idx="209">
                  <c:v>198.09261388517885</c:v>
                </c:pt>
                <c:pt idx="210">
                  <c:v>193.15704864711321</c:v>
                </c:pt>
                <c:pt idx="211">
                  <c:v>202.82434425300241</c:v>
                </c:pt>
                <c:pt idx="212">
                  <c:v>198.61902119750101</c:v>
                </c:pt>
                <c:pt idx="213">
                  <c:v>198.95970118381459</c:v>
                </c:pt>
                <c:pt idx="214">
                  <c:v>199.5249749969239</c:v>
                </c:pt>
                <c:pt idx="215">
                  <c:v>199.05367705116683</c:v>
                </c:pt>
                <c:pt idx="216">
                  <c:v>200.69870817851833</c:v>
                </c:pt>
                <c:pt idx="217">
                  <c:v>198.38303490919756</c:v>
                </c:pt>
                <c:pt idx="218">
                  <c:v>199.76339659420486</c:v>
                </c:pt>
                <c:pt idx="219">
                  <c:v>200.5359869572151</c:v>
                </c:pt>
                <c:pt idx="220">
                  <c:v>202.75952056647589</c:v>
                </c:pt>
                <c:pt idx="221">
                  <c:v>200.349434237721</c:v>
                </c:pt>
                <c:pt idx="222">
                  <c:v>198.55632172060803</c:v>
                </c:pt>
                <c:pt idx="223">
                  <c:v>201.25780491959978</c:v>
                </c:pt>
                <c:pt idx="224">
                  <c:v>199.21556452407251</c:v>
                </c:pt>
                <c:pt idx="225">
                  <c:v>202.47132022340446</c:v>
                </c:pt>
                <c:pt idx="226">
                  <c:v>197.18774838974338</c:v>
                </c:pt>
                <c:pt idx="227">
                  <c:v>201.98161476821593</c:v>
                </c:pt>
                <c:pt idx="228">
                  <c:v>204.6385400091946</c:v>
                </c:pt>
                <c:pt idx="229">
                  <c:v>203.25784028676105</c:v>
                </c:pt>
                <c:pt idx="230">
                  <c:v>198.21228928389897</c:v>
                </c:pt>
                <c:pt idx="231">
                  <c:v>196.43968787990593</c:v>
                </c:pt>
                <c:pt idx="232">
                  <c:v>201.15066309662015</c:v>
                </c:pt>
                <c:pt idx="233">
                  <c:v>203.65143264773815</c:v>
                </c:pt>
                <c:pt idx="234">
                  <c:v>198.72830339084859</c:v>
                </c:pt>
                <c:pt idx="235">
                  <c:v>198.79830464290043</c:v>
                </c:pt>
                <c:pt idx="236">
                  <c:v>201.4840199056496</c:v>
                </c:pt>
                <c:pt idx="237">
                  <c:v>195.48893011676287</c:v>
                </c:pt>
                <c:pt idx="238">
                  <c:v>197.85980341505689</c:v>
                </c:pt>
                <c:pt idx="239">
                  <c:v>198.85823264444221</c:v>
                </c:pt>
                <c:pt idx="240">
                  <c:v>198.48709388333128</c:v>
                </c:pt>
                <c:pt idx="241">
                  <c:v>203.4678106182057</c:v>
                </c:pt>
                <c:pt idx="242">
                  <c:v>199.28881028700886</c:v>
                </c:pt>
                <c:pt idx="243">
                  <c:v>197.87155074251029</c:v>
                </c:pt>
                <c:pt idx="244">
                  <c:v>193.94799522827299</c:v>
                </c:pt>
                <c:pt idx="245">
                  <c:v>198.45651628357322</c:v>
                </c:pt>
                <c:pt idx="246">
                  <c:v>199.49752303739103</c:v>
                </c:pt>
                <c:pt idx="247">
                  <c:v>197.82041422759141</c:v>
                </c:pt>
                <c:pt idx="248">
                  <c:v>207.79550298963105</c:v>
                </c:pt>
                <c:pt idx="249">
                  <c:v>198.9573971795607</c:v>
                </c:pt>
                <c:pt idx="250">
                  <c:v>200.17035352887146</c:v>
                </c:pt>
                <c:pt idx="251">
                  <c:v>205.07448407661872</c:v>
                </c:pt>
                <c:pt idx="252">
                  <c:v>198.69800005150034</c:v>
                </c:pt>
                <c:pt idx="253">
                  <c:v>197.80496622376964</c:v>
                </c:pt>
                <c:pt idx="254">
                  <c:v>201.88426134048251</c:v>
                </c:pt>
                <c:pt idx="255">
                  <c:v>205.11651169666061</c:v>
                </c:pt>
                <c:pt idx="256">
                  <c:v>201.7570123907858</c:v>
                </c:pt>
                <c:pt idx="257">
                  <c:v>193.30304163039887</c:v>
                </c:pt>
                <c:pt idx="258">
                  <c:v>202.72270714021354</c:v>
                </c:pt>
                <c:pt idx="259">
                  <c:v>205.7748622466338</c:v>
                </c:pt>
                <c:pt idx="260">
                  <c:v>199.17475781381404</c:v>
                </c:pt>
                <c:pt idx="261">
                  <c:v>201.74295837579749</c:v>
                </c:pt>
                <c:pt idx="262">
                  <c:v>198.23027871860489</c:v>
                </c:pt>
                <c:pt idx="263">
                  <c:v>203.25485946679626</c:v>
                </c:pt>
                <c:pt idx="264">
                  <c:v>198.86935216356486</c:v>
                </c:pt>
                <c:pt idx="265">
                  <c:v>200.20911259733913</c:v>
                </c:pt>
                <c:pt idx="266">
                  <c:v>193.17369205805664</c:v>
                </c:pt>
                <c:pt idx="267">
                  <c:v>201.73176791664829</c:v>
                </c:pt>
                <c:pt idx="268">
                  <c:v>199.44495117731807</c:v>
                </c:pt>
                <c:pt idx="269">
                  <c:v>194.11524045960405</c:v>
                </c:pt>
                <c:pt idx="270">
                  <c:v>201.31294817552171</c:v>
                </c:pt>
                <c:pt idx="271">
                  <c:v>191.33212019075458</c:v>
                </c:pt>
                <c:pt idx="272">
                  <c:v>203.70246645347302</c:v>
                </c:pt>
                <c:pt idx="273">
                  <c:v>200.05803402300376</c:v>
                </c:pt>
                <c:pt idx="274">
                  <c:v>198.74645172307123</c:v>
                </c:pt>
                <c:pt idx="275">
                  <c:v>200.95560663244822</c:v>
                </c:pt>
                <c:pt idx="276">
                  <c:v>197.26844954790985</c:v>
                </c:pt>
                <c:pt idx="277">
                  <c:v>200.80339368492722</c:v>
                </c:pt>
                <c:pt idx="278">
                  <c:v>200.8333905363865</c:v>
                </c:pt>
                <c:pt idx="279">
                  <c:v>198.00149208586885</c:v>
                </c:pt>
                <c:pt idx="280">
                  <c:v>196.00552417562258</c:v>
                </c:pt>
                <c:pt idx="281">
                  <c:v>200.65998540115578</c:v>
                </c:pt>
                <c:pt idx="282">
                  <c:v>203.36577017095215</c:v>
                </c:pt>
                <c:pt idx="283">
                  <c:v>196.28237101842399</c:v>
                </c:pt>
                <c:pt idx="284">
                  <c:v>197.13447105047536</c:v>
                </c:pt>
                <c:pt idx="285">
                  <c:v>200.14495904779417</c:v>
                </c:pt>
                <c:pt idx="286">
                  <c:v>200.60736664295385</c:v>
                </c:pt>
                <c:pt idx="287">
                  <c:v>201.40880719048016</c:v>
                </c:pt>
                <c:pt idx="288">
                  <c:v>200.51222875906217</c:v>
                </c:pt>
                <c:pt idx="289">
                  <c:v>199.93344329809509</c:v>
                </c:pt>
                <c:pt idx="290">
                  <c:v>205.8819104805477</c:v>
                </c:pt>
                <c:pt idx="291">
                  <c:v>193.5810950073764</c:v>
                </c:pt>
                <c:pt idx="292">
                  <c:v>200.7619706393435</c:v>
                </c:pt>
                <c:pt idx="293">
                  <c:v>200.38425067654737</c:v>
                </c:pt>
                <c:pt idx="294">
                  <c:v>199.0777269211539</c:v>
                </c:pt>
                <c:pt idx="295">
                  <c:v>200.91086555453433</c:v>
                </c:pt>
                <c:pt idx="296">
                  <c:v>200.49310518288226</c:v>
                </c:pt>
                <c:pt idx="297">
                  <c:v>202.29294988992493</c:v>
                </c:pt>
                <c:pt idx="298">
                  <c:v>202.68908421100897</c:v>
                </c:pt>
                <c:pt idx="299">
                  <c:v>201.79095964251692</c:v>
                </c:pt>
                <c:pt idx="300">
                  <c:v>200.280354952701</c:v>
                </c:pt>
                <c:pt idx="301">
                  <c:v>200.29785162942412</c:v>
                </c:pt>
                <c:pt idx="302">
                  <c:v>197.36774663597916</c:v>
                </c:pt>
                <c:pt idx="303">
                  <c:v>197.53740875911041</c:v>
                </c:pt>
                <c:pt idx="304">
                  <c:v>201.96521661920062</c:v>
                </c:pt>
                <c:pt idx="305">
                  <c:v>201.08469185859707</c:v>
                </c:pt>
                <c:pt idx="306">
                  <c:v>196.73491996120717</c:v>
                </c:pt>
                <c:pt idx="307">
                  <c:v>197.15183396778588</c:v>
                </c:pt>
                <c:pt idx="308">
                  <c:v>205.20479470212851</c:v>
                </c:pt>
                <c:pt idx="309">
                  <c:v>203.03489126206716</c:v>
                </c:pt>
                <c:pt idx="310">
                  <c:v>194.21390474052427</c:v>
                </c:pt>
                <c:pt idx="311">
                  <c:v>196.36111099668688</c:v>
                </c:pt>
                <c:pt idx="312">
                  <c:v>204.24438662681482</c:v>
                </c:pt>
                <c:pt idx="313">
                  <c:v>199.07813785919222</c:v>
                </c:pt>
                <c:pt idx="314">
                  <c:v>196.92474382994411</c:v>
                </c:pt>
                <c:pt idx="315">
                  <c:v>201.81351476303215</c:v>
                </c:pt>
                <c:pt idx="316">
                  <c:v>200.01954442054978</c:v>
                </c:pt>
                <c:pt idx="317">
                  <c:v>203.2727253776595</c:v>
                </c:pt>
                <c:pt idx="318">
                  <c:v>205.79711387630542</c:v>
                </c:pt>
                <c:pt idx="319">
                  <c:v>200.18085658061082</c:v>
                </c:pt>
                <c:pt idx="320">
                  <c:v>191.92860946307081</c:v>
                </c:pt>
                <c:pt idx="321">
                  <c:v>205.66465665409987</c:v>
                </c:pt>
                <c:pt idx="322">
                  <c:v>202.68111518387812</c:v>
                </c:pt>
                <c:pt idx="323">
                  <c:v>202.35051293742984</c:v>
                </c:pt>
                <c:pt idx="324">
                  <c:v>198.11448418430436</c:v>
                </c:pt>
                <c:pt idx="325">
                  <c:v>202.71832956457695</c:v>
                </c:pt>
                <c:pt idx="326">
                  <c:v>199.12887722524255</c:v>
                </c:pt>
                <c:pt idx="327">
                  <c:v>197.89418879711423</c:v>
                </c:pt>
                <c:pt idx="328">
                  <c:v>197.82455250806868</c:v>
                </c:pt>
                <c:pt idx="329">
                  <c:v>207.5119679274718</c:v>
                </c:pt>
                <c:pt idx="330">
                  <c:v>198.91389840158564</c:v>
                </c:pt>
                <c:pt idx="331">
                  <c:v>202.21115575432933</c:v>
                </c:pt>
                <c:pt idx="332">
                  <c:v>195.85635946835808</c:v>
                </c:pt>
                <c:pt idx="333">
                  <c:v>200.31754005498394</c:v>
                </c:pt>
                <c:pt idx="334">
                  <c:v>207.46042749088596</c:v>
                </c:pt>
                <c:pt idx="335">
                  <c:v>195.75956423737301</c:v>
                </c:pt>
                <c:pt idx="336">
                  <c:v>199.57637490944475</c:v>
                </c:pt>
                <c:pt idx="337">
                  <c:v>202.62551104953238</c:v>
                </c:pt>
                <c:pt idx="338">
                  <c:v>196.29137806553575</c:v>
                </c:pt>
                <c:pt idx="339">
                  <c:v>198.43922594980532</c:v>
                </c:pt>
                <c:pt idx="340">
                  <c:v>198.55897547898519</c:v>
                </c:pt>
                <c:pt idx="341">
                  <c:v>196.42123415537847</c:v>
                </c:pt>
                <c:pt idx="342">
                  <c:v>202.22849649557403</c:v>
                </c:pt>
                <c:pt idx="343">
                  <c:v>199.65712650311519</c:v>
                </c:pt>
                <c:pt idx="344">
                  <c:v>194.14244112583012</c:v>
                </c:pt>
                <c:pt idx="345">
                  <c:v>204.5607865013755</c:v>
                </c:pt>
                <c:pt idx="346">
                  <c:v>201.19371101186914</c:v>
                </c:pt>
                <c:pt idx="347">
                  <c:v>195.12054988377378</c:v>
                </c:pt>
                <c:pt idx="348">
                  <c:v>205.49688067456034</c:v>
                </c:pt>
                <c:pt idx="349">
                  <c:v>199.32722736784081</c:v>
                </c:pt>
                <c:pt idx="350">
                  <c:v>200.55889653966875</c:v>
                </c:pt>
                <c:pt idx="351">
                  <c:v>188.87238928532892</c:v>
                </c:pt>
                <c:pt idx="352">
                  <c:v>202.42789170204335</c:v>
                </c:pt>
                <c:pt idx="353">
                  <c:v>202.55664037868382</c:v>
                </c:pt>
                <c:pt idx="354">
                  <c:v>202.68924331867458</c:v>
                </c:pt>
                <c:pt idx="355">
                  <c:v>199.20029457914532</c:v>
                </c:pt>
                <c:pt idx="356">
                  <c:v>195.731024189712</c:v>
                </c:pt>
                <c:pt idx="357">
                  <c:v>198.03597778705839</c:v>
                </c:pt>
                <c:pt idx="358">
                  <c:v>201.9285776101955</c:v>
                </c:pt>
                <c:pt idx="359">
                  <c:v>204.36493210014126</c:v>
                </c:pt>
                <c:pt idx="360">
                  <c:v>193.29223247232585</c:v>
                </c:pt>
                <c:pt idx="361">
                  <c:v>206.21709844529943</c:v>
                </c:pt>
                <c:pt idx="362">
                  <c:v>196.57573487768857</c:v>
                </c:pt>
                <c:pt idx="363">
                  <c:v>201.47189306842665</c:v>
                </c:pt>
                <c:pt idx="364">
                  <c:v>204.25197264769884</c:v>
                </c:pt>
                <c:pt idx="365">
                  <c:v>200.82229236756865</c:v>
                </c:pt>
                <c:pt idx="366">
                  <c:v>199.73792395331679</c:v>
                </c:pt>
                <c:pt idx="367">
                  <c:v>198.48453351406781</c:v>
                </c:pt>
                <c:pt idx="368">
                  <c:v>200.55905180827372</c:v>
                </c:pt>
                <c:pt idx="369">
                  <c:v>200.16179549554585</c:v>
                </c:pt>
                <c:pt idx="370">
                  <c:v>199.68185175947406</c:v>
                </c:pt>
                <c:pt idx="371">
                  <c:v>203.38244795166187</c:v>
                </c:pt>
                <c:pt idx="372">
                  <c:v>205.57726552178696</c:v>
                </c:pt>
                <c:pt idx="373">
                  <c:v>200.34171055791617</c:v>
                </c:pt>
                <c:pt idx="374">
                  <c:v>200.61845137684634</c:v>
                </c:pt>
                <c:pt idx="375">
                  <c:v>200.30435420621308</c:v>
                </c:pt>
                <c:pt idx="376">
                  <c:v>199.07275672108497</c:v>
                </c:pt>
                <c:pt idx="377">
                  <c:v>195.68957742715514</c:v>
                </c:pt>
                <c:pt idx="378">
                  <c:v>195.93151679904699</c:v>
                </c:pt>
                <c:pt idx="379">
                  <c:v>201.00473048503551</c:v>
                </c:pt>
                <c:pt idx="380">
                  <c:v>202.79945709979202</c:v>
                </c:pt>
                <c:pt idx="381">
                  <c:v>201.70662443582145</c:v>
                </c:pt>
                <c:pt idx="382">
                  <c:v>206.41651657933468</c:v>
                </c:pt>
                <c:pt idx="383">
                  <c:v>201.15828509410395</c:v>
                </c:pt>
                <c:pt idx="384">
                  <c:v>194.15724403972825</c:v>
                </c:pt>
                <c:pt idx="385">
                  <c:v>202.70989146762733</c:v>
                </c:pt>
                <c:pt idx="386">
                  <c:v>202.22607793098874</c:v>
                </c:pt>
                <c:pt idx="387">
                  <c:v>204.64770917333817</c:v>
                </c:pt>
                <c:pt idx="388">
                  <c:v>203.25854317987961</c:v>
                </c:pt>
                <c:pt idx="389">
                  <c:v>200.47616220400798</c:v>
                </c:pt>
                <c:pt idx="390">
                  <c:v>197.83430265829136</c:v>
                </c:pt>
                <c:pt idx="391">
                  <c:v>199.21752733431177</c:v>
                </c:pt>
                <c:pt idx="392">
                  <c:v>201.18525708065758</c:v>
                </c:pt>
                <c:pt idx="393">
                  <c:v>202.86751548024986</c:v>
                </c:pt>
                <c:pt idx="394">
                  <c:v>200.83533128721015</c:v>
                </c:pt>
                <c:pt idx="395">
                  <c:v>205.20804706921922</c:v>
                </c:pt>
                <c:pt idx="396">
                  <c:v>201.52366221036999</c:v>
                </c:pt>
                <c:pt idx="397">
                  <c:v>196.10405284082253</c:v>
                </c:pt>
                <c:pt idx="398">
                  <c:v>199.01135131543455</c:v>
                </c:pt>
                <c:pt idx="399">
                  <c:v>204.94128692330619</c:v>
                </c:pt>
                <c:pt idx="400">
                  <c:v>202.14340456889329</c:v>
                </c:pt>
                <c:pt idx="401">
                  <c:v>201.80106231815634</c:v>
                </c:pt>
                <c:pt idx="402">
                  <c:v>204.67684350271585</c:v>
                </c:pt>
                <c:pt idx="403">
                  <c:v>204.7400493698828</c:v>
                </c:pt>
                <c:pt idx="404">
                  <c:v>201.1687152006175</c:v>
                </c:pt>
                <c:pt idx="405">
                  <c:v>196.76243879308376</c:v>
                </c:pt>
                <c:pt idx="406">
                  <c:v>196.19660640499174</c:v>
                </c:pt>
                <c:pt idx="407">
                  <c:v>200.52583348705357</c:v>
                </c:pt>
                <c:pt idx="408">
                  <c:v>202.86377493850034</c:v>
                </c:pt>
                <c:pt idx="409">
                  <c:v>198.39245906926519</c:v>
                </c:pt>
                <c:pt idx="410">
                  <c:v>193.74408112555017</c:v>
                </c:pt>
                <c:pt idx="411">
                  <c:v>203.62780516582447</c:v>
                </c:pt>
                <c:pt idx="412">
                  <c:v>195.30411178400149</c:v>
                </c:pt>
                <c:pt idx="413">
                  <c:v>196.55667507178842</c:v>
                </c:pt>
                <c:pt idx="414">
                  <c:v>200.39116758694783</c:v>
                </c:pt>
                <c:pt idx="415">
                  <c:v>198.23019410217637</c:v>
                </c:pt>
                <c:pt idx="416">
                  <c:v>203.98786629332966</c:v>
                </c:pt>
                <c:pt idx="417">
                  <c:v>200.73632617954388</c:v>
                </c:pt>
                <c:pt idx="418">
                  <c:v>200.41840452594937</c:v>
                </c:pt>
                <c:pt idx="419">
                  <c:v>197.43669129174265</c:v>
                </c:pt>
                <c:pt idx="420">
                  <c:v>197.24557864264349</c:v>
                </c:pt>
                <c:pt idx="421">
                  <c:v>202.44383753041171</c:v>
                </c:pt>
                <c:pt idx="422">
                  <c:v>201.56519883820545</c:v>
                </c:pt>
                <c:pt idx="423">
                  <c:v>202.21930638857052</c:v>
                </c:pt>
                <c:pt idx="424">
                  <c:v>202.61748146934372</c:v>
                </c:pt>
                <c:pt idx="425">
                  <c:v>201.20913271297968</c:v>
                </c:pt>
                <c:pt idx="426">
                  <c:v>201.20980247070119</c:v>
                </c:pt>
                <c:pt idx="427">
                  <c:v>204.68857777838573</c:v>
                </c:pt>
                <c:pt idx="428">
                  <c:v>196.97359826333084</c:v>
                </c:pt>
                <c:pt idx="429">
                  <c:v>204.32526106091467</c:v>
                </c:pt>
                <c:pt idx="430">
                  <c:v>197.29014420498393</c:v>
                </c:pt>
                <c:pt idx="431">
                  <c:v>200.80960592261053</c:v>
                </c:pt>
                <c:pt idx="432">
                  <c:v>196.27744386923666</c:v>
                </c:pt>
                <c:pt idx="433">
                  <c:v>198.06293209425752</c:v>
                </c:pt>
                <c:pt idx="434">
                  <c:v>197.93935776316553</c:v>
                </c:pt>
                <c:pt idx="435">
                  <c:v>202.06099642583294</c:v>
                </c:pt>
                <c:pt idx="436">
                  <c:v>200.43876312938178</c:v>
                </c:pt>
                <c:pt idx="437">
                  <c:v>194.25944249167958</c:v>
                </c:pt>
                <c:pt idx="438">
                  <c:v>200.70331447189457</c:v>
                </c:pt>
                <c:pt idx="439">
                  <c:v>192.81499188304269</c:v>
                </c:pt>
                <c:pt idx="440">
                  <c:v>199.69525140134499</c:v>
                </c:pt>
                <c:pt idx="441">
                  <c:v>197.62689938144544</c:v>
                </c:pt>
                <c:pt idx="442">
                  <c:v>204.72888126833061</c:v>
                </c:pt>
                <c:pt idx="443">
                  <c:v>205.64043064487058</c:v>
                </c:pt>
                <c:pt idx="444">
                  <c:v>204.44371450566507</c:v>
                </c:pt>
                <c:pt idx="445">
                  <c:v>206.21168600370945</c:v>
                </c:pt>
                <c:pt idx="446">
                  <c:v>203.16617876725837</c:v>
                </c:pt>
                <c:pt idx="447">
                  <c:v>203.71614198963627</c:v>
                </c:pt>
                <c:pt idx="448">
                  <c:v>206.26860670487844</c:v>
                </c:pt>
                <c:pt idx="449">
                  <c:v>203.28804904900949</c:v>
                </c:pt>
                <c:pt idx="450">
                  <c:v>200.77773563337971</c:v>
                </c:pt>
                <c:pt idx="451">
                  <c:v>200.94579211667528</c:v>
                </c:pt>
                <c:pt idx="452">
                  <c:v>198.60783581654943</c:v>
                </c:pt>
                <c:pt idx="453">
                  <c:v>197.10012359930991</c:v>
                </c:pt>
                <c:pt idx="454">
                  <c:v>202.80190874519076</c:v>
                </c:pt>
                <c:pt idx="455">
                  <c:v>202.95905729335931</c:v>
                </c:pt>
                <c:pt idx="456">
                  <c:v>203.33268686515328</c:v>
                </c:pt>
                <c:pt idx="457">
                  <c:v>200.2380515637073</c:v>
                </c:pt>
                <c:pt idx="458">
                  <c:v>192.97493591886945</c:v>
                </c:pt>
                <c:pt idx="459">
                  <c:v>200.30157205383657</c:v>
                </c:pt>
                <c:pt idx="460">
                  <c:v>195.95756124653482</c:v>
                </c:pt>
                <c:pt idx="461">
                  <c:v>197.55925928525559</c:v>
                </c:pt>
                <c:pt idx="462">
                  <c:v>198.64380280179131</c:v>
                </c:pt>
                <c:pt idx="463">
                  <c:v>200.21892509400894</c:v>
                </c:pt>
                <c:pt idx="464">
                  <c:v>193.69073771303013</c:v>
                </c:pt>
                <c:pt idx="465">
                  <c:v>202.05580702108907</c:v>
                </c:pt>
                <c:pt idx="466">
                  <c:v>200.48274586883846</c:v>
                </c:pt>
                <c:pt idx="467">
                  <c:v>199.58885908140124</c:v>
                </c:pt>
                <c:pt idx="468">
                  <c:v>197.7361023473226</c:v>
                </c:pt>
                <c:pt idx="469">
                  <c:v>203.53376463290991</c:v>
                </c:pt>
                <c:pt idx="470">
                  <c:v>203.08559198252087</c:v>
                </c:pt>
                <c:pt idx="471">
                  <c:v>201.3713288282211</c:v>
                </c:pt>
                <c:pt idx="472">
                  <c:v>210.0656809346178</c:v>
                </c:pt>
                <c:pt idx="473">
                  <c:v>201.52698099752962</c:v>
                </c:pt>
                <c:pt idx="474">
                  <c:v>198.63866200567136</c:v>
                </c:pt>
                <c:pt idx="475">
                  <c:v>200.76556818922043</c:v>
                </c:pt>
                <c:pt idx="476">
                  <c:v>200.10894524163749</c:v>
                </c:pt>
                <c:pt idx="477">
                  <c:v>199.52718372831191</c:v>
                </c:pt>
                <c:pt idx="478">
                  <c:v>201.40431588667337</c:v>
                </c:pt>
                <c:pt idx="479">
                  <c:v>197.80827621967356</c:v>
                </c:pt>
                <c:pt idx="480">
                  <c:v>199.77946440308639</c:v>
                </c:pt>
                <c:pt idx="481">
                  <c:v>195.65019305962321</c:v>
                </c:pt>
                <c:pt idx="482">
                  <c:v>201.58961557768217</c:v>
                </c:pt>
                <c:pt idx="483">
                  <c:v>206.09798085560357</c:v>
                </c:pt>
                <c:pt idx="484">
                  <c:v>207.47460107655544</c:v>
                </c:pt>
                <c:pt idx="485">
                  <c:v>200.10113196334129</c:v>
                </c:pt>
                <c:pt idx="486">
                  <c:v>198.74743463567432</c:v>
                </c:pt>
                <c:pt idx="487">
                  <c:v>195.31403775756201</c:v>
                </c:pt>
                <c:pt idx="488">
                  <c:v>204.11609113938746</c:v>
                </c:pt>
                <c:pt idx="489">
                  <c:v>204.01247049297177</c:v>
                </c:pt>
                <c:pt idx="490">
                  <c:v>201.23955623561423</c:v>
                </c:pt>
                <c:pt idx="491">
                  <c:v>200.37757436415183</c:v>
                </c:pt>
                <c:pt idx="492">
                  <c:v>199.03548787299647</c:v>
                </c:pt>
                <c:pt idx="493">
                  <c:v>196.50232406203071</c:v>
                </c:pt>
                <c:pt idx="494">
                  <c:v>201.77693713358744</c:v>
                </c:pt>
                <c:pt idx="495">
                  <c:v>203.17806261594896</c:v>
                </c:pt>
                <c:pt idx="496">
                  <c:v>203.86060696981042</c:v>
                </c:pt>
                <c:pt idx="497">
                  <c:v>195.87221275679073</c:v>
                </c:pt>
                <c:pt idx="498">
                  <c:v>197.3323156527585</c:v>
                </c:pt>
                <c:pt idx="499">
                  <c:v>198.97862943329284</c:v>
                </c:pt>
                <c:pt idx="500">
                  <c:v>197.80520999705809</c:v>
                </c:pt>
                <c:pt idx="501">
                  <c:v>192.91610344386828</c:v>
                </c:pt>
                <c:pt idx="502">
                  <c:v>190.1085056990234</c:v>
                </c:pt>
                <c:pt idx="503">
                  <c:v>201.05249260287914</c:v>
                </c:pt>
                <c:pt idx="504">
                  <c:v>195.45222123251435</c:v>
                </c:pt>
                <c:pt idx="505">
                  <c:v>197.62745520051112</c:v>
                </c:pt>
                <c:pt idx="506">
                  <c:v>199.50465121357249</c:v>
                </c:pt>
                <c:pt idx="507">
                  <c:v>197.85322634590372</c:v>
                </c:pt>
                <c:pt idx="508">
                  <c:v>211.50328166873146</c:v>
                </c:pt>
                <c:pt idx="509">
                  <c:v>195.89694889895196</c:v>
                </c:pt>
                <c:pt idx="510">
                  <c:v>200.53910361479004</c:v>
                </c:pt>
                <c:pt idx="511">
                  <c:v>202.21896091233185</c:v>
                </c:pt>
                <c:pt idx="512">
                  <c:v>200.27831753845828</c:v>
                </c:pt>
                <c:pt idx="513">
                  <c:v>203.27709765092573</c:v>
                </c:pt>
                <c:pt idx="514">
                  <c:v>200.52769789070442</c:v>
                </c:pt>
                <c:pt idx="515">
                  <c:v>201.34679976203009</c:v>
                </c:pt>
                <c:pt idx="516">
                  <c:v>193.71757267643747</c:v>
                </c:pt>
                <c:pt idx="517">
                  <c:v>199.44003178708209</c:v>
                </c:pt>
                <c:pt idx="518">
                  <c:v>199.35002764697595</c:v>
                </c:pt>
                <c:pt idx="519">
                  <c:v>194.46076760163325</c:v>
                </c:pt>
                <c:pt idx="520">
                  <c:v>199.02196809622825</c:v>
                </c:pt>
                <c:pt idx="521">
                  <c:v>203.5842458791808</c:v>
                </c:pt>
                <c:pt idx="522">
                  <c:v>201.59163998733439</c:v>
                </c:pt>
                <c:pt idx="523">
                  <c:v>200.16904212643482</c:v>
                </c:pt>
                <c:pt idx="524">
                  <c:v>197.17513487950549</c:v>
                </c:pt>
                <c:pt idx="525">
                  <c:v>199.45077150157326</c:v>
                </c:pt>
                <c:pt idx="526">
                  <c:v>196.44456926488292</c:v>
                </c:pt>
                <c:pt idx="527">
                  <c:v>199.55348690269673</c:v>
                </c:pt>
                <c:pt idx="528">
                  <c:v>203.33100085518086</c:v>
                </c:pt>
                <c:pt idx="529">
                  <c:v>202.86417122732749</c:v>
                </c:pt>
                <c:pt idx="530">
                  <c:v>201.99968445448297</c:v>
                </c:pt>
                <c:pt idx="531">
                  <c:v>197.79702736697487</c:v>
                </c:pt>
                <c:pt idx="532">
                  <c:v>200.72587876363542</c:v>
                </c:pt>
                <c:pt idx="533">
                  <c:v>196.70094415495791</c:v>
                </c:pt>
                <c:pt idx="534">
                  <c:v>200.2789815834777</c:v>
                </c:pt>
                <c:pt idx="535">
                  <c:v>192.75603660001096</c:v>
                </c:pt>
                <c:pt idx="536">
                  <c:v>192.87201362876519</c:v>
                </c:pt>
                <c:pt idx="537">
                  <c:v>199.084715739903</c:v>
                </c:pt>
                <c:pt idx="538">
                  <c:v>202.23660981423743</c:v>
                </c:pt>
                <c:pt idx="539">
                  <c:v>199.23425737323717</c:v>
                </c:pt>
                <c:pt idx="540">
                  <c:v>207.35196657010044</c:v>
                </c:pt>
                <c:pt idx="541">
                  <c:v>196.89585106602212</c:v>
                </c:pt>
                <c:pt idx="542">
                  <c:v>195.89666311960511</c:v>
                </c:pt>
                <c:pt idx="543">
                  <c:v>201.3539031270731</c:v>
                </c:pt>
                <c:pt idx="544">
                  <c:v>199.38198098014817</c:v>
                </c:pt>
                <c:pt idx="545">
                  <c:v>202.37512046459878</c:v>
                </c:pt>
                <c:pt idx="546">
                  <c:v>196.15043724252567</c:v>
                </c:pt>
                <c:pt idx="547">
                  <c:v>199.87535204318641</c:v>
                </c:pt>
                <c:pt idx="548">
                  <c:v>197.80319150021816</c:v>
                </c:pt>
                <c:pt idx="549">
                  <c:v>200.32589494352547</c:v>
                </c:pt>
                <c:pt idx="550">
                  <c:v>199.43419435841585</c:v>
                </c:pt>
                <c:pt idx="551">
                  <c:v>202.17329839159919</c:v>
                </c:pt>
                <c:pt idx="552">
                  <c:v>197.77761451031938</c:v>
                </c:pt>
                <c:pt idx="553">
                  <c:v>199.64616181566785</c:v>
                </c:pt>
                <c:pt idx="554">
                  <c:v>202.15645033176514</c:v>
                </c:pt>
                <c:pt idx="555">
                  <c:v>205.34334746037348</c:v>
                </c:pt>
                <c:pt idx="556">
                  <c:v>195.93926875706617</c:v>
                </c:pt>
                <c:pt idx="557">
                  <c:v>201.22800456681381</c:v>
                </c:pt>
                <c:pt idx="558">
                  <c:v>198.47255715274156</c:v>
                </c:pt>
                <c:pt idx="559">
                  <c:v>199.05294630041098</c:v>
                </c:pt>
                <c:pt idx="560">
                  <c:v>196.69435289114975</c:v>
                </c:pt>
                <c:pt idx="561">
                  <c:v>194.09731337886302</c:v>
                </c:pt>
                <c:pt idx="562">
                  <c:v>197.708133064636</c:v>
                </c:pt>
                <c:pt idx="563">
                  <c:v>201.48650233108657</c:v>
                </c:pt>
                <c:pt idx="564">
                  <c:v>197.94661801844256</c:v>
                </c:pt>
                <c:pt idx="565">
                  <c:v>199.56375904723251</c:v>
                </c:pt>
                <c:pt idx="566">
                  <c:v>192.8579578290101</c:v>
                </c:pt>
                <c:pt idx="567">
                  <c:v>196.13813433058655</c:v>
                </c:pt>
                <c:pt idx="568">
                  <c:v>200.44407700148392</c:v>
                </c:pt>
                <c:pt idx="569">
                  <c:v>195.43797746084357</c:v>
                </c:pt>
                <c:pt idx="570">
                  <c:v>195.53907824734756</c:v>
                </c:pt>
                <c:pt idx="571">
                  <c:v>202.63414251056548</c:v>
                </c:pt>
                <c:pt idx="572">
                  <c:v>205.34376415249758</c:v>
                </c:pt>
                <c:pt idx="573">
                  <c:v>198.32135656196792</c:v>
                </c:pt>
                <c:pt idx="574">
                  <c:v>197.19421195630787</c:v>
                </c:pt>
                <c:pt idx="575">
                  <c:v>204.72859594242323</c:v>
                </c:pt>
                <c:pt idx="576">
                  <c:v>198.91910917616937</c:v>
                </c:pt>
                <c:pt idx="577">
                  <c:v>193.6999486728142</c:v>
                </c:pt>
                <c:pt idx="578">
                  <c:v>197.24005977338575</c:v>
                </c:pt>
                <c:pt idx="579">
                  <c:v>197.77216578344962</c:v>
                </c:pt>
                <c:pt idx="580">
                  <c:v>201.0154484296763</c:v>
                </c:pt>
                <c:pt idx="581">
                  <c:v>201.09099343214712</c:v>
                </c:pt>
                <c:pt idx="582">
                  <c:v>199.88388936135814</c:v>
                </c:pt>
                <c:pt idx="583">
                  <c:v>201.82422012646467</c:v>
                </c:pt>
                <c:pt idx="584">
                  <c:v>201.91747646703018</c:v>
                </c:pt>
                <c:pt idx="585">
                  <c:v>199.33777755659253</c:v>
                </c:pt>
                <c:pt idx="586">
                  <c:v>197.08660012797023</c:v>
                </c:pt>
                <c:pt idx="587">
                  <c:v>205.17628768549486</c:v>
                </c:pt>
                <c:pt idx="588">
                  <c:v>195.48298623364676</c:v>
                </c:pt>
                <c:pt idx="589">
                  <c:v>199.18481320533854</c:v>
                </c:pt>
                <c:pt idx="590">
                  <c:v>197.59032148470197</c:v>
                </c:pt>
                <c:pt idx="591">
                  <c:v>204.72814334068218</c:v>
                </c:pt>
                <c:pt idx="592">
                  <c:v>198.26146146491257</c:v>
                </c:pt>
                <c:pt idx="593">
                  <c:v>196.12140993745737</c:v>
                </c:pt>
                <c:pt idx="594">
                  <c:v>198.29732728871355</c:v>
                </c:pt>
                <c:pt idx="595">
                  <c:v>200.99352522076518</c:v>
                </c:pt>
                <c:pt idx="596">
                  <c:v>193.65476119281911</c:v>
                </c:pt>
                <c:pt idx="597">
                  <c:v>193.97587684839436</c:v>
                </c:pt>
                <c:pt idx="598">
                  <c:v>196.72651811877654</c:v>
                </c:pt>
                <c:pt idx="599">
                  <c:v>195.25331309100244</c:v>
                </c:pt>
                <c:pt idx="600">
                  <c:v>198.23033070669842</c:v>
                </c:pt>
                <c:pt idx="601">
                  <c:v>202.0938159529434</c:v>
                </c:pt>
                <c:pt idx="602">
                  <c:v>199.33785784745027</c:v>
                </c:pt>
                <c:pt idx="603">
                  <c:v>201.25140903349407</c:v>
                </c:pt>
                <c:pt idx="604">
                  <c:v>201.29556431167953</c:v>
                </c:pt>
                <c:pt idx="605">
                  <c:v>201.97150419471541</c:v>
                </c:pt>
                <c:pt idx="606">
                  <c:v>202.3367535737847</c:v>
                </c:pt>
                <c:pt idx="607">
                  <c:v>198.10969928196474</c:v>
                </c:pt>
                <c:pt idx="608">
                  <c:v>202.64001164438619</c:v>
                </c:pt>
                <c:pt idx="609">
                  <c:v>204.68317128439153</c:v>
                </c:pt>
                <c:pt idx="610">
                  <c:v>199.6234374675972</c:v>
                </c:pt>
                <c:pt idx="611">
                  <c:v>195.57988249520469</c:v>
                </c:pt>
                <c:pt idx="612">
                  <c:v>198.44907142422409</c:v>
                </c:pt>
                <c:pt idx="613">
                  <c:v>202.36333379544936</c:v>
                </c:pt>
                <c:pt idx="614">
                  <c:v>203.32201825985999</c:v>
                </c:pt>
                <c:pt idx="615">
                  <c:v>191.71746048658338</c:v>
                </c:pt>
                <c:pt idx="616">
                  <c:v>192.86570141965061</c:v>
                </c:pt>
                <c:pt idx="617">
                  <c:v>201.48509746452734</c:v>
                </c:pt>
                <c:pt idx="618">
                  <c:v>205.70551016474602</c:v>
                </c:pt>
                <c:pt idx="619">
                  <c:v>198.37418886077771</c:v>
                </c:pt>
                <c:pt idx="620">
                  <c:v>204.51019845344405</c:v>
                </c:pt>
                <c:pt idx="621">
                  <c:v>200.68485560942199</c:v>
                </c:pt>
                <c:pt idx="622">
                  <c:v>199.41666779698284</c:v>
                </c:pt>
                <c:pt idx="623">
                  <c:v>204.74975378785518</c:v>
                </c:pt>
                <c:pt idx="624">
                  <c:v>202.67377206246599</c:v>
                </c:pt>
                <c:pt idx="625">
                  <c:v>197.79358813092523</c:v>
                </c:pt>
                <c:pt idx="626">
                  <c:v>203.54789743764883</c:v>
                </c:pt>
                <c:pt idx="627">
                  <c:v>203.49578763771819</c:v>
                </c:pt>
                <c:pt idx="628">
                  <c:v>202.03788581016522</c:v>
                </c:pt>
                <c:pt idx="629">
                  <c:v>205.2387938755985</c:v>
                </c:pt>
                <c:pt idx="630">
                  <c:v>192.77341848542059</c:v>
                </c:pt>
                <c:pt idx="631">
                  <c:v>198.09362086430974</c:v>
                </c:pt>
                <c:pt idx="632">
                  <c:v>198.89132236561974</c:v>
                </c:pt>
                <c:pt idx="633">
                  <c:v>205.33177804736093</c:v>
                </c:pt>
                <c:pt idx="634">
                  <c:v>204.20093006656546</c:v>
                </c:pt>
                <c:pt idx="635">
                  <c:v>190.15482579930483</c:v>
                </c:pt>
                <c:pt idx="636">
                  <c:v>198.68736268135245</c:v>
                </c:pt>
                <c:pt idx="637">
                  <c:v>199.00738505887463</c:v>
                </c:pt>
                <c:pt idx="638">
                  <c:v>200.13541420877834</c:v>
                </c:pt>
                <c:pt idx="639">
                  <c:v>198.5966298906834</c:v>
                </c:pt>
                <c:pt idx="640">
                  <c:v>199.35789323568406</c:v>
                </c:pt>
                <c:pt idx="641">
                  <c:v>200.99739107901584</c:v>
                </c:pt>
                <c:pt idx="642">
                  <c:v>195.27973097251902</c:v>
                </c:pt>
                <c:pt idx="643">
                  <c:v>202.31747628356788</c:v>
                </c:pt>
                <c:pt idx="644">
                  <c:v>204.70315757001168</c:v>
                </c:pt>
                <c:pt idx="645">
                  <c:v>197.13007687621081</c:v>
                </c:pt>
                <c:pt idx="646">
                  <c:v>199.28930939679725</c:v>
                </c:pt>
                <c:pt idx="647">
                  <c:v>201.0881564464531</c:v>
                </c:pt>
                <c:pt idx="648">
                  <c:v>200.71465559499981</c:v>
                </c:pt>
                <c:pt idx="649">
                  <c:v>198.73453376058117</c:v>
                </c:pt>
                <c:pt idx="650">
                  <c:v>201.52660035372057</c:v>
                </c:pt>
                <c:pt idx="651">
                  <c:v>198.13665007960864</c:v>
                </c:pt>
                <c:pt idx="652">
                  <c:v>197.61637324977093</c:v>
                </c:pt>
                <c:pt idx="653">
                  <c:v>205.47093838857569</c:v>
                </c:pt>
                <c:pt idx="654">
                  <c:v>195.0089105463866</c:v>
                </c:pt>
                <c:pt idx="655">
                  <c:v>195.07673565586791</c:v>
                </c:pt>
                <c:pt idx="656">
                  <c:v>204.3703074939269</c:v>
                </c:pt>
                <c:pt idx="657">
                  <c:v>203.00852784494933</c:v>
                </c:pt>
                <c:pt idx="658">
                  <c:v>197.21504468290635</c:v>
                </c:pt>
                <c:pt idx="659">
                  <c:v>207.34147261940021</c:v>
                </c:pt>
                <c:pt idx="660">
                  <c:v>200.73422438815604</c:v>
                </c:pt>
                <c:pt idx="661">
                  <c:v>205.30402400803908</c:v>
                </c:pt>
                <c:pt idx="662">
                  <c:v>197.40461089262988</c:v>
                </c:pt>
                <c:pt idx="663">
                  <c:v>206.04975314552752</c:v>
                </c:pt>
                <c:pt idx="664">
                  <c:v>199.28098905735231</c:v>
                </c:pt>
                <c:pt idx="665">
                  <c:v>196.77723590619709</c:v>
                </c:pt>
                <c:pt idx="666">
                  <c:v>200.50285131696751</c:v>
                </c:pt>
                <c:pt idx="667">
                  <c:v>197.18764146599042</c:v>
                </c:pt>
                <c:pt idx="668">
                  <c:v>197.84380939551573</c:v>
                </c:pt>
                <c:pt idx="669">
                  <c:v>199.36374898389104</c:v>
                </c:pt>
                <c:pt idx="670">
                  <c:v>198.73052740642677</c:v>
                </c:pt>
                <c:pt idx="671">
                  <c:v>198.20238325888903</c:v>
                </c:pt>
                <c:pt idx="672">
                  <c:v>199.05691961256585</c:v>
                </c:pt>
                <c:pt idx="673">
                  <c:v>203.73816124086585</c:v>
                </c:pt>
                <c:pt idx="674">
                  <c:v>202.28994281943255</c:v>
                </c:pt>
                <c:pt idx="675">
                  <c:v>198.66673493229871</c:v>
                </c:pt>
                <c:pt idx="676">
                  <c:v>208.85467064217875</c:v>
                </c:pt>
                <c:pt idx="677">
                  <c:v>195.44588789418654</c:v>
                </c:pt>
                <c:pt idx="678">
                  <c:v>201.88847643162325</c:v>
                </c:pt>
                <c:pt idx="679">
                  <c:v>199.89866963807444</c:v>
                </c:pt>
                <c:pt idx="680">
                  <c:v>199.04776812345514</c:v>
                </c:pt>
                <c:pt idx="681">
                  <c:v>199.67519726764951</c:v>
                </c:pt>
                <c:pt idx="682">
                  <c:v>195.32368886938596</c:v>
                </c:pt>
                <c:pt idx="683">
                  <c:v>202.28087897862807</c:v>
                </c:pt>
                <c:pt idx="684">
                  <c:v>197.51230267980034</c:v>
                </c:pt>
                <c:pt idx="685">
                  <c:v>201.45098253520447</c:v>
                </c:pt>
                <c:pt idx="686">
                  <c:v>197.39004860322743</c:v>
                </c:pt>
                <c:pt idx="687">
                  <c:v>202.1312906771193</c:v>
                </c:pt>
                <c:pt idx="688">
                  <c:v>196.56920758878505</c:v>
                </c:pt>
                <c:pt idx="689">
                  <c:v>203.16096214851254</c:v>
                </c:pt>
                <c:pt idx="690">
                  <c:v>207.0927672678651</c:v>
                </c:pt>
                <c:pt idx="691">
                  <c:v>200.61325089762258</c:v>
                </c:pt>
                <c:pt idx="692">
                  <c:v>203.42256639544578</c:v>
                </c:pt>
                <c:pt idx="693">
                  <c:v>203.43774905248677</c:v>
                </c:pt>
                <c:pt idx="694">
                  <c:v>196.88895834034287</c:v>
                </c:pt>
                <c:pt idx="695">
                  <c:v>202.01481592448636</c:v>
                </c:pt>
                <c:pt idx="696">
                  <c:v>197.41031521404599</c:v>
                </c:pt>
                <c:pt idx="697">
                  <c:v>197.64980256036003</c:v>
                </c:pt>
                <c:pt idx="698">
                  <c:v>195.89135273294619</c:v>
                </c:pt>
                <c:pt idx="699">
                  <c:v>205.61622413932918</c:v>
                </c:pt>
                <c:pt idx="700">
                  <c:v>196.12673337277977</c:v>
                </c:pt>
                <c:pt idx="701">
                  <c:v>196.80236241413004</c:v>
                </c:pt>
                <c:pt idx="702">
                  <c:v>196.98545883999969</c:v>
                </c:pt>
                <c:pt idx="703">
                  <c:v>204.77713956900433</c:v>
                </c:pt>
                <c:pt idx="704">
                  <c:v>197.88772703498182</c:v>
                </c:pt>
                <c:pt idx="705">
                  <c:v>199.85450387549565</c:v>
                </c:pt>
                <c:pt idx="706">
                  <c:v>200.36883433200092</c:v>
                </c:pt>
                <c:pt idx="707">
                  <c:v>197.84367380131403</c:v>
                </c:pt>
                <c:pt idx="708">
                  <c:v>191.05243790393519</c:v>
                </c:pt>
                <c:pt idx="709">
                  <c:v>202.09018328593126</c:v>
                </c:pt>
                <c:pt idx="710">
                  <c:v>196.4683101154105</c:v>
                </c:pt>
                <c:pt idx="711">
                  <c:v>203.82391771010748</c:v>
                </c:pt>
                <c:pt idx="712">
                  <c:v>201.90677210050475</c:v>
                </c:pt>
                <c:pt idx="713">
                  <c:v>196.97132761174524</c:v>
                </c:pt>
                <c:pt idx="714">
                  <c:v>197.70509015159766</c:v>
                </c:pt>
                <c:pt idx="715">
                  <c:v>202.76345593270989</c:v>
                </c:pt>
                <c:pt idx="716">
                  <c:v>202.33334136632087</c:v>
                </c:pt>
                <c:pt idx="717">
                  <c:v>207.06137522145951</c:v>
                </c:pt>
                <c:pt idx="718">
                  <c:v>198.24238633192613</c:v>
                </c:pt>
                <c:pt idx="719">
                  <c:v>195.04025839328085</c:v>
                </c:pt>
                <c:pt idx="720">
                  <c:v>205.60130945767628</c:v>
                </c:pt>
                <c:pt idx="721">
                  <c:v>200.7825770873219</c:v>
                </c:pt>
                <c:pt idx="722">
                  <c:v>190.11710903347952</c:v>
                </c:pt>
                <c:pt idx="723">
                  <c:v>205.01634741910667</c:v>
                </c:pt>
                <c:pt idx="724">
                  <c:v>199.4690299358831</c:v>
                </c:pt>
                <c:pt idx="725">
                  <c:v>195.54159536431888</c:v>
                </c:pt>
                <c:pt idx="726">
                  <c:v>197.59843817475578</c:v>
                </c:pt>
                <c:pt idx="727">
                  <c:v>206.31181642490728</c:v>
                </c:pt>
                <c:pt idx="728">
                  <c:v>201.83976684710015</c:v>
                </c:pt>
                <c:pt idx="729">
                  <c:v>200.75613679442239</c:v>
                </c:pt>
                <c:pt idx="730">
                  <c:v>201.47222335502255</c:v>
                </c:pt>
                <c:pt idx="731">
                  <c:v>195.90712196027715</c:v>
                </c:pt>
                <c:pt idx="732">
                  <c:v>205.9229239204555</c:v>
                </c:pt>
                <c:pt idx="733">
                  <c:v>203.21043444480989</c:v>
                </c:pt>
                <c:pt idx="734">
                  <c:v>194.28613865603305</c:v>
                </c:pt>
                <c:pt idx="735">
                  <c:v>199.96576738761465</c:v>
                </c:pt>
                <c:pt idx="736">
                  <c:v>201.99766197816641</c:v>
                </c:pt>
                <c:pt idx="737">
                  <c:v>206.37183797957314</c:v>
                </c:pt>
                <c:pt idx="738">
                  <c:v>201.53860076053377</c:v>
                </c:pt>
                <c:pt idx="739">
                  <c:v>198.87591726645809</c:v>
                </c:pt>
                <c:pt idx="740">
                  <c:v>193.23739344205015</c:v>
                </c:pt>
                <c:pt idx="741">
                  <c:v>191.67326313257783</c:v>
                </c:pt>
                <c:pt idx="742">
                  <c:v>204.05896732313295</c:v>
                </c:pt>
                <c:pt idx="743">
                  <c:v>198.20046209021649</c:v>
                </c:pt>
                <c:pt idx="744">
                  <c:v>200.13696288053666</c:v>
                </c:pt>
                <c:pt idx="745">
                  <c:v>198.98001698879685</c:v>
                </c:pt>
                <c:pt idx="746">
                  <c:v>194.95232625819887</c:v>
                </c:pt>
                <c:pt idx="747">
                  <c:v>199.45767050701375</c:v>
                </c:pt>
                <c:pt idx="748">
                  <c:v>199.12292077211964</c:v>
                </c:pt>
                <c:pt idx="749">
                  <c:v>197.37478590296567</c:v>
                </c:pt>
                <c:pt idx="750">
                  <c:v>200.3587357982517</c:v>
                </c:pt>
                <c:pt idx="751">
                  <c:v>195.85840814249764</c:v>
                </c:pt>
                <c:pt idx="752">
                  <c:v>201.62706995372486</c:v>
                </c:pt>
                <c:pt idx="753">
                  <c:v>200.61549547867347</c:v>
                </c:pt>
                <c:pt idx="754">
                  <c:v>201.35442177248601</c:v>
                </c:pt>
                <c:pt idx="755">
                  <c:v>202.27385291638993</c:v>
                </c:pt>
                <c:pt idx="756">
                  <c:v>199.27023722721592</c:v>
                </c:pt>
                <c:pt idx="757">
                  <c:v>199.24577117441493</c:v>
                </c:pt>
                <c:pt idx="758">
                  <c:v>205.5881236080514</c:v>
                </c:pt>
                <c:pt idx="759">
                  <c:v>204.97259332451424</c:v>
                </c:pt>
                <c:pt idx="760">
                  <c:v>204.64411506449201</c:v>
                </c:pt>
                <c:pt idx="761">
                  <c:v>203.61773707139989</c:v>
                </c:pt>
                <c:pt idx="762">
                  <c:v>200.14883465098291</c:v>
                </c:pt>
                <c:pt idx="763">
                  <c:v>202.63846783291459</c:v>
                </c:pt>
                <c:pt idx="764">
                  <c:v>202.71594841900679</c:v>
                </c:pt>
                <c:pt idx="765">
                  <c:v>200.68746476330816</c:v>
                </c:pt>
                <c:pt idx="766">
                  <c:v>196.82498095915042</c:v>
                </c:pt>
                <c:pt idx="767">
                  <c:v>194.00740838606004</c:v>
                </c:pt>
                <c:pt idx="768">
                  <c:v>198.97168957148585</c:v>
                </c:pt>
                <c:pt idx="769">
                  <c:v>203.86601765325622</c:v>
                </c:pt>
                <c:pt idx="770">
                  <c:v>197.29916582047056</c:v>
                </c:pt>
                <c:pt idx="771">
                  <c:v>201.75126164920147</c:v>
                </c:pt>
                <c:pt idx="772">
                  <c:v>203.92277497495658</c:v>
                </c:pt>
                <c:pt idx="773">
                  <c:v>201.91283157548028</c:v>
                </c:pt>
                <c:pt idx="774">
                  <c:v>198.8425908129428</c:v>
                </c:pt>
                <c:pt idx="775">
                  <c:v>192.75980636270677</c:v>
                </c:pt>
                <c:pt idx="776">
                  <c:v>201.15182971610596</c:v>
                </c:pt>
                <c:pt idx="777">
                  <c:v>203.71940511766545</c:v>
                </c:pt>
                <c:pt idx="778">
                  <c:v>200.18508418198721</c:v>
                </c:pt>
                <c:pt idx="779">
                  <c:v>197.05559837692036</c:v>
                </c:pt>
                <c:pt idx="780">
                  <c:v>208.08507647964177</c:v>
                </c:pt>
                <c:pt idx="781">
                  <c:v>194.51182073415328</c:v>
                </c:pt>
                <c:pt idx="782">
                  <c:v>197.33359886329166</c:v>
                </c:pt>
                <c:pt idx="783">
                  <c:v>197.24808131996198</c:v>
                </c:pt>
                <c:pt idx="784">
                  <c:v>199.12001682839218</c:v>
                </c:pt>
                <c:pt idx="785">
                  <c:v>199.95282416770837</c:v>
                </c:pt>
                <c:pt idx="786">
                  <c:v>203.25137920454719</c:v>
                </c:pt>
                <c:pt idx="787">
                  <c:v>199.98359853911515</c:v>
                </c:pt>
                <c:pt idx="788">
                  <c:v>192.73655720234345</c:v>
                </c:pt>
                <c:pt idx="789">
                  <c:v>197.96658473594843</c:v>
                </c:pt>
                <c:pt idx="790">
                  <c:v>200.55196255419077</c:v>
                </c:pt>
                <c:pt idx="791">
                  <c:v>195.55382210984268</c:v>
                </c:pt>
                <c:pt idx="792">
                  <c:v>200.0761919271776</c:v>
                </c:pt>
                <c:pt idx="793">
                  <c:v>196.77563837908355</c:v>
                </c:pt>
                <c:pt idx="794">
                  <c:v>191.05441351619282</c:v>
                </c:pt>
                <c:pt idx="795">
                  <c:v>206.26310462242597</c:v>
                </c:pt>
                <c:pt idx="796">
                  <c:v>197.22846417248587</c:v>
                </c:pt>
                <c:pt idx="797">
                  <c:v>204.31071833886693</c:v>
                </c:pt>
                <c:pt idx="798">
                  <c:v>193.29744472665379</c:v>
                </c:pt>
                <c:pt idx="799">
                  <c:v>200.45511513227279</c:v>
                </c:pt>
                <c:pt idx="800">
                  <c:v>199.68234678353616</c:v>
                </c:pt>
                <c:pt idx="801">
                  <c:v>201.21275081518053</c:v>
                </c:pt>
                <c:pt idx="802">
                  <c:v>207.02117035910314</c:v>
                </c:pt>
                <c:pt idx="803">
                  <c:v>195.35019016031481</c:v>
                </c:pt>
                <c:pt idx="804">
                  <c:v>199.49382955865539</c:v>
                </c:pt>
                <c:pt idx="805">
                  <c:v>195.14149381032553</c:v>
                </c:pt>
                <c:pt idx="806">
                  <c:v>197.97673610175693</c:v>
                </c:pt>
                <c:pt idx="807">
                  <c:v>196.55365764172367</c:v>
                </c:pt>
                <c:pt idx="808">
                  <c:v>202.73885278752886</c:v>
                </c:pt>
                <c:pt idx="809">
                  <c:v>193.49546997978288</c:v>
                </c:pt>
                <c:pt idx="810">
                  <c:v>201.50459388975611</c:v>
                </c:pt>
                <c:pt idx="811">
                  <c:v>196.72071854001359</c:v>
                </c:pt>
                <c:pt idx="812">
                  <c:v>203.1787867964679</c:v>
                </c:pt>
                <c:pt idx="813">
                  <c:v>204.56634119166227</c:v>
                </c:pt>
                <c:pt idx="814">
                  <c:v>200.28430078879555</c:v>
                </c:pt>
                <c:pt idx="815">
                  <c:v>198.94785999708088</c:v>
                </c:pt>
                <c:pt idx="816">
                  <c:v>204.04579743186278</c:v>
                </c:pt>
                <c:pt idx="817">
                  <c:v>204.028904509656</c:v>
                </c:pt>
                <c:pt idx="818">
                  <c:v>203.95434329508268</c:v>
                </c:pt>
                <c:pt idx="819">
                  <c:v>202.3879539839125</c:v>
                </c:pt>
                <c:pt idx="820">
                  <c:v>202.00625908872973</c:v>
                </c:pt>
                <c:pt idx="821">
                  <c:v>201.48234285059775</c:v>
                </c:pt>
                <c:pt idx="822">
                  <c:v>197.98997122761472</c:v>
                </c:pt>
                <c:pt idx="823">
                  <c:v>196.84600442226474</c:v>
                </c:pt>
                <c:pt idx="824">
                  <c:v>200.94941213733458</c:v>
                </c:pt>
                <c:pt idx="825">
                  <c:v>201.94980567264955</c:v>
                </c:pt>
                <c:pt idx="826">
                  <c:v>197.12705705867643</c:v>
                </c:pt>
                <c:pt idx="827">
                  <c:v>200.83825467073177</c:v>
                </c:pt>
                <c:pt idx="828">
                  <c:v>201.91319850702186</c:v>
                </c:pt>
                <c:pt idx="829">
                  <c:v>197.54793645501331</c:v>
                </c:pt>
                <c:pt idx="830">
                  <c:v>200.14253519878875</c:v>
                </c:pt>
                <c:pt idx="831">
                  <c:v>195.70482456597435</c:v>
                </c:pt>
                <c:pt idx="832">
                  <c:v>207.43163690459238</c:v>
                </c:pt>
                <c:pt idx="833">
                  <c:v>203.97350080486805</c:v>
                </c:pt>
                <c:pt idx="834">
                  <c:v>198.80356573110663</c:v>
                </c:pt>
                <c:pt idx="835">
                  <c:v>199.99870864046844</c:v>
                </c:pt>
                <c:pt idx="836">
                  <c:v>199.0637390040271</c:v>
                </c:pt>
                <c:pt idx="837">
                  <c:v>207.72510927938055</c:v>
                </c:pt>
                <c:pt idx="838">
                  <c:v>199.45627729999742</c:v>
                </c:pt>
                <c:pt idx="839">
                  <c:v>201.46739036294676</c:v>
                </c:pt>
                <c:pt idx="840">
                  <c:v>198.22518979868323</c:v>
                </c:pt>
                <c:pt idx="841">
                  <c:v>201.16942096804888</c:v>
                </c:pt>
                <c:pt idx="842">
                  <c:v>203.21358744436236</c:v>
                </c:pt>
                <c:pt idx="843">
                  <c:v>198.09229363998199</c:v>
                </c:pt>
                <c:pt idx="844">
                  <c:v>200.26684403646863</c:v>
                </c:pt>
                <c:pt idx="845">
                  <c:v>207.4623222776969</c:v>
                </c:pt>
                <c:pt idx="846">
                  <c:v>203.65695337884299</c:v>
                </c:pt>
                <c:pt idx="847">
                  <c:v>200.0777752662587</c:v>
                </c:pt>
                <c:pt idx="848">
                  <c:v>200.54921256537801</c:v>
                </c:pt>
                <c:pt idx="849">
                  <c:v>194.69872900591082</c:v>
                </c:pt>
                <c:pt idx="850">
                  <c:v>196.7688580154817</c:v>
                </c:pt>
                <c:pt idx="851">
                  <c:v>196.63729540675251</c:v>
                </c:pt>
                <c:pt idx="852">
                  <c:v>200.18295283462376</c:v>
                </c:pt>
                <c:pt idx="853">
                  <c:v>193.25736236921313</c:v>
                </c:pt>
                <c:pt idx="854">
                  <c:v>200.70516991169734</c:v>
                </c:pt>
                <c:pt idx="855">
                  <c:v>207.1149654586124</c:v>
                </c:pt>
                <c:pt idx="856">
                  <c:v>202.13414457176532</c:v>
                </c:pt>
                <c:pt idx="857">
                  <c:v>197.5630304601537</c:v>
                </c:pt>
                <c:pt idx="858">
                  <c:v>195.59733822490907</c:v>
                </c:pt>
                <c:pt idx="859">
                  <c:v>200.15134379965022</c:v>
                </c:pt>
                <c:pt idx="860">
                  <c:v>199.12149149174681</c:v>
                </c:pt>
                <c:pt idx="861">
                  <c:v>196.94543187923466</c:v>
                </c:pt>
                <c:pt idx="862">
                  <c:v>200.77436301854223</c:v>
                </c:pt>
                <c:pt idx="863">
                  <c:v>203.00850131057391</c:v>
                </c:pt>
                <c:pt idx="864">
                  <c:v>197.66013779620076</c:v>
                </c:pt>
                <c:pt idx="865">
                  <c:v>192.1256040730284</c:v>
                </c:pt>
                <c:pt idx="866">
                  <c:v>196.61208835632593</c:v>
                </c:pt>
                <c:pt idx="867">
                  <c:v>195.24238968294068</c:v>
                </c:pt>
                <c:pt idx="868">
                  <c:v>201.58780278450845</c:v>
                </c:pt>
                <c:pt idx="869">
                  <c:v>198.99948826828117</c:v>
                </c:pt>
                <c:pt idx="870">
                  <c:v>199.83518107456024</c:v>
                </c:pt>
                <c:pt idx="871">
                  <c:v>196.97836025043972</c:v>
                </c:pt>
                <c:pt idx="872">
                  <c:v>198.46771183925549</c:v>
                </c:pt>
                <c:pt idx="873">
                  <c:v>198.06442828099094</c:v>
                </c:pt>
                <c:pt idx="874">
                  <c:v>203.28642707544066</c:v>
                </c:pt>
                <c:pt idx="875">
                  <c:v>197.27635257902864</c:v>
                </c:pt>
                <c:pt idx="876">
                  <c:v>201.88729240523006</c:v>
                </c:pt>
                <c:pt idx="877">
                  <c:v>202.19234704806962</c:v>
                </c:pt>
                <c:pt idx="878">
                  <c:v>200.53144873242672</c:v>
                </c:pt>
                <c:pt idx="879">
                  <c:v>201.25285772080056</c:v>
                </c:pt>
                <c:pt idx="880">
                  <c:v>202.34858479863863</c:v>
                </c:pt>
                <c:pt idx="881">
                  <c:v>199.13698200118046</c:v>
                </c:pt>
                <c:pt idx="882">
                  <c:v>203.65702126284549</c:v>
                </c:pt>
                <c:pt idx="883">
                  <c:v>197.25040154510768</c:v>
                </c:pt>
                <c:pt idx="884">
                  <c:v>199.93568418734694</c:v>
                </c:pt>
                <c:pt idx="885">
                  <c:v>195.28481066910268</c:v>
                </c:pt>
                <c:pt idx="886">
                  <c:v>196.69227579589673</c:v>
                </c:pt>
                <c:pt idx="887">
                  <c:v>204.78850019489619</c:v>
                </c:pt>
                <c:pt idx="888">
                  <c:v>202.41533519430132</c:v>
                </c:pt>
                <c:pt idx="889">
                  <c:v>201.4968959726155</c:v>
                </c:pt>
                <c:pt idx="890">
                  <c:v>195.96134757571284</c:v>
                </c:pt>
                <c:pt idx="891">
                  <c:v>201.74380807285203</c:v>
                </c:pt>
                <c:pt idx="892">
                  <c:v>199.56736697953451</c:v>
                </c:pt>
                <c:pt idx="893">
                  <c:v>201.22938319718941</c:v>
                </c:pt>
                <c:pt idx="894">
                  <c:v>197.07746462091347</c:v>
                </c:pt>
                <c:pt idx="895">
                  <c:v>200.53732997581685</c:v>
                </c:pt>
                <c:pt idx="896">
                  <c:v>200.98040617693158</c:v>
                </c:pt>
                <c:pt idx="897">
                  <c:v>202.83146827838044</c:v>
                </c:pt>
                <c:pt idx="898">
                  <c:v>201.68754516263164</c:v>
                </c:pt>
                <c:pt idx="899">
                  <c:v>199.96876757997347</c:v>
                </c:pt>
                <c:pt idx="900">
                  <c:v>202.8815402473773</c:v>
                </c:pt>
                <c:pt idx="901">
                  <c:v>200.93724463362437</c:v>
                </c:pt>
                <c:pt idx="902">
                  <c:v>196.5375904040732</c:v>
                </c:pt>
                <c:pt idx="903">
                  <c:v>200.71401597669839</c:v>
                </c:pt>
                <c:pt idx="904">
                  <c:v>197.46044037922474</c:v>
                </c:pt>
                <c:pt idx="905">
                  <c:v>199.87090764947331</c:v>
                </c:pt>
                <c:pt idx="906">
                  <c:v>199.67387007930134</c:v>
                </c:pt>
                <c:pt idx="907">
                  <c:v>201.12443243999871</c:v>
                </c:pt>
                <c:pt idx="908">
                  <c:v>197.58186619681248</c:v>
                </c:pt>
                <c:pt idx="909">
                  <c:v>195.93960631782656</c:v>
                </c:pt>
                <c:pt idx="910">
                  <c:v>205.55036197662298</c:v>
                </c:pt>
                <c:pt idx="911">
                  <c:v>206.86001532850739</c:v>
                </c:pt>
                <c:pt idx="912">
                  <c:v>199.89041320996736</c:v>
                </c:pt>
                <c:pt idx="913">
                  <c:v>198.62365685699012</c:v>
                </c:pt>
                <c:pt idx="914">
                  <c:v>200.56344319748834</c:v>
                </c:pt>
                <c:pt idx="915">
                  <c:v>195.52563416432054</c:v>
                </c:pt>
                <c:pt idx="916">
                  <c:v>197.76635092605252</c:v>
                </c:pt>
                <c:pt idx="917">
                  <c:v>204.36325129733268</c:v>
                </c:pt>
                <c:pt idx="918">
                  <c:v>204.98290925995741</c:v>
                </c:pt>
                <c:pt idx="919">
                  <c:v>200.36015740622216</c:v>
                </c:pt>
                <c:pt idx="920">
                  <c:v>206.60992505751958</c:v>
                </c:pt>
                <c:pt idx="921">
                  <c:v>190.66140382760673</c:v>
                </c:pt>
                <c:pt idx="922">
                  <c:v>195.21603946744682</c:v>
                </c:pt>
                <c:pt idx="923">
                  <c:v>200.49485032671109</c:v>
                </c:pt>
                <c:pt idx="924">
                  <c:v>192.49791990139289</c:v>
                </c:pt>
                <c:pt idx="925">
                  <c:v>197.66358240937063</c:v>
                </c:pt>
                <c:pt idx="926">
                  <c:v>195.92046605365326</c:v>
                </c:pt>
                <c:pt idx="927">
                  <c:v>204.64448017297454</c:v>
                </c:pt>
                <c:pt idx="928">
                  <c:v>204.21353644727105</c:v>
                </c:pt>
                <c:pt idx="929">
                  <c:v>203.35343465781133</c:v>
                </c:pt>
                <c:pt idx="930">
                  <c:v>196.15423871466967</c:v>
                </c:pt>
                <c:pt idx="931">
                  <c:v>200.9470735750609</c:v>
                </c:pt>
                <c:pt idx="932">
                  <c:v>198.03702051050624</c:v>
                </c:pt>
                <c:pt idx="933">
                  <c:v>201.9463367114943</c:v>
                </c:pt>
                <c:pt idx="934">
                  <c:v>196.2482285747723</c:v>
                </c:pt>
                <c:pt idx="935">
                  <c:v>200.75871167273931</c:v>
                </c:pt>
                <c:pt idx="936">
                  <c:v>198.30093531978073</c:v>
                </c:pt>
                <c:pt idx="937">
                  <c:v>202.56752853776101</c:v>
                </c:pt>
                <c:pt idx="938">
                  <c:v>204.67279377106962</c:v>
                </c:pt>
                <c:pt idx="939">
                  <c:v>199.82231744507658</c:v>
                </c:pt>
                <c:pt idx="940">
                  <c:v>191.37367007277615</c:v>
                </c:pt>
                <c:pt idx="941">
                  <c:v>199.42212243124399</c:v>
                </c:pt>
                <c:pt idx="942">
                  <c:v>202.32584898075496</c:v>
                </c:pt>
                <c:pt idx="943">
                  <c:v>203.4877190496089</c:v>
                </c:pt>
                <c:pt idx="944">
                  <c:v>199.08027987771686</c:v>
                </c:pt>
                <c:pt idx="945">
                  <c:v>200.12728887595506</c:v>
                </c:pt>
                <c:pt idx="946">
                  <c:v>198.7573505140904</c:v>
                </c:pt>
                <c:pt idx="947">
                  <c:v>200.47993156909732</c:v>
                </c:pt>
                <c:pt idx="948">
                  <c:v>201.33301589033496</c:v>
                </c:pt>
                <c:pt idx="949">
                  <c:v>198.92594229836106</c:v>
                </c:pt>
                <c:pt idx="950">
                  <c:v>200.13816632176056</c:v>
                </c:pt>
                <c:pt idx="951">
                  <c:v>197.58299670351192</c:v>
                </c:pt>
                <c:pt idx="952">
                  <c:v>197.3891321150515</c:v>
                </c:pt>
                <c:pt idx="953">
                  <c:v>198.15418069334552</c:v>
                </c:pt>
                <c:pt idx="954">
                  <c:v>197.06052371540505</c:v>
                </c:pt>
                <c:pt idx="955">
                  <c:v>198.60671032708754</c:v>
                </c:pt>
                <c:pt idx="956">
                  <c:v>204.97995624339373</c:v>
                </c:pt>
                <c:pt idx="957">
                  <c:v>195.25492409972466</c:v>
                </c:pt>
                <c:pt idx="958">
                  <c:v>205.35667644978616</c:v>
                </c:pt>
                <c:pt idx="959">
                  <c:v>202.40190738788857</c:v>
                </c:pt>
                <c:pt idx="960">
                  <c:v>203.53123273664369</c:v>
                </c:pt>
                <c:pt idx="961">
                  <c:v>197.59825291190484</c:v>
                </c:pt>
                <c:pt idx="962">
                  <c:v>202.39602787027115</c:v>
                </c:pt>
                <c:pt idx="963">
                  <c:v>200.60880553724107</c:v>
                </c:pt>
                <c:pt idx="964">
                  <c:v>200.29075939192802</c:v>
                </c:pt>
                <c:pt idx="965">
                  <c:v>202.26346823410904</c:v>
                </c:pt>
                <c:pt idx="966">
                  <c:v>208.58800655968761</c:v>
                </c:pt>
                <c:pt idx="967">
                  <c:v>199.30725215078775</c:v>
                </c:pt>
                <c:pt idx="968">
                  <c:v>198.75362347581969</c:v>
                </c:pt>
                <c:pt idx="969">
                  <c:v>200.68932250789021</c:v>
                </c:pt>
                <c:pt idx="970">
                  <c:v>206.99762821379099</c:v>
                </c:pt>
                <c:pt idx="971">
                  <c:v>197.27090943994867</c:v>
                </c:pt>
                <c:pt idx="972">
                  <c:v>199.63766094349938</c:v>
                </c:pt>
                <c:pt idx="973">
                  <c:v>200.60395530547007</c:v>
                </c:pt>
                <c:pt idx="974">
                  <c:v>206.23726105060857</c:v>
                </c:pt>
                <c:pt idx="975">
                  <c:v>202.52841232946693</c:v>
                </c:pt>
                <c:pt idx="976">
                  <c:v>195.50377209104772</c:v>
                </c:pt>
                <c:pt idx="977">
                  <c:v>197.29348764203004</c:v>
                </c:pt>
                <c:pt idx="978">
                  <c:v>197.80285037890249</c:v>
                </c:pt>
                <c:pt idx="979">
                  <c:v>195.96626060614079</c:v>
                </c:pt>
                <c:pt idx="980">
                  <c:v>201.75110157299699</c:v>
                </c:pt>
                <c:pt idx="981">
                  <c:v>201.59600447778672</c:v>
                </c:pt>
                <c:pt idx="982">
                  <c:v>196.11034696881634</c:v>
                </c:pt>
                <c:pt idx="983">
                  <c:v>202.2852676746885</c:v>
                </c:pt>
                <c:pt idx="984">
                  <c:v>203.68777470677406</c:v>
                </c:pt>
                <c:pt idx="985">
                  <c:v>198.57867025138486</c:v>
                </c:pt>
                <c:pt idx="986">
                  <c:v>200.94333205091576</c:v>
                </c:pt>
                <c:pt idx="987">
                  <c:v>194.47385481543142</c:v>
                </c:pt>
                <c:pt idx="988">
                  <c:v>200.1323815051168</c:v>
                </c:pt>
                <c:pt idx="989">
                  <c:v>201.64112779420628</c:v>
                </c:pt>
                <c:pt idx="990">
                  <c:v>203.81501451005803</c:v>
                </c:pt>
                <c:pt idx="991">
                  <c:v>201.18995133838601</c:v>
                </c:pt>
                <c:pt idx="992">
                  <c:v>200.71432904213239</c:v>
                </c:pt>
                <c:pt idx="993">
                  <c:v>203.55631978151041</c:v>
                </c:pt>
                <c:pt idx="994">
                  <c:v>198.24938516740212</c:v>
                </c:pt>
                <c:pt idx="995">
                  <c:v>208.64928277263849</c:v>
                </c:pt>
                <c:pt idx="996">
                  <c:v>204.90159683203521</c:v>
                </c:pt>
                <c:pt idx="997">
                  <c:v>197.73908439234199</c:v>
                </c:pt>
                <c:pt idx="998">
                  <c:v>203.94041073097642</c:v>
                </c:pt>
                <c:pt idx="999">
                  <c:v>198.2439374232334</c:v>
                </c:pt>
              </c:numCache>
            </c:numRef>
          </c:xVal>
          <c:yVal>
            <c:numRef>
              <c:f>'Risk Calculator - Normal'!$P$35:$P$1034</c:f>
              <c:numCache>
                <c:formatCode>General</c:formatCode>
                <c:ptCount val="1000"/>
                <c:pt idx="0">
                  <c:v>199.0734289027225</c:v>
                </c:pt>
                <c:pt idx="1">
                  <c:v>197.42355373458426</c:v>
                </c:pt>
                <c:pt idx="2">
                  <c:v>198.25068315167556</c:v>
                </c:pt>
                <c:pt idx="3">
                  <c:v>197.50854825239799</c:v>
                </c:pt>
                <c:pt idx="4">
                  <c:v>200.12815522338184</c:v>
                </c:pt>
                <c:pt idx="5">
                  <c:v>206.19512486396582</c:v>
                </c:pt>
                <c:pt idx="6">
                  <c:v>193.0272233420711</c:v>
                </c:pt>
                <c:pt idx="7">
                  <c:v>197.58557414773017</c:v>
                </c:pt>
                <c:pt idx="8">
                  <c:v>203.27425331626901</c:v>
                </c:pt>
                <c:pt idx="9">
                  <c:v>195.06462041722963</c:v>
                </c:pt>
                <c:pt idx="10">
                  <c:v>199.78624479710638</c:v>
                </c:pt>
                <c:pt idx="11">
                  <c:v>200.56287276295751</c:v>
                </c:pt>
                <c:pt idx="12">
                  <c:v>199.74141103796751</c:v>
                </c:pt>
                <c:pt idx="13">
                  <c:v>201.51254435704257</c:v>
                </c:pt>
                <c:pt idx="14">
                  <c:v>204.80384856054866</c:v>
                </c:pt>
                <c:pt idx="15">
                  <c:v>201.99669871139557</c:v>
                </c:pt>
                <c:pt idx="16">
                  <c:v>194.16962474265409</c:v>
                </c:pt>
                <c:pt idx="17">
                  <c:v>203.02843934250564</c:v>
                </c:pt>
                <c:pt idx="18">
                  <c:v>195.29055419443623</c:v>
                </c:pt>
                <c:pt idx="19">
                  <c:v>201.25768247804888</c:v>
                </c:pt>
                <c:pt idx="20">
                  <c:v>203.50797539206704</c:v>
                </c:pt>
                <c:pt idx="21">
                  <c:v>204.84751377994769</c:v>
                </c:pt>
                <c:pt idx="22">
                  <c:v>199.34453617008799</c:v>
                </c:pt>
                <c:pt idx="23">
                  <c:v>197.38616360657198</c:v>
                </c:pt>
                <c:pt idx="24">
                  <c:v>202.35823974549442</c:v>
                </c:pt>
                <c:pt idx="25">
                  <c:v>202.74389584442551</c:v>
                </c:pt>
                <c:pt idx="26">
                  <c:v>201.25677154788906</c:v>
                </c:pt>
                <c:pt idx="27">
                  <c:v>198.00421140357611</c:v>
                </c:pt>
                <c:pt idx="28">
                  <c:v>202.29039180591968</c:v>
                </c:pt>
                <c:pt idx="29">
                  <c:v>201.73260195830713</c:v>
                </c:pt>
                <c:pt idx="30">
                  <c:v>202.48805057566832</c:v>
                </c:pt>
                <c:pt idx="31">
                  <c:v>198.04813365156201</c:v>
                </c:pt>
                <c:pt idx="32">
                  <c:v>207.51857374832241</c:v>
                </c:pt>
                <c:pt idx="33">
                  <c:v>201.24351842522074</c:v>
                </c:pt>
                <c:pt idx="34">
                  <c:v>194.6520526409729</c:v>
                </c:pt>
                <c:pt idx="35">
                  <c:v>200.92928058099122</c:v>
                </c:pt>
                <c:pt idx="36">
                  <c:v>195.60552151379915</c:v>
                </c:pt>
                <c:pt idx="37">
                  <c:v>199.83556807309657</c:v>
                </c:pt>
                <c:pt idx="38">
                  <c:v>198.04052748887293</c:v>
                </c:pt>
                <c:pt idx="39">
                  <c:v>195.72881638695665</c:v>
                </c:pt>
                <c:pt idx="40">
                  <c:v>197.6687155437254</c:v>
                </c:pt>
                <c:pt idx="41">
                  <c:v>197.02045500075238</c:v>
                </c:pt>
                <c:pt idx="42">
                  <c:v>199.56236096815445</c:v>
                </c:pt>
                <c:pt idx="43">
                  <c:v>197.70577126219328</c:v>
                </c:pt>
                <c:pt idx="44">
                  <c:v>202.03237100222347</c:v>
                </c:pt>
                <c:pt idx="45">
                  <c:v>200.4592445199807</c:v>
                </c:pt>
                <c:pt idx="46">
                  <c:v>197.14500417975123</c:v>
                </c:pt>
                <c:pt idx="47">
                  <c:v>202.88527934116962</c:v>
                </c:pt>
                <c:pt idx="48">
                  <c:v>198.19398255796787</c:v>
                </c:pt>
                <c:pt idx="49">
                  <c:v>205.80719282688111</c:v>
                </c:pt>
                <c:pt idx="50">
                  <c:v>201.08081401674744</c:v>
                </c:pt>
                <c:pt idx="51">
                  <c:v>199.08805779123114</c:v>
                </c:pt>
                <c:pt idx="52">
                  <c:v>198.44255104218834</c:v>
                </c:pt>
                <c:pt idx="53">
                  <c:v>202.09622740212873</c:v>
                </c:pt>
                <c:pt idx="54">
                  <c:v>198.7423996360622</c:v>
                </c:pt>
                <c:pt idx="55">
                  <c:v>196.99072005489839</c:v>
                </c:pt>
                <c:pt idx="56">
                  <c:v>198.73704257176709</c:v>
                </c:pt>
                <c:pt idx="57">
                  <c:v>198.48373509783295</c:v>
                </c:pt>
                <c:pt idx="58">
                  <c:v>202.98325395467759</c:v>
                </c:pt>
                <c:pt idx="59">
                  <c:v>193.6871746042595</c:v>
                </c:pt>
                <c:pt idx="60">
                  <c:v>203.15951991233226</c:v>
                </c:pt>
                <c:pt idx="61">
                  <c:v>196.4402693527862</c:v>
                </c:pt>
                <c:pt idx="62">
                  <c:v>198.13712947218872</c:v>
                </c:pt>
                <c:pt idx="63">
                  <c:v>196.37099787300997</c:v>
                </c:pt>
                <c:pt idx="64">
                  <c:v>197.45542852929847</c:v>
                </c:pt>
                <c:pt idx="65">
                  <c:v>200.21561738244586</c:v>
                </c:pt>
                <c:pt idx="66">
                  <c:v>200.20164937804822</c:v>
                </c:pt>
                <c:pt idx="67">
                  <c:v>201.90273068979377</c:v>
                </c:pt>
                <c:pt idx="68">
                  <c:v>201.05394803810776</c:v>
                </c:pt>
                <c:pt idx="69">
                  <c:v>199.35552701073689</c:v>
                </c:pt>
                <c:pt idx="70">
                  <c:v>200.83305962497485</c:v>
                </c:pt>
                <c:pt idx="71">
                  <c:v>197.82874471816555</c:v>
                </c:pt>
                <c:pt idx="72">
                  <c:v>200.1365069133374</c:v>
                </c:pt>
                <c:pt idx="73">
                  <c:v>194.99242475357858</c:v>
                </c:pt>
                <c:pt idx="74">
                  <c:v>201.8335097395005</c:v>
                </c:pt>
                <c:pt idx="75">
                  <c:v>198.72457194313657</c:v>
                </c:pt>
                <c:pt idx="76">
                  <c:v>201.16627333902355</c:v>
                </c:pt>
                <c:pt idx="77">
                  <c:v>197.9367149143076</c:v>
                </c:pt>
                <c:pt idx="78">
                  <c:v>199.90715683782201</c:v>
                </c:pt>
                <c:pt idx="79">
                  <c:v>201.00970784158685</c:v>
                </c:pt>
                <c:pt idx="80">
                  <c:v>201.09893056552394</c:v>
                </c:pt>
                <c:pt idx="81">
                  <c:v>204.05309687556988</c:v>
                </c:pt>
                <c:pt idx="82">
                  <c:v>196.41850085951802</c:v>
                </c:pt>
                <c:pt idx="83">
                  <c:v>202.0580881347133</c:v>
                </c:pt>
                <c:pt idx="84">
                  <c:v>197.73201362260158</c:v>
                </c:pt>
                <c:pt idx="85">
                  <c:v>196.01883195498161</c:v>
                </c:pt>
                <c:pt idx="86">
                  <c:v>197.51049003966386</c:v>
                </c:pt>
                <c:pt idx="87">
                  <c:v>202.2494800517301</c:v>
                </c:pt>
                <c:pt idx="88">
                  <c:v>200.70336522717739</c:v>
                </c:pt>
                <c:pt idx="89">
                  <c:v>199.41554436024688</c:v>
                </c:pt>
                <c:pt idx="90">
                  <c:v>206.27604960514137</c:v>
                </c:pt>
                <c:pt idx="91">
                  <c:v>200.91411931407234</c:v>
                </c:pt>
                <c:pt idx="92">
                  <c:v>195.61229138306967</c:v>
                </c:pt>
                <c:pt idx="93">
                  <c:v>195.68926380748906</c:v>
                </c:pt>
                <c:pt idx="94">
                  <c:v>193.73373739892278</c:v>
                </c:pt>
                <c:pt idx="95">
                  <c:v>202.24476878416803</c:v>
                </c:pt>
                <c:pt idx="96">
                  <c:v>199.60072500903868</c:v>
                </c:pt>
                <c:pt idx="97">
                  <c:v>197.87364899712605</c:v>
                </c:pt>
                <c:pt idx="98">
                  <c:v>199.01345889002368</c:v>
                </c:pt>
                <c:pt idx="99">
                  <c:v>205.94671094236901</c:v>
                </c:pt>
                <c:pt idx="100">
                  <c:v>198.69449854979609</c:v>
                </c:pt>
                <c:pt idx="101">
                  <c:v>192.77529377014713</c:v>
                </c:pt>
                <c:pt idx="102">
                  <c:v>199.78107088800135</c:v>
                </c:pt>
                <c:pt idx="103">
                  <c:v>193.74609639282761</c:v>
                </c:pt>
                <c:pt idx="104">
                  <c:v>200.40696949229888</c:v>
                </c:pt>
                <c:pt idx="105">
                  <c:v>198.50895587402212</c:v>
                </c:pt>
                <c:pt idx="106">
                  <c:v>193.87624225973292</c:v>
                </c:pt>
                <c:pt idx="107">
                  <c:v>195.75749651964927</c:v>
                </c:pt>
                <c:pt idx="108">
                  <c:v>198.99940527964978</c:v>
                </c:pt>
                <c:pt idx="109">
                  <c:v>207.63039047462996</c:v>
                </c:pt>
                <c:pt idx="110">
                  <c:v>198.10798249371297</c:v>
                </c:pt>
                <c:pt idx="111">
                  <c:v>198.05800002213758</c:v>
                </c:pt>
                <c:pt idx="112">
                  <c:v>198.52426692476237</c:v>
                </c:pt>
                <c:pt idx="113">
                  <c:v>197.45382551289438</c:v>
                </c:pt>
                <c:pt idx="114">
                  <c:v>200.47720294153564</c:v>
                </c:pt>
                <c:pt idx="115">
                  <c:v>200.5231370973743</c:v>
                </c:pt>
                <c:pt idx="116">
                  <c:v>193.76932052431513</c:v>
                </c:pt>
                <c:pt idx="117">
                  <c:v>195.39730254773286</c:v>
                </c:pt>
                <c:pt idx="118">
                  <c:v>202.39584377025588</c:v>
                </c:pt>
                <c:pt idx="119">
                  <c:v>200.33648070017637</c:v>
                </c:pt>
                <c:pt idx="120">
                  <c:v>202.57198410823631</c:v>
                </c:pt>
                <c:pt idx="121">
                  <c:v>206.1608506296767</c:v>
                </c:pt>
                <c:pt idx="122">
                  <c:v>201.66948337335538</c:v>
                </c:pt>
                <c:pt idx="123">
                  <c:v>204.431370050601</c:v>
                </c:pt>
                <c:pt idx="124">
                  <c:v>196.77230057892231</c:v>
                </c:pt>
                <c:pt idx="125">
                  <c:v>196.58694544324703</c:v>
                </c:pt>
                <c:pt idx="126">
                  <c:v>203.83776378810668</c:v>
                </c:pt>
                <c:pt idx="127">
                  <c:v>198.99320461852994</c:v>
                </c:pt>
                <c:pt idx="128">
                  <c:v>199.36660345438429</c:v>
                </c:pt>
                <c:pt idx="129">
                  <c:v>198.24671746536717</c:v>
                </c:pt>
                <c:pt idx="130">
                  <c:v>197.58798017019743</c:v>
                </c:pt>
                <c:pt idx="131">
                  <c:v>200.56574254994175</c:v>
                </c:pt>
                <c:pt idx="132">
                  <c:v>200.72207255849059</c:v>
                </c:pt>
                <c:pt idx="133">
                  <c:v>204.03639692109417</c:v>
                </c:pt>
                <c:pt idx="134">
                  <c:v>197.32430978091722</c:v>
                </c:pt>
                <c:pt idx="135">
                  <c:v>202.93849478075242</c:v>
                </c:pt>
                <c:pt idx="136">
                  <c:v>195.92151854874396</c:v>
                </c:pt>
                <c:pt idx="137">
                  <c:v>198.89499170133888</c:v>
                </c:pt>
                <c:pt idx="138">
                  <c:v>202.34447628384686</c:v>
                </c:pt>
                <c:pt idx="139">
                  <c:v>197.77573220404861</c:v>
                </c:pt>
                <c:pt idx="140">
                  <c:v>202.30855807081301</c:v>
                </c:pt>
                <c:pt idx="141">
                  <c:v>196.84075228040456</c:v>
                </c:pt>
                <c:pt idx="142">
                  <c:v>204.4285726622991</c:v>
                </c:pt>
                <c:pt idx="143">
                  <c:v>195.22562911086487</c:v>
                </c:pt>
                <c:pt idx="144">
                  <c:v>198.49321001777767</c:v>
                </c:pt>
                <c:pt idx="145">
                  <c:v>200.29720004994496</c:v>
                </c:pt>
                <c:pt idx="146">
                  <c:v>205.70189501281675</c:v>
                </c:pt>
                <c:pt idx="147">
                  <c:v>197.7957492221544</c:v>
                </c:pt>
                <c:pt idx="148">
                  <c:v>191.96888603852611</c:v>
                </c:pt>
                <c:pt idx="149">
                  <c:v>203.14666901561401</c:v>
                </c:pt>
                <c:pt idx="150">
                  <c:v>194.26559602752971</c:v>
                </c:pt>
                <c:pt idx="151">
                  <c:v>199.51644687426031</c:v>
                </c:pt>
                <c:pt idx="152">
                  <c:v>201.08694887028597</c:v>
                </c:pt>
                <c:pt idx="153">
                  <c:v>200.41004344945458</c:v>
                </c:pt>
                <c:pt idx="154">
                  <c:v>201.22378683037863</c:v>
                </c:pt>
                <c:pt idx="155">
                  <c:v>201.97775490950198</c:v>
                </c:pt>
                <c:pt idx="156">
                  <c:v>193.89330297847829</c:v>
                </c:pt>
                <c:pt idx="157">
                  <c:v>199.41345029099989</c:v>
                </c:pt>
                <c:pt idx="158">
                  <c:v>202.65692092230512</c:v>
                </c:pt>
                <c:pt idx="159">
                  <c:v>204.46935136129835</c:v>
                </c:pt>
                <c:pt idx="160">
                  <c:v>200.48751046397155</c:v>
                </c:pt>
                <c:pt idx="161">
                  <c:v>200.85239096404047</c:v>
                </c:pt>
                <c:pt idx="162">
                  <c:v>207.94333385350185</c:v>
                </c:pt>
                <c:pt idx="163">
                  <c:v>196.92119174610201</c:v>
                </c:pt>
                <c:pt idx="164">
                  <c:v>201.72702782209021</c:v>
                </c:pt>
                <c:pt idx="165">
                  <c:v>201.66278741534288</c:v>
                </c:pt>
                <c:pt idx="166">
                  <c:v>205.17397741818178</c:v>
                </c:pt>
                <c:pt idx="167">
                  <c:v>196.98189909789897</c:v>
                </c:pt>
                <c:pt idx="168">
                  <c:v>204.31787819438992</c:v>
                </c:pt>
                <c:pt idx="169">
                  <c:v>194.91745094023366</c:v>
                </c:pt>
                <c:pt idx="170">
                  <c:v>206.40794297982782</c:v>
                </c:pt>
                <c:pt idx="171">
                  <c:v>201.69764107285488</c:v>
                </c:pt>
                <c:pt idx="172">
                  <c:v>201.46690406602522</c:v>
                </c:pt>
                <c:pt idx="173">
                  <c:v>197.32954044728234</c:v>
                </c:pt>
                <c:pt idx="174">
                  <c:v>204.11962661742746</c:v>
                </c:pt>
                <c:pt idx="175">
                  <c:v>194.49002808473531</c:v>
                </c:pt>
                <c:pt idx="176">
                  <c:v>202.47423905953647</c:v>
                </c:pt>
                <c:pt idx="177">
                  <c:v>203.16248361971867</c:v>
                </c:pt>
                <c:pt idx="178">
                  <c:v>204.14510443682605</c:v>
                </c:pt>
                <c:pt idx="179">
                  <c:v>195.2694556221912</c:v>
                </c:pt>
                <c:pt idx="180">
                  <c:v>201.21669069192558</c:v>
                </c:pt>
                <c:pt idx="181">
                  <c:v>197.41692032918004</c:v>
                </c:pt>
                <c:pt idx="182">
                  <c:v>203.37887109183796</c:v>
                </c:pt>
                <c:pt idx="183">
                  <c:v>197.79227164111376</c:v>
                </c:pt>
                <c:pt idx="184">
                  <c:v>198.37471817754943</c:v>
                </c:pt>
                <c:pt idx="185">
                  <c:v>202.85263401819174</c:v>
                </c:pt>
                <c:pt idx="186">
                  <c:v>202.36495064474056</c:v>
                </c:pt>
                <c:pt idx="187">
                  <c:v>200.51603657492961</c:v>
                </c:pt>
                <c:pt idx="188">
                  <c:v>201.00079140569932</c:v>
                </c:pt>
                <c:pt idx="189">
                  <c:v>200.21240351839671</c:v>
                </c:pt>
                <c:pt idx="190">
                  <c:v>196.85775797030763</c:v>
                </c:pt>
                <c:pt idx="191">
                  <c:v>205.71258128043237</c:v>
                </c:pt>
                <c:pt idx="192">
                  <c:v>197.14159778370552</c:v>
                </c:pt>
                <c:pt idx="193">
                  <c:v>200.01392126799118</c:v>
                </c:pt>
                <c:pt idx="194">
                  <c:v>195.78907372124002</c:v>
                </c:pt>
                <c:pt idx="195">
                  <c:v>191.37554336977394</c:v>
                </c:pt>
                <c:pt idx="196">
                  <c:v>197.21004772050745</c:v>
                </c:pt>
                <c:pt idx="197">
                  <c:v>197.04984621989121</c:v>
                </c:pt>
                <c:pt idx="198">
                  <c:v>201.61439833527785</c:v>
                </c:pt>
                <c:pt idx="199">
                  <c:v>198.26130595677651</c:v>
                </c:pt>
                <c:pt idx="200">
                  <c:v>200.98539254028279</c:v>
                </c:pt>
                <c:pt idx="201">
                  <c:v>194.83076802568843</c:v>
                </c:pt>
                <c:pt idx="202">
                  <c:v>197.74063954647235</c:v>
                </c:pt>
                <c:pt idx="203">
                  <c:v>203.28163233245743</c:v>
                </c:pt>
                <c:pt idx="204">
                  <c:v>204.93222713857625</c:v>
                </c:pt>
                <c:pt idx="205">
                  <c:v>194.1808349720466</c:v>
                </c:pt>
                <c:pt idx="206">
                  <c:v>201.88536907578791</c:v>
                </c:pt>
                <c:pt idx="207">
                  <c:v>194.82334470679842</c:v>
                </c:pt>
                <c:pt idx="208">
                  <c:v>201.63558706734131</c:v>
                </c:pt>
                <c:pt idx="209">
                  <c:v>197.87052926380107</c:v>
                </c:pt>
                <c:pt idx="210">
                  <c:v>190.60300173422064</c:v>
                </c:pt>
                <c:pt idx="211">
                  <c:v>203.45268436827089</c:v>
                </c:pt>
                <c:pt idx="212">
                  <c:v>197.98460785766443</c:v>
                </c:pt>
                <c:pt idx="213">
                  <c:v>199.6815692820702</c:v>
                </c:pt>
                <c:pt idx="214">
                  <c:v>198.00701357158871</c:v>
                </c:pt>
                <c:pt idx="215">
                  <c:v>200.05914781658265</c:v>
                </c:pt>
                <c:pt idx="216">
                  <c:v>202.08931424016512</c:v>
                </c:pt>
                <c:pt idx="217">
                  <c:v>198.58877378934437</c:v>
                </c:pt>
                <c:pt idx="218">
                  <c:v>199.05341197365914</c:v>
                </c:pt>
                <c:pt idx="219">
                  <c:v>200.23669722310535</c:v>
                </c:pt>
                <c:pt idx="220">
                  <c:v>202.58349838448962</c:v>
                </c:pt>
                <c:pt idx="221">
                  <c:v>200.1288237442441</c:v>
                </c:pt>
                <c:pt idx="222">
                  <c:v>199.06403351674288</c:v>
                </c:pt>
                <c:pt idx="223">
                  <c:v>203.69754065730109</c:v>
                </c:pt>
                <c:pt idx="224">
                  <c:v>199.54392365883257</c:v>
                </c:pt>
                <c:pt idx="225">
                  <c:v>203.11320708974458</c:v>
                </c:pt>
                <c:pt idx="226">
                  <c:v>196.01796307557632</c:v>
                </c:pt>
                <c:pt idx="227">
                  <c:v>201.35451036947822</c:v>
                </c:pt>
                <c:pt idx="228">
                  <c:v>205.40192110660303</c:v>
                </c:pt>
                <c:pt idx="229">
                  <c:v>202.28222798030654</c:v>
                </c:pt>
                <c:pt idx="230">
                  <c:v>198.41178173897131</c:v>
                </c:pt>
                <c:pt idx="231">
                  <c:v>195.82565820486698</c:v>
                </c:pt>
                <c:pt idx="232">
                  <c:v>201.07113479589705</c:v>
                </c:pt>
                <c:pt idx="233">
                  <c:v>203.6390769644147</c:v>
                </c:pt>
                <c:pt idx="234">
                  <c:v>197.70385345523576</c:v>
                </c:pt>
                <c:pt idx="235">
                  <c:v>197.50714852493692</c:v>
                </c:pt>
                <c:pt idx="236">
                  <c:v>199.81644371733702</c:v>
                </c:pt>
                <c:pt idx="237">
                  <c:v>194.93794016901211</c:v>
                </c:pt>
                <c:pt idx="238">
                  <c:v>196.47386169803502</c:v>
                </c:pt>
                <c:pt idx="239">
                  <c:v>196.74063945944607</c:v>
                </c:pt>
                <c:pt idx="240">
                  <c:v>198.80159260296452</c:v>
                </c:pt>
                <c:pt idx="241">
                  <c:v>201.97690666789447</c:v>
                </c:pt>
                <c:pt idx="242">
                  <c:v>199.07185446555687</c:v>
                </c:pt>
                <c:pt idx="243">
                  <c:v>196.62612865932624</c:v>
                </c:pt>
                <c:pt idx="244">
                  <c:v>193.6152669081186</c:v>
                </c:pt>
                <c:pt idx="245">
                  <c:v>197.00787392270041</c:v>
                </c:pt>
                <c:pt idx="246">
                  <c:v>200.28987157515851</c:v>
                </c:pt>
                <c:pt idx="247">
                  <c:v>198.5289125535958</c:v>
                </c:pt>
                <c:pt idx="248">
                  <c:v>208.75259317992723</c:v>
                </c:pt>
                <c:pt idx="249">
                  <c:v>199.32899393611308</c:v>
                </c:pt>
                <c:pt idx="250">
                  <c:v>200.25984379962787</c:v>
                </c:pt>
                <c:pt idx="251">
                  <c:v>203.52293487028086</c:v>
                </c:pt>
                <c:pt idx="252">
                  <c:v>198.27747377564262</c:v>
                </c:pt>
                <c:pt idx="253">
                  <c:v>198.19333392803836</c:v>
                </c:pt>
                <c:pt idx="254">
                  <c:v>202.811591213713</c:v>
                </c:pt>
                <c:pt idx="255">
                  <c:v>205.77826895452381</c:v>
                </c:pt>
                <c:pt idx="256">
                  <c:v>201.95254305992103</c:v>
                </c:pt>
                <c:pt idx="257">
                  <c:v>192.69309262638518</c:v>
                </c:pt>
                <c:pt idx="258">
                  <c:v>201.5035898829959</c:v>
                </c:pt>
                <c:pt idx="259">
                  <c:v>206.03464111680282</c:v>
                </c:pt>
                <c:pt idx="260">
                  <c:v>198.57039410802912</c:v>
                </c:pt>
                <c:pt idx="261">
                  <c:v>202.97079583343449</c:v>
                </c:pt>
                <c:pt idx="262">
                  <c:v>198.13321416005374</c:v>
                </c:pt>
                <c:pt idx="263">
                  <c:v>203.44830107580378</c:v>
                </c:pt>
                <c:pt idx="264">
                  <c:v>199.74753431125015</c:v>
                </c:pt>
                <c:pt idx="265">
                  <c:v>199.46859169896069</c:v>
                </c:pt>
                <c:pt idx="266">
                  <c:v>193.85093927316814</c:v>
                </c:pt>
                <c:pt idx="267">
                  <c:v>200.49868909695522</c:v>
                </c:pt>
                <c:pt idx="268">
                  <c:v>199.87763842119071</c:v>
                </c:pt>
                <c:pt idx="269">
                  <c:v>195.11387651970043</c:v>
                </c:pt>
                <c:pt idx="270">
                  <c:v>200.79722793229479</c:v>
                </c:pt>
                <c:pt idx="271">
                  <c:v>190.36955169587236</c:v>
                </c:pt>
                <c:pt idx="272">
                  <c:v>202.65748411727904</c:v>
                </c:pt>
                <c:pt idx="273">
                  <c:v>201.60503569525275</c:v>
                </c:pt>
                <c:pt idx="274">
                  <c:v>198.52429226883052</c:v>
                </c:pt>
                <c:pt idx="275">
                  <c:v>200.49634460491586</c:v>
                </c:pt>
                <c:pt idx="276">
                  <c:v>196.35868411009542</c:v>
                </c:pt>
                <c:pt idx="277">
                  <c:v>199.55568126236179</c:v>
                </c:pt>
                <c:pt idx="278">
                  <c:v>199.82443462541897</c:v>
                </c:pt>
                <c:pt idx="279">
                  <c:v>197.62973675934001</c:v>
                </c:pt>
                <c:pt idx="280">
                  <c:v>195.87848545273937</c:v>
                </c:pt>
                <c:pt idx="281">
                  <c:v>199.84370901175564</c:v>
                </c:pt>
                <c:pt idx="282">
                  <c:v>201.97693680195334</c:v>
                </c:pt>
                <c:pt idx="283">
                  <c:v>196.75940190715227</c:v>
                </c:pt>
                <c:pt idx="284">
                  <c:v>197.44312728888198</c:v>
                </c:pt>
                <c:pt idx="285">
                  <c:v>201.14724878360823</c:v>
                </c:pt>
                <c:pt idx="286">
                  <c:v>202.71211836756481</c:v>
                </c:pt>
                <c:pt idx="287">
                  <c:v>200.64653003865891</c:v>
                </c:pt>
                <c:pt idx="288">
                  <c:v>200.40265303441549</c:v>
                </c:pt>
                <c:pt idx="289">
                  <c:v>199.17345345256462</c:v>
                </c:pt>
                <c:pt idx="290">
                  <c:v>205.07127262365452</c:v>
                </c:pt>
                <c:pt idx="291">
                  <c:v>193.70283510910494</c:v>
                </c:pt>
                <c:pt idx="292">
                  <c:v>200.07551799379547</c:v>
                </c:pt>
                <c:pt idx="293">
                  <c:v>201.02770532790524</c:v>
                </c:pt>
                <c:pt idx="294">
                  <c:v>199.16546593088697</c:v>
                </c:pt>
                <c:pt idx="295">
                  <c:v>200.10804856704635</c:v>
                </c:pt>
                <c:pt idx="296">
                  <c:v>199.91540154735014</c:v>
                </c:pt>
                <c:pt idx="297">
                  <c:v>201.01688145336834</c:v>
                </c:pt>
                <c:pt idx="298">
                  <c:v>204.16613591842028</c:v>
                </c:pt>
                <c:pt idx="299">
                  <c:v>200.30450418107591</c:v>
                </c:pt>
                <c:pt idx="300">
                  <c:v>199.82707663008495</c:v>
                </c:pt>
                <c:pt idx="301">
                  <c:v>202.22911804197696</c:v>
                </c:pt>
                <c:pt idx="302">
                  <c:v>197.52434418466893</c:v>
                </c:pt>
                <c:pt idx="303">
                  <c:v>199.29115737342909</c:v>
                </c:pt>
                <c:pt idx="304">
                  <c:v>201.61609619526754</c:v>
                </c:pt>
                <c:pt idx="305">
                  <c:v>201.83197961007696</c:v>
                </c:pt>
                <c:pt idx="306">
                  <c:v>195.81965904512765</c:v>
                </c:pt>
                <c:pt idx="307">
                  <c:v>197.09782592559478</c:v>
                </c:pt>
                <c:pt idx="308">
                  <c:v>204.50928585865736</c:v>
                </c:pt>
                <c:pt idx="309">
                  <c:v>203.82352359032922</c:v>
                </c:pt>
                <c:pt idx="310">
                  <c:v>192.85203756216572</c:v>
                </c:pt>
                <c:pt idx="311">
                  <c:v>196.08181606384539</c:v>
                </c:pt>
                <c:pt idx="312">
                  <c:v>203.11170550813674</c:v>
                </c:pt>
                <c:pt idx="313">
                  <c:v>200.60981010193134</c:v>
                </c:pt>
                <c:pt idx="314">
                  <c:v>196.50972873000416</c:v>
                </c:pt>
                <c:pt idx="315">
                  <c:v>201.75656007688613</c:v>
                </c:pt>
                <c:pt idx="316">
                  <c:v>199.79767635182787</c:v>
                </c:pt>
                <c:pt idx="317">
                  <c:v>201.83493484546872</c:v>
                </c:pt>
                <c:pt idx="318">
                  <c:v>206.02669654976373</c:v>
                </c:pt>
                <c:pt idx="319">
                  <c:v>200.81026140292474</c:v>
                </c:pt>
                <c:pt idx="320">
                  <c:v>189.54451903583077</c:v>
                </c:pt>
                <c:pt idx="321">
                  <c:v>205.33196091674822</c:v>
                </c:pt>
                <c:pt idx="322">
                  <c:v>202.68743378009154</c:v>
                </c:pt>
                <c:pt idx="323">
                  <c:v>202.59191185878487</c:v>
                </c:pt>
                <c:pt idx="324">
                  <c:v>200.1673430253104</c:v>
                </c:pt>
                <c:pt idx="325">
                  <c:v>204.27994360358502</c:v>
                </c:pt>
                <c:pt idx="326">
                  <c:v>197.80807086842862</c:v>
                </c:pt>
                <c:pt idx="327">
                  <c:v>199.34469460790157</c:v>
                </c:pt>
                <c:pt idx="328">
                  <c:v>195.62777588779772</c:v>
                </c:pt>
                <c:pt idx="329">
                  <c:v>206.87380936642336</c:v>
                </c:pt>
                <c:pt idx="330">
                  <c:v>197.13382730472483</c:v>
                </c:pt>
                <c:pt idx="331">
                  <c:v>200.88838612326416</c:v>
                </c:pt>
                <c:pt idx="332">
                  <c:v>195.63634050876919</c:v>
                </c:pt>
                <c:pt idx="333">
                  <c:v>198.71786749934591</c:v>
                </c:pt>
                <c:pt idx="334">
                  <c:v>208.45667585463798</c:v>
                </c:pt>
                <c:pt idx="335">
                  <c:v>196.34327965539063</c:v>
                </c:pt>
                <c:pt idx="336">
                  <c:v>198.81516752854611</c:v>
                </c:pt>
                <c:pt idx="337">
                  <c:v>203.30319585282191</c:v>
                </c:pt>
                <c:pt idx="338">
                  <c:v>197.84722276983058</c:v>
                </c:pt>
                <c:pt idx="339">
                  <c:v>198.95614960583077</c:v>
                </c:pt>
                <c:pt idx="340">
                  <c:v>199.70977272683589</c:v>
                </c:pt>
                <c:pt idx="341">
                  <c:v>197.47080500701233</c:v>
                </c:pt>
                <c:pt idx="342">
                  <c:v>205.25800046728472</c:v>
                </c:pt>
                <c:pt idx="343">
                  <c:v>199.75146429006023</c:v>
                </c:pt>
                <c:pt idx="344">
                  <c:v>194.79100409229852</c:v>
                </c:pt>
                <c:pt idx="345">
                  <c:v>205.1800303167588</c:v>
                </c:pt>
                <c:pt idx="346">
                  <c:v>203.1603035163501</c:v>
                </c:pt>
                <c:pt idx="347">
                  <c:v>195.98496992895949</c:v>
                </c:pt>
                <c:pt idx="348">
                  <c:v>205.6209010924243</c:v>
                </c:pt>
                <c:pt idx="349">
                  <c:v>200.85653124277306</c:v>
                </c:pt>
                <c:pt idx="350">
                  <c:v>198.87375140392777</c:v>
                </c:pt>
                <c:pt idx="351">
                  <c:v>189.68096549138554</c:v>
                </c:pt>
                <c:pt idx="352">
                  <c:v>203.90317181401829</c:v>
                </c:pt>
                <c:pt idx="353">
                  <c:v>200.2639165654771</c:v>
                </c:pt>
                <c:pt idx="354">
                  <c:v>202.62273354573477</c:v>
                </c:pt>
                <c:pt idx="355">
                  <c:v>198.86038010212789</c:v>
                </c:pt>
                <c:pt idx="356">
                  <c:v>194.11648026759852</c:v>
                </c:pt>
                <c:pt idx="357">
                  <c:v>198.08143199260326</c:v>
                </c:pt>
                <c:pt idx="358">
                  <c:v>201.78936318884894</c:v>
                </c:pt>
                <c:pt idx="359">
                  <c:v>204.93112299253536</c:v>
                </c:pt>
                <c:pt idx="360">
                  <c:v>194.35722732831184</c:v>
                </c:pt>
                <c:pt idx="361">
                  <c:v>207.07616781419614</c:v>
                </c:pt>
                <c:pt idx="362">
                  <c:v>197.69226579336683</c:v>
                </c:pt>
                <c:pt idx="363">
                  <c:v>202.58043772715899</c:v>
                </c:pt>
                <c:pt idx="364">
                  <c:v>204.21994781451536</c:v>
                </c:pt>
                <c:pt idx="365">
                  <c:v>200.38224847035681</c:v>
                </c:pt>
                <c:pt idx="366">
                  <c:v>199.82847786316117</c:v>
                </c:pt>
                <c:pt idx="367">
                  <c:v>199.41014406694003</c:v>
                </c:pt>
                <c:pt idx="368">
                  <c:v>199.98710058732078</c:v>
                </c:pt>
                <c:pt idx="369">
                  <c:v>201.11750307296032</c:v>
                </c:pt>
                <c:pt idx="370">
                  <c:v>199.60104415113031</c:v>
                </c:pt>
                <c:pt idx="371">
                  <c:v>202.05481929701034</c:v>
                </c:pt>
                <c:pt idx="372">
                  <c:v>204.76955572689613</c:v>
                </c:pt>
                <c:pt idx="373">
                  <c:v>200.08148328974852</c:v>
                </c:pt>
                <c:pt idx="374">
                  <c:v>198.81272558592138</c:v>
                </c:pt>
                <c:pt idx="375">
                  <c:v>199.62703045886084</c:v>
                </c:pt>
                <c:pt idx="376">
                  <c:v>199.50209179407034</c:v>
                </c:pt>
                <c:pt idx="377">
                  <c:v>194.94919920180939</c:v>
                </c:pt>
                <c:pt idx="378">
                  <c:v>194.76125895758011</c:v>
                </c:pt>
                <c:pt idx="379">
                  <c:v>203.18900035178126</c:v>
                </c:pt>
                <c:pt idx="380">
                  <c:v>200.58482401865538</c:v>
                </c:pt>
                <c:pt idx="381">
                  <c:v>201.62006597615868</c:v>
                </c:pt>
                <c:pt idx="382">
                  <c:v>207.62922913125416</c:v>
                </c:pt>
                <c:pt idx="383">
                  <c:v>198.99519365284939</c:v>
                </c:pt>
                <c:pt idx="384">
                  <c:v>194.79964429414409</c:v>
                </c:pt>
                <c:pt idx="385">
                  <c:v>203.41139917758159</c:v>
                </c:pt>
                <c:pt idx="386">
                  <c:v>202.63172912349111</c:v>
                </c:pt>
                <c:pt idx="387">
                  <c:v>203.85796566687998</c:v>
                </c:pt>
                <c:pt idx="388">
                  <c:v>204.04351132110455</c:v>
                </c:pt>
                <c:pt idx="389">
                  <c:v>200.26490116319809</c:v>
                </c:pt>
                <c:pt idx="390">
                  <c:v>196.58088146663044</c:v>
                </c:pt>
                <c:pt idx="391">
                  <c:v>200.92023840981759</c:v>
                </c:pt>
                <c:pt idx="392">
                  <c:v>201.43663928209725</c:v>
                </c:pt>
                <c:pt idx="393">
                  <c:v>202.47408194658217</c:v>
                </c:pt>
                <c:pt idx="394">
                  <c:v>202.03945050564946</c:v>
                </c:pt>
                <c:pt idx="395">
                  <c:v>206.18177162802601</c:v>
                </c:pt>
                <c:pt idx="396">
                  <c:v>201.39319715610134</c:v>
                </c:pt>
                <c:pt idx="397">
                  <c:v>196.14902081810348</c:v>
                </c:pt>
                <c:pt idx="398">
                  <c:v>198.44045043759934</c:v>
                </c:pt>
                <c:pt idx="399">
                  <c:v>204.62625291561039</c:v>
                </c:pt>
                <c:pt idx="400">
                  <c:v>201.15540728554964</c:v>
                </c:pt>
                <c:pt idx="401">
                  <c:v>202.10919321315089</c:v>
                </c:pt>
                <c:pt idx="402">
                  <c:v>204.09680097447807</c:v>
                </c:pt>
                <c:pt idx="403">
                  <c:v>204.4767049117618</c:v>
                </c:pt>
                <c:pt idx="404">
                  <c:v>201.39916032578037</c:v>
                </c:pt>
                <c:pt idx="405">
                  <c:v>197.94369867211333</c:v>
                </c:pt>
                <c:pt idx="406">
                  <c:v>196.5277644125932</c:v>
                </c:pt>
                <c:pt idx="407">
                  <c:v>198.40550671443188</c:v>
                </c:pt>
                <c:pt idx="408">
                  <c:v>203.54865761305135</c:v>
                </c:pt>
                <c:pt idx="409">
                  <c:v>196.69444706666397</c:v>
                </c:pt>
                <c:pt idx="410">
                  <c:v>193.29146719325246</c:v>
                </c:pt>
                <c:pt idx="411">
                  <c:v>204.47126897630707</c:v>
                </c:pt>
                <c:pt idx="412">
                  <c:v>195.94085275633174</c:v>
                </c:pt>
                <c:pt idx="413">
                  <c:v>196.95826331502224</c:v>
                </c:pt>
                <c:pt idx="414">
                  <c:v>199.43870006713661</c:v>
                </c:pt>
                <c:pt idx="415">
                  <c:v>198.22551327149986</c:v>
                </c:pt>
                <c:pt idx="416">
                  <c:v>204.74597159122342</c:v>
                </c:pt>
                <c:pt idx="417">
                  <c:v>201.03901372256166</c:v>
                </c:pt>
                <c:pt idx="418">
                  <c:v>202.15472310018947</c:v>
                </c:pt>
                <c:pt idx="419">
                  <c:v>197.16096707544668</c:v>
                </c:pt>
                <c:pt idx="420">
                  <c:v>197.61978039579733</c:v>
                </c:pt>
                <c:pt idx="421">
                  <c:v>202.04505890179607</c:v>
                </c:pt>
                <c:pt idx="422">
                  <c:v>199.85022968886548</c:v>
                </c:pt>
                <c:pt idx="423">
                  <c:v>202.21038371222198</c:v>
                </c:pt>
                <c:pt idx="424">
                  <c:v>203.61771758540232</c:v>
                </c:pt>
                <c:pt idx="425">
                  <c:v>200.8293896866941</c:v>
                </c:pt>
                <c:pt idx="426">
                  <c:v>200.37096873788403</c:v>
                </c:pt>
                <c:pt idx="427">
                  <c:v>203.34809687922595</c:v>
                </c:pt>
                <c:pt idx="428">
                  <c:v>197.0818232059126</c:v>
                </c:pt>
                <c:pt idx="429">
                  <c:v>204.04974880173873</c:v>
                </c:pt>
                <c:pt idx="430">
                  <c:v>198.03586537138807</c:v>
                </c:pt>
                <c:pt idx="431">
                  <c:v>200.81674863344367</c:v>
                </c:pt>
                <c:pt idx="432">
                  <c:v>196.9165965471382</c:v>
                </c:pt>
                <c:pt idx="433">
                  <c:v>198.58929838126051</c:v>
                </c:pt>
                <c:pt idx="434">
                  <c:v>199.51447910073617</c:v>
                </c:pt>
                <c:pt idx="435">
                  <c:v>202.95008627665194</c:v>
                </c:pt>
                <c:pt idx="436">
                  <c:v>200.81237371452619</c:v>
                </c:pt>
                <c:pt idx="437">
                  <c:v>195.33580192548203</c:v>
                </c:pt>
                <c:pt idx="438">
                  <c:v>200.32188751179902</c:v>
                </c:pt>
                <c:pt idx="439">
                  <c:v>190.99993405399013</c:v>
                </c:pt>
                <c:pt idx="440">
                  <c:v>200.28353302700026</c:v>
                </c:pt>
                <c:pt idx="441">
                  <c:v>197.83818752080469</c:v>
                </c:pt>
                <c:pt idx="442">
                  <c:v>203.1121367233124</c:v>
                </c:pt>
                <c:pt idx="443">
                  <c:v>205.82426114559797</c:v>
                </c:pt>
                <c:pt idx="444">
                  <c:v>205.24235445875931</c:v>
                </c:pt>
                <c:pt idx="445">
                  <c:v>206.00734724406618</c:v>
                </c:pt>
                <c:pt idx="446">
                  <c:v>202.9454848588577</c:v>
                </c:pt>
                <c:pt idx="447">
                  <c:v>205.13820151719071</c:v>
                </c:pt>
                <c:pt idx="448">
                  <c:v>207.05597400855746</c:v>
                </c:pt>
                <c:pt idx="449">
                  <c:v>202.88693640168336</c:v>
                </c:pt>
                <c:pt idx="450">
                  <c:v>201.34983001452844</c:v>
                </c:pt>
                <c:pt idx="451">
                  <c:v>201.5732987461889</c:v>
                </c:pt>
                <c:pt idx="452">
                  <c:v>199.04355570364507</c:v>
                </c:pt>
                <c:pt idx="453">
                  <c:v>196.86820984530482</c:v>
                </c:pt>
                <c:pt idx="454">
                  <c:v>203.61938279165764</c:v>
                </c:pt>
                <c:pt idx="455">
                  <c:v>201.26067775760802</c:v>
                </c:pt>
                <c:pt idx="456">
                  <c:v>203.24229360305571</c:v>
                </c:pt>
                <c:pt idx="457">
                  <c:v>199.40407466644351</c:v>
                </c:pt>
                <c:pt idx="458">
                  <c:v>193.09773685627911</c:v>
                </c:pt>
                <c:pt idx="459">
                  <c:v>201.21239969460134</c:v>
                </c:pt>
                <c:pt idx="460">
                  <c:v>196.40194111022635</c:v>
                </c:pt>
                <c:pt idx="461">
                  <c:v>197.20512770783822</c:v>
                </c:pt>
                <c:pt idx="462">
                  <c:v>199.6350043471389</c:v>
                </c:pt>
                <c:pt idx="463">
                  <c:v>199.13515202463921</c:v>
                </c:pt>
                <c:pt idx="464">
                  <c:v>193.47829088810838</c:v>
                </c:pt>
                <c:pt idx="465">
                  <c:v>201.21250062427211</c:v>
                </c:pt>
                <c:pt idx="466">
                  <c:v>200.39391454426826</c:v>
                </c:pt>
                <c:pt idx="467">
                  <c:v>199.7124638737865</c:v>
                </c:pt>
                <c:pt idx="468">
                  <c:v>198.50673151566068</c:v>
                </c:pt>
                <c:pt idx="469">
                  <c:v>203.51635524198136</c:v>
                </c:pt>
                <c:pt idx="470">
                  <c:v>204.66467777106323</c:v>
                </c:pt>
                <c:pt idx="471">
                  <c:v>201.92440171652069</c:v>
                </c:pt>
                <c:pt idx="472">
                  <c:v>211.00185357735475</c:v>
                </c:pt>
                <c:pt idx="473">
                  <c:v>201.39787109869087</c:v>
                </c:pt>
                <c:pt idx="474">
                  <c:v>199.33801965758209</c:v>
                </c:pt>
                <c:pt idx="475">
                  <c:v>200.82139315530623</c:v>
                </c:pt>
                <c:pt idx="476">
                  <c:v>200.18462593809389</c:v>
                </c:pt>
                <c:pt idx="477">
                  <c:v>199.21108033653061</c:v>
                </c:pt>
                <c:pt idx="478">
                  <c:v>200.83380401554706</c:v>
                </c:pt>
                <c:pt idx="479">
                  <c:v>197.46690833221029</c:v>
                </c:pt>
                <c:pt idx="480">
                  <c:v>200.29246508101969</c:v>
                </c:pt>
                <c:pt idx="481">
                  <c:v>195.19696357559761</c:v>
                </c:pt>
                <c:pt idx="482">
                  <c:v>201.91938020829261</c:v>
                </c:pt>
                <c:pt idx="483">
                  <c:v>206.12816675441522</c:v>
                </c:pt>
                <c:pt idx="484">
                  <c:v>207.93593430116536</c:v>
                </c:pt>
                <c:pt idx="485">
                  <c:v>199.78257585461074</c:v>
                </c:pt>
                <c:pt idx="486">
                  <c:v>197.71859527993965</c:v>
                </c:pt>
                <c:pt idx="487">
                  <c:v>194.578402029009</c:v>
                </c:pt>
                <c:pt idx="488">
                  <c:v>203.94466350502205</c:v>
                </c:pt>
                <c:pt idx="489">
                  <c:v>202.46829495490229</c:v>
                </c:pt>
                <c:pt idx="490">
                  <c:v>201.54455404850987</c:v>
                </c:pt>
                <c:pt idx="491">
                  <c:v>201.22482391770944</c:v>
                </c:pt>
                <c:pt idx="492">
                  <c:v>199.50080216423837</c:v>
                </c:pt>
                <c:pt idx="493">
                  <c:v>195.6882777638848</c:v>
                </c:pt>
                <c:pt idx="494">
                  <c:v>202.4157187853842</c:v>
                </c:pt>
                <c:pt idx="495">
                  <c:v>202.10226775112307</c:v>
                </c:pt>
                <c:pt idx="496">
                  <c:v>203.04401223414774</c:v>
                </c:pt>
                <c:pt idx="497">
                  <c:v>196.51725754694689</c:v>
                </c:pt>
                <c:pt idx="498">
                  <c:v>197.76784591320143</c:v>
                </c:pt>
                <c:pt idx="499">
                  <c:v>197.7021045781822</c:v>
                </c:pt>
                <c:pt idx="500">
                  <c:v>197.91204677252514</c:v>
                </c:pt>
                <c:pt idx="501">
                  <c:v>192.06042920692289</c:v>
                </c:pt>
                <c:pt idx="502">
                  <c:v>191.32261876656645</c:v>
                </c:pt>
                <c:pt idx="503">
                  <c:v>199.62707844263542</c:v>
                </c:pt>
                <c:pt idx="504">
                  <c:v>195.21634964738271</c:v>
                </c:pt>
                <c:pt idx="505">
                  <c:v>196.83255953110992</c:v>
                </c:pt>
                <c:pt idx="506">
                  <c:v>200.72426733766534</c:v>
                </c:pt>
                <c:pt idx="507">
                  <c:v>196.60340438295867</c:v>
                </c:pt>
                <c:pt idx="508">
                  <c:v>212.37768992142915</c:v>
                </c:pt>
                <c:pt idx="509">
                  <c:v>195.73715383479905</c:v>
                </c:pt>
                <c:pt idx="510">
                  <c:v>201.57510845950179</c:v>
                </c:pt>
                <c:pt idx="511">
                  <c:v>203.41518251107229</c:v>
                </c:pt>
                <c:pt idx="512">
                  <c:v>200.60818860602939</c:v>
                </c:pt>
                <c:pt idx="513">
                  <c:v>202.83426127167743</c:v>
                </c:pt>
                <c:pt idx="514">
                  <c:v>200.81012710539846</c:v>
                </c:pt>
                <c:pt idx="515">
                  <c:v>202.40217221536619</c:v>
                </c:pt>
                <c:pt idx="516">
                  <c:v>194.68468227754104</c:v>
                </c:pt>
                <c:pt idx="517">
                  <c:v>201.62463828017133</c:v>
                </c:pt>
                <c:pt idx="518">
                  <c:v>199.51388863804613</c:v>
                </c:pt>
                <c:pt idx="519">
                  <c:v>193.05422867173311</c:v>
                </c:pt>
                <c:pt idx="520">
                  <c:v>196.80705273160754</c:v>
                </c:pt>
                <c:pt idx="521">
                  <c:v>204.66974398321878</c:v>
                </c:pt>
                <c:pt idx="522">
                  <c:v>203.11626810961673</c:v>
                </c:pt>
                <c:pt idx="523">
                  <c:v>199.33053163929475</c:v>
                </c:pt>
                <c:pt idx="524">
                  <c:v>197.32765410254092</c:v>
                </c:pt>
                <c:pt idx="525">
                  <c:v>200.80452460522045</c:v>
                </c:pt>
                <c:pt idx="526">
                  <c:v>195.36539533842438</c:v>
                </c:pt>
                <c:pt idx="527">
                  <c:v>199.8677950989628</c:v>
                </c:pt>
                <c:pt idx="528">
                  <c:v>202.28898338051582</c:v>
                </c:pt>
                <c:pt idx="529">
                  <c:v>203.03627581306282</c:v>
                </c:pt>
                <c:pt idx="530">
                  <c:v>201.99415910822128</c:v>
                </c:pt>
                <c:pt idx="531">
                  <c:v>197.81435275096226</c:v>
                </c:pt>
                <c:pt idx="532">
                  <c:v>200.38184272784804</c:v>
                </c:pt>
                <c:pt idx="533">
                  <c:v>198.78310092131602</c:v>
                </c:pt>
                <c:pt idx="534">
                  <c:v>200.4300289017624</c:v>
                </c:pt>
                <c:pt idx="535">
                  <c:v>192.19771186362144</c:v>
                </c:pt>
                <c:pt idx="536">
                  <c:v>192.07125190638456</c:v>
                </c:pt>
                <c:pt idx="537">
                  <c:v>198.30039102662192</c:v>
                </c:pt>
                <c:pt idx="538">
                  <c:v>203.5037839047165</c:v>
                </c:pt>
                <c:pt idx="539">
                  <c:v>198.94952121010678</c:v>
                </c:pt>
                <c:pt idx="540">
                  <c:v>206.60803261609936</c:v>
                </c:pt>
                <c:pt idx="541">
                  <c:v>198.12451239620933</c:v>
                </c:pt>
                <c:pt idx="542">
                  <c:v>197.73277278127972</c:v>
                </c:pt>
                <c:pt idx="543">
                  <c:v>201.00318896575902</c:v>
                </c:pt>
                <c:pt idx="544">
                  <c:v>197.15256257457494</c:v>
                </c:pt>
                <c:pt idx="545">
                  <c:v>203.09482811424084</c:v>
                </c:pt>
                <c:pt idx="546">
                  <c:v>198.07425190626805</c:v>
                </c:pt>
                <c:pt idx="547">
                  <c:v>199.90886120594774</c:v>
                </c:pt>
                <c:pt idx="548">
                  <c:v>200.0041012146545</c:v>
                </c:pt>
                <c:pt idx="549">
                  <c:v>200.03347575422447</c:v>
                </c:pt>
                <c:pt idx="550">
                  <c:v>198.43827561305275</c:v>
                </c:pt>
                <c:pt idx="551">
                  <c:v>201.69584354366049</c:v>
                </c:pt>
                <c:pt idx="552">
                  <c:v>198.09459839191459</c:v>
                </c:pt>
                <c:pt idx="553">
                  <c:v>199.679456794635</c:v>
                </c:pt>
                <c:pt idx="554">
                  <c:v>201.73197771804774</c:v>
                </c:pt>
                <c:pt idx="555">
                  <c:v>204.27563990817356</c:v>
                </c:pt>
                <c:pt idx="556">
                  <c:v>197.40439489646366</c:v>
                </c:pt>
                <c:pt idx="557">
                  <c:v>201.43719622780867</c:v>
                </c:pt>
                <c:pt idx="558">
                  <c:v>197.55772867391374</c:v>
                </c:pt>
                <c:pt idx="559">
                  <c:v>198.93813472270821</c:v>
                </c:pt>
                <c:pt idx="560">
                  <c:v>197.43484459160422</c:v>
                </c:pt>
                <c:pt idx="561">
                  <c:v>192.94467475514975</c:v>
                </c:pt>
                <c:pt idx="562">
                  <c:v>198.12315019911986</c:v>
                </c:pt>
                <c:pt idx="563">
                  <c:v>201.41285468558249</c:v>
                </c:pt>
                <c:pt idx="564">
                  <c:v>197.17140406000797</c:v>
                </c:pt>
                <c:pt idx="565">
                  <c:v>200.80174489719002</c:v>
                </c:pt>
                <c:pt idx="566">
                  <c:v>193.0526571772312</c:v>
                </c:pt>
                <c:pt idx="567">
                  <c:v>196.31855648909706</c:v>
                </c:pt>
                <c:pt idx="568">
                  <c:v>200.65654191368768</c:v>
                </c:pt>
                <c:pt idx="569">
                  <c:v>196.46986258992575</c:v>
                </c:pt>
                <c:pt idx="570">
                  <c:v>196.06032044013284</c:v>
                </c:pt>
                <c:pt idx="571">
                  <c:v>202.05132458085879</c:v>
                </c:pt>
                <c:pt idx="572">
                  <c:v>206.20295683906079</c:v>
                </c:pt>
                <c:pt idx="573">
                  <c:v>198.72195745133092</c:v>
                </c:pt>
                <c:pt idx="574">
                  <c:v>198.11858982816787</c:v>
                </c:pt>
                <c:pt idx="575">
                  <c:v>204.09162348925852</c:v>
                </c:pt>
                <c:pt idx="576">
                  <c:v>200.11562652957673</c:v>
                </c:pt>
                <c:pt idx="577">
                  <c:v>192.97745751520199</c:v>
                </c:pt>
                <c:pt idx="578">
                  <c:v>197.30461989519472</c:v>
                </c:pt>
                <c:pt idx="579">
                  <c:v>198.95879433298489</c:v>
                </c:pt>
                <c:pt idx="580">
                  <c:v>200.69423944283085</c:v>
                </c:pt>
                <c:pt idx="581">
                  <c:v>201.66060628666446</c:v>
                </c:pt>
                <c:pt idx="582">
                  <c:v>200.44692798706677</c:v>
                </c:pt>
                <c:pt idx="583">
                  <c:v>201.41239976938633</c:v>
                </c:pt>
                <c:pt idx="584">
                  <c:v>201.46002891445187</c:v>
                </c:pt>
                <c:pt idx="585">
                  <c:v>199.08621774781707</c:v>
                </c:pt>
                <c:pt idx="586">
                  <c:v>195.39843557057623</c:v>
                </c:pt>
                <c:pt idx="587">
                  <c:v>206.18804945174145</c:v>
                </c:pt>
                <c:pt idx="588">
                  <c:v>195.18193987519595</c:v>
                </c:pt>
                <c:pt idx="589">
                  <c:v>199.36334512188722</c:v>
                </c:pt>
                <c:pt idx="590">
                  <c:v>195.3990635628181</c:v>
                </c:pt>
                <c:pt idx="591">
                  <c:v>206.2693880755362</c:v>
                </c:pt>
                <c:pt idx="592">
                  <c:v>199.13768720185152</c:v>
                </c:pt>
                <c:pt idx="593">
                  <c:v>194.62034339088316</c:v>
                </c:pt>
                <c:pt idx="594">
                  <c:v>197.58173315683462</c:v>
                </c:pt>
                <c:pt idx="595">
                  <c:v>202.03853274496393</c:v>
                </c:pt>
                <c:pt idx="596">
                  <c:v>192.23943645656939</c:v>
                </c:pt>
                <c:pt idx="597">
                  <c:v>193.4726611484395</c:v>
                </c:pt>
                <c:pt idx="598">
                  <c:v>195.58617072463881</c:v>
                </c:pt>
                <c:pt idx="599">
                  <c:v>196.63488001486465</c:v>
                </c:pt>
                <c:pt idx="600">
                  <c:v>199.21648976531895</c:v>
                </c:pt>
                <c:pt idx="601">
                  <c:v>201.95988710822832</c:v>
                </c:pt>
                <c:pt idx="602">
                  <c:v>198.67122685619145</c:v>
                </c:pt>
                <c:pt idx="603">
                  <c:v>201.26659323823452</c:v>
                </c:pt>
                <c:pt idx="604">
                  <c:v>201.9912731083939</c:v>
                </c:pt>
                <c:pt idx="605">
                  <c:v>204.53925344529998</c:v>
                </c:pt>
                <c:pt idx="606">
                  <c:v>200.30559328144696</c:v>
                </c:pt>
                <c:pt idx="607">
                  <c:v>198.54883350354294</c:v>
                </c:pt>
                <c:pt idx="608">
                  <c:v>204.0459550724228</c:v>
                </c:pt>
                <c:pt idx="609">
                  <c:v>204.92963990048597</c:v>
                </c:pt>
                <c:pt idx="610">
                  <c:v>199.8945309117793</c:v>
                </c:pt>
                <c:pt idx="611">
                  <c:v>195.63199425035481</c:v>
                </c:pt>
                <c:pt idx="612">
                  <c:v>197.60762597120853</c:v>
                </c:pt>
                <c:pt idx="613">
                  <c:v>202.3927967104369</c:v>
                </c:pt>
                <c:pt idx="614">
                  <c:v>204.35198632163815</c:v>
                </c:pt>
                <c:pt idx="615">
                  <c:v>191.45697059229104</c:v>
                </c:pt>
                <c:pt idx="616">
                  <c:v>192.1156266515022</c:v>
                </c:pt>
                <c:pt idx="617">
                  <c:v>200.67906035708228</c:v>
                </c:pt>
                <c:pt idx="618">
                  <c:v>205.31420004815587</c:v>
                </c:pt>
                <c:pt idx="619">
                  <c:v>199.93361035809062</c:v>
                </c:pt>
                <c:pt idx="620">
                  <c:v>203.49343660367009</c:v>
                </c:pt>
                <c:pt idx="621">
                  <c:v>201.59995104021633</c:v>
                </c:pt>
                <c:pt idx="622">
                  <c:v>199.12593322683827</c:v>
                </c:pt>
                <c:pt idx="623">
                  <c:v>204.05125116635523</c:v>
                </c:pt>
                <c:pt idx="624">
                  <c:v>202.143239532953</c:v>
                </c:pt>
                <c:pt idx="625">
                  <c:v>198.72893543062125</c:v>
                </c:pt>
                <c:pt idx="626">
                  <c:v>203.18299546869255</c:v>
                </c:pt>
                <c:pt idx="627">
                  <c:v>202.03920461488886</c:v>
                </c:pt>
                <c:pt idx="628">
                  <c:v>203.71112553582827</c:v>
                </c:pt>
                <c:pt idx="629">
                  <c:v>205.26089453668098</c:v>
                </c:pt>
                <c:pt idx="630">
                  <c:v>192.28311741054557</c:v>
                </c:pt>
                <c:pt idx="631">
                  <c:v>198.15347348431743</c:v>
                </c:pt>
                <c:pt idx="632">
                  <c:v>199.45912466611759</c:v>
                </c:pt>
                <c:pt idx="633">
                  <c:v>205.48827682087469</c:v>
                </c:pt>
                <c:pt idx="634">
                  <c:v>203.96559803109645</c:v>
                </c:pt>
                <c:pt idx="635">
                  <c:v>190.10550269194445</c:v>
                </c:pt>
                <c:pt idx="636">
                  <c:v>197.99036183621905</c:v>
                </c:pt>
                <c:pt idx="637">
                  <c:v>198.70697222167826</c:v>
                </c:pt>
                <c:pt idx="638">
                  <c:v>200.93667593470803</c:v>
                </c:pt>
                <c:pt idx="639">
                  <c:v>197.91435087459263</c:v>
                </c:pt>
                <c:pt idx="640">
                  <c:v>201.52528326382088</c:v>
                </c:pt>
                <c:pt idx="641">
                  <c:v>200.24334681091227</c:v>
                </c:pt>
                <c:pt idx="642">
                  <c:v>195.02210192603425</c:v>
                </c:pt>
                <c:pt idx="643">
                  <c:v>201.45376926612266</c:v>
                </c:pt>
                <c:pt idx="644">
                  <c:v>205.17607967255765</c:v>
                </c:pt>
                <c:pt idx="645">
                  <c:v>195.90466554381348</c:v>
                </c:pt>
                <c:pt idx="646">
                  <c:v>199.45548663102122</c:v>
                </c:pt>
                <c:pt idx="647">
                  <c:v>201.28420838901658</c:v>
                </c:pt>
                <c:pt idx="648">
                  <c:v>199.6426966649762</c:v>
                </c:pt>
                <c:pt idx="649">
                  <c:v>198.5513883261641</c:v>
                </c:pt>
                <c:pt idx="650">
                  <c:v>201.52621754127441</c:v>
                </c:pt>
                <c:pt idx="651">
                  <c:v>199.19860458850133</c:v>
                </c:pt>
                <c:pt idx="652">
                  <c:v>196.34190607943506</c:v>
                </c:pt>
                <c:pt idx="653">
                  <c:v>205.61959269571517</c:v>
                </c:pt>
                <c:pt idx="654">
                  <c:v>194.00438767541615</c:v>
                </c:pt>
                <c:pt idx="655">
                  <c:v>196.11853453312824</c:v>
                </c:pt>
                <c:pt idx="656">
                  <c:v>202.84960396057451</c:v>
                </c:pt>
                <c:pt idx="657">
                  <c:v>203.17012609782708</c:v>
                </c:pt>
                <c:pt idx="658">
                  <c:v>196.71010220425762</c:v>
                </c:pt>
                <c:pt idx="659">
                  <c:v>205.7803784321402</c:v>
                </c:pt>
                <c:pt idx="660">
                  <c:v>200.49073865983948</c:v>
                </c:pt>
                <c:pt idx="661">
                  <c:v>207.53096722804483</c:v>
                </c:pt>
                <c:pt idx="662">
                  <c:v>196.90198790971124</c:v>
                </c:pt>
                <c:pt idx="663">
                  <c:v>205.4594732623641</c:v>
                </c:pt>
                <c:pt idx="664">
                  <c:v>200.51336453862228</c:v>
                </c:pt>
                <c:pt idx="665">
                  <c:v>197.60642538335426</c:v>
                </c:pt>
                <c:pt idx="666">
                  <c:v>200.94166152718282</c:v>
                </c:pt>
                <c:pt idx="667">
                  <c:v>195.90338745130768</c:v>
                </c:pt>
                <c:pt idx="668">
                  <c:v>198.46366920597686</c:v>
                </c:pt>
                <c:pt idx="669">
                  <c:v>198.42529263916191</c:v>
                </c:pt>
                <c:pt idx="670">
                  <c:v>199.23526103349357</c:v>
                </c:pt>
                <c:pt idx="671">
                  <c:v>195.80761122584477</c:v>
                </c:pt>
                <c:pt idx="672">
                  <c:v>200.4049596865016</c:v>
                </c:pt>
                <c:pt idx="673">
                  <c:v>203.89568519481293</c:v>
                </c:pt>
                <c:pt idx="674">
                  <c:v>201.44792877434827</c:v>
                </c:pt>
                <c:pt idx="675">
                  <c:v>198.56936394718016</c:v>
                </c:pt>
                <c:pt idx="676">
                  <c:v>209.63315472305607</c:v>
                </c:pt>
                <c:pt idx="677">
                  <c:v>195.74734400086825</c:v>
                </c:pt>
                <c:pt idx="678">
                  <c:v>202.98467808150738</c:v>
                </c:pt>
                <c:pt idx="679">
                  <c:v>198.75078941214136</c:v>
                </c:pt>
                <c:pt idx="680">
                  <c:v>201.42461671359396</c:v>
                </c:pt>
                <c:pt idx="681">
                  <c:v>200.27487507119008</c:v>
                </c:pt>
                <c:pt idx="682">
                  <c:v>195.26875104794965</c:v>
                </c:pt>
                <c:pt idx="683">
                  <c:v>201.43624653857776</c:v>
                </c:pt>
                <c:pt idx="684">
                  <c:v>195.94557476662851</c:v>
                </c:pt>
                <c:pt idx="685">
                  <c:v>202.37266887688983</c:v>
                </c:pt>
                <c:pt idx="686">
                  <c:v>198.51495689554523</c:v>
                </c:pt>
                <c:pt idx="687">
                  <c:v>202.83662557272581</c:v>
                </c:pt>
                <c:pt idx="688">
                  <c:v>197.50042323785334</c:v>
                </c:pt>
                <c:pt idx="689">
                  <c:v>201.84080835888543</c:v>
                </c:pt>
                <c:pt idx="690">
                  <c:v>206.52002032136306</c:v>
                </c:pt>
                <c:pt idx="691">
                  <c:v>199.20819273881389</c:v>
                </c:pt>
                <c:pt idx="692">
                  <c:v>204.00725816705668</c:v>
                </c:pt>
                <c:pt idx="693">
                  <c:v>202.08793299597772</c:v>
                </c:pt>
                <c:pt idx="694">
                  <c:v>196.59402871966103</c:v>
                </c:pt>
                <c:pt idx="695">
                  <c:v>203.10873116254047</c:v>
                </c:pt>
                <c:pt idx="696">
                  <c:v>197.64055106942629</c:v>
                </c:pt>
                <c:pt idx="697">
                  <c:v>197.39985894127702</c:v>
                </c:pt>
                <c:pt idx="698">
                  <c:v>196.05491607223962</c:v>
                </c:pt>
                <c:pt idx="699">
                  <c:v>206.37353144879967</c:v>
                </c:pt>
                <c:pt idx="700">
                  <c:v>196.87675958788182</c:v>
                </c:pt>
                <c:pt idx="701">
                  <c:v>198.62844977815985</c:v>
                </c:pt>
                <c:pt idx="702">
                  <c:v>197.71735821157952</c:v>
                </c:pt>
                <c:pt idx="703">
                  <c:v>205.07357293800064</c:v>
                </c:pt>
                <c:pt idx="704">
                  <c:v>197.34521004039453</c:v>
                </c:pt>
                <c:pt idx="705">
                  <c:v>199.37858233268264</c:v>
                </c:pt>
                <c:pt idx="706">
                  <c:v>199.67343738885299</c:v>
                </c:pt>
                <c:pt idx="707">
                  <c:v>198.80881068432399</c:v>
                </c:pt>
                <c:pt idx="708">
                  <c:v>190.60333737827199</c:v>
                </c:pt>
                <c:pt idx="709">
                  <c:v>200.2875734663821</c:v>
                </c:pt>
                <c:pt idx="710">
                  <c:v>195.56940863596327</c:v>
                </c:pt>
                <c:pt idx="711">
                  <c:v>203.9805017278949</c:v>
                </c:pt>
                <c:pt idx="712">
                  <c:v>201.82537297160181</c:v>
                </c:pt>
                <c:pt idx="713">
                  <c:v>197.50822290293755</c:v>
                </c:pt>
                <c:pt idx="714">
                  <c:v>198.86497079918072</c:v>
                </c:pt>
                <c:pt idx="715">
                  <c:v>204.23290249146899</c:v>
                </c:pt>
                <c:pt idx="716">
                  <c:v>203.24410531970253</c:v>
                </c:pt>
                <c:pt idx="717">
                  <c:v>207.30718884105849</c:v>
                </c:pt>
                <c:pt idx="718">
                  <c:v>198.45274691984582</c:v>
                </c:pt>
                <c:pt idx="719">
                  <c:v>195.93690855233095</c:v>
                </c:pt>
                <c:pt idx="720">
                  <c:v>205.85756887663194</c:v>
                </c:pt>
                <c:pt idx="721">
                  <c:v>200.75578908366535</c:v>
                </c:pt>
                <c:pt idx="722">
                  <c:v>190.57753312828191</c:v>
                </c:pt>
                <c:pt idx="723">
                  <c:v>205.19017886265016</c:v>
                </c:pt>
                <c:pt idx="724">
                  <c:v>198.85450199004711</c:v>
                </c:pt>
                <c:pt idx="725">
                  <c:v>195.54133083788611</c:v>
                </c:pt>
                <c:pt idx="726">
                  <c:v>197.69238000570095</c:v>
                </c:pt>
                <c:pt idx="727">
                  <c:v>205.70312426117786</c:v>
                </c:pt>
                <c:pt idx="728">
                  <c:v>201.48047235728683</c:v>
                </c:pt>
                <c:pt idx="729">
                  <c:v>202.36074745364223</c:v>
                </c:pt>
                <c:pt idx="730">
                  <c:v>200.8597360478993</c:v>
                </c:pt>
                <c:pt idx="731">
                  <c:v>194.82637621294668</c:v>
                </c:pt>
                <c:pt idx="732">
                  <c:v>205.24184385203247</c:v>
                </c:pt>
                <c:pt idx="733">
                  <c:v>203.8399851754474</c:v>
                </c:pt>
                <c:pt idx="734">
                  <c:v>192.21310235976367</c:v>
                </c:pt>
                <c:pt idx="735">
                  <c:v>199.77707712395781</c:v>
                </c:pt>
                <c:pt idx="736">
                  <c:v>202.05503925360168</c:v>
                </c:pt>
                <c:pt idx="737">
                  <c:v>204.37070132995095</c:v>
                </c:pt>
                <c:pt idx="738">
                  <c:v>200.32823800953855</c:v>
                </c:pt>
                <c:pt idx="739">
                  <c:v>198.78442133180926</c:v>
                </c:pt>
                <c:pt idx="740">
                  <c:v>192.09135272131581</c:v>
                </c:pt>
                <c:pt idx="741">
                  <c:v>193.32594711978061</c:v>
                </c:pt>
                <c:pt idx="742">
                  <c:v>203.83312596215083</c:v>
                </c:pt>
                <c:pt idx="743">
                  <c:v>198.24887327632365</c:v>
                </c:pt>
                <c:pt idx="744">
                  <c:v>200.86430691875984</c:v>
                </c:pt>
                <c:pt idx="745">
                  <c:v>199.22779511056183</c:v>
                </c:pt>
                <c:pt idx="746">
                  <c:v>195.32075233294148</c:v>
                </c:pt>
                <c:pt idx="747">
                  <c:v>199.69409639154378</c:v>
                </c:pt>
                <c:pt idx="748">
                  <c:v>199.95726238909364</c:v>
                </c:pt>
                <c:pt idx="749">
                  <c:v>195.90436139980037</c:v>
                </c:pt>
                <c:pt idx="750">
                  <c:v>199.86207698296067</c:v>
                </c:pt>
                <c:pt idx="751">
                  <c:v>196.18416270729992</c:v>
                </c:pt>
                <c:pt idx="752">
                  <c:v>200.59046946586267</c:v>
                </c:pt>
                <c:pt idx="753">
                  <c:v>200.29501946902894</c:v>
                </c:pt>
                <c:pt idx="754">
                  <c:v>201.40934827023327</c:v>
                </c:pt>
                <c:pt idx="755">
                  <c:v>203.25960900423448</c:v>
                </c:pt>
                <c:pt idx="756">
                  <c:v>199.53339047492631</c:v>
                </c:pt>
                <c:pt idx="757">
                  <c:v>200.11945760357085</c:v>
                </c:pt>
                <c:pt idx="758">
                  <c:v>205.95963767198398</c:v>
                </c:pt>
                <c:pt idx="759">
                  <c:v>204.23244663401564</c:v>
                </c:pt>
                <c:pt idx="760">
                  <c:v>206.10974223579049</c:v>
                </c:pt>
                <c:pt idx="761">
                  <c:v>203.56161554346471</c:v>
                </c:pt>
                <c:pt idx="762">
                  <c:v>201.81531288919703</c:v>
                </c:pt>
                <c:pt idx="763">
                  <c:v>203.06178881685952</c:v>
                </c:pt>
                <c:pt idx="764">
                  <c:v>204.68615951463602</c:v>
                </c:pt>
                <c:pt idx="765">
                  <c:v>200.80067435345742</c:v>
                </c:pt>
                <c:pt idx="766">
                  <c:v>196.48668542370285</c:v>
                </c:pt>
                <c:pt idx="767">
                  <c:v>196.02339980417577</c:v>
                </c:pt>
                <c:pt idx="768">
                  <c:v>196.84470808637394</c:v>
                </c:pt>
                <c:pt idx="769">
                  <c:v>204.92973341950841</c:v>
                </c:pt>
                <c:pt idx="770">
                  <c:v>197.30987681976174</c:v>
                </c:pt>
                <c:pt idx="771">
                  <c:v>200.37828889890645</c:v>
                </c:pt>
                <c:pt idx="772">
                  <c:v>204.60366049386417</c:v>
                </c:pt>
                <c:pt idx="773">
                  <c:v>203.41677624306394</c:v>
                </c:pt>
                <c:pt idx="774">
                  <c:v>198.75488689825926</c:v>
                </c:pt>
                <c:pt idx="775">
                  <c:v>192.07588339133272</c:v>
                </c:pt>
                <c:pt idx="776">
                  <c:v>201.16855962285015</c:v>
                </c:pt>
                <c:pt idx="777">
                  <c:v>203.71309744369958</c:v>
                </c:pt>
                <c:pt idx="778">
                  <c:v>199.65340118956053</c:v>
                </c:pt>
                <c:pt idx="779">
                  <c:v>198.76235696226712</c:v>
                </c:pt>
                <c:pt idx="780">
                  <c:v>208.04101941068831</c:v>
                </c:pt>
                <c:pt idx="781">
                  <c:v>194.18652882553511</c:v>
                </c:pt>
                <c:pt idx="782">
                  <c:v>196.50458365499026</c:v>
                </c:pt>
                <c:pt idx="783">
                  <c:v>197.70863503975772</c:v>
                </c:pt>
                <c:pt idx="784">
                  <c:v>199.27253977746943</c:v>
                </c:pt>
                <c:pt idx="785">
                  <c:v>201.01172527815649</c:v>
                </c:pt>
                <c:pt idx="786">
                  <c:v>204.44533484062669</c:v>
                </c:pt>
                <c:pt idx="787">
                  <c:v>199.76852936738544</c:v>
                </c:pt>
                <c:pt idx="788">
                  <c:v>192.70618017603155</c:v>
                </c:pt>
                <c:pt idx="789">
                  <c:v>199.26246972572366</c:v>
                </c:pt>
                <c:pt idx="790">
                  <c:v>201.90638727687369</c:v>
                </c:pt>
                <c:pt idx="791">
                  <c:v>193.94835895843468</c:v>
                </c:pt>
                <c:pt idx="792">
                  <c:v>198.64177431116926</c:v>
                </c:pt>
                <c:pt idx="793">
                  <c:v>197.13713506877204</c:v>
                </c:pt>
                <c:pt idx="794">
                  <c:v>191.76800193865114</c:v>
                </c:pt>
                <c:pt idx="795">
                  <c:v>204.83939347022849</c:v>
                </c:pt>
                <c:pt idx="796">
                  <c:v>195.54548233212958</c:v>
                </c:pt>
                <c:pt idx="797">
                  <c:v>204.09096184024838</c:v>
                </c:pt>
                <c:pt idx="798">
                  <c:v>191.37871176853045</c:v>
                </c:pt>
                <c:pt idx="799">
                  <c:v>201.17136799887638</c:v>
                </c:pt>
                <c:pt idx="800">
                  <c:v>198.74943888125085</c:v>
                </c:pt>
                <c:pt idx="801">
                  <c:v>200.81597337824331</c:v>
                </c:pt>
                <c:pt idx="802">
                  <c:v>208.92182377319122</c:v>
                </c:pt>
                <c:pt idx="803">
                  <c:v>194.30073117259138</c:v>
                </c:pt>
                <c:pt idx="804">
                  <c:v>199.09160201139082</c:v>
                </c:pt>
                <c:pt idx="805">
                  <c:v>194.41676577189264</c:v>
                </c:pt>
                <c:pt idx="806">
                  <c:v>198.56795649858225</c:v>
                </c:pt>
                <c:pt idx="807">
                  <c:v>195.93333650911129</c:v>
                </c:pt>
                <c:pt idx="808">
                  <c:v>203.48748361855039</c:v>
                </c:pt>
                <c:pt idx="809">
                  <c:v>193.05370838439805</c:v>
                </c:pt>
                <c:pt idx="810">
                  <c:v>201.6114536781601</c:v>
                </c:pt>
                <c:pt idx="811">
                  <c:v>196.81257772596095</c:v>
                </c:pt>
                <c:pt idx="812">
                  <c:v>203.25969284626817</c:v>
                </c:pt>
                <c:pt idx="813">
                  <c:v>207.34988035050296</c:v>
                </c:pt>
                <c:pt idx="814">
                  <c:v>199.20341986644397</c:v>
                </c:pt>
                <c:pt idx="815">
                  <c:v>201.10801117781071</c:v>
                </c:pt>
                <c:pt idx="816">
                  <c:v>202.69728612507652</c:v>
                </c:pt>
                <c:pt idx="817">
                  <c:v>204.91149209670354</c:v>
                </c:pt>
                <c:pt idx="818">
                  <c:v>205.3086191054438</c:v>
                </c:pt>
                <c:pt idx="819">
                  <c:v>201.36449934612898</c:v>
                </c:pt>
                <c:pt idx="820">
                  <c:v>201.54310116021361</c:v>
                </c:pt>
                <c:pt idx="821">
                  <c:v>201.82329425058018</c:v>
                </c:pt>
                <c:pt idx="822">
                  <c:v>198.37984736169639</c:v>
                </c:pt>
                <c:pt idx="823">
                  <c:v>198.06058784084294</c:v>
                </c:pt>
                <c:pt idx="824">
                  <c:v>201.90732733588084</c:v>
                </c:pt>
                <c:pt idx="825">
                  <c:v>201.94612195826693</c:v>
                </c:pt>
                <c:pt idx="826">
                  <c:v>196.8908451483266</c:v>
                </c:pt>
                <c:pt idx="827">
                  <c:v>202.34789791131405</c:v>
                </c:pt>
                <c:pt idx="828">
                  <c:v>202.54871609942916</c:v>
                </c:pt>
                <c:pt idx="829">
                  <c:v>198.42944623198434</c:v>
                </c:pt>
                <c:pt idx="830">
                  <c:v>201.45747602520208</c:v>
                </c:pt>
                <c:pt idx="831">
                  <c:v>195.0816396818548</c:v>
                </c:pt>
                <c:pt idx="832">
                  <c:v>207.21649933754512</c:v>
                </c:pt>
                <c:pt idx="833">
                  <c:v>205.32013645851214</c:v>
                </c:pt>
                <c:pt idx="834">
                  <c:v>198.80537639871318</c:v>
                </c:pt>
                <c:pt idx="835">
                  <c:v>199.83623659811119</c:v>
                </c:pt>
                <c:pt idx="836">
                  <c:v>198.4517590917286</c:v>
                </c:pt>
                <c:pt idx="837">
                  <c:v>208.03932363452887</c:v>
                </c:pt>
                <c:pt idx="838">
                  <c:v>198.53915980910989</c:v>
                </c:pt>
                <c:pt idx="839">
                  <c:v>200.96101546421227</c:v>
                </c:pt>
                <c:pt idx="840">
                  <c:v>196.77066279902456</c:v>
                </c:pt>
                <c:pt idx="841">
                  <c:v>201.71381544145808</c:v>
                </c:pt>
                <c:pt idx="842">
                  <c:v>203.13694823247258</c:v>
                </c:pt>
                <c:pt idx="843">
                  <c:v>198.82778590634319</c:v>
                </c:pt>
                <c:pt idx="844">
                  <c:v>199.53379416662131</c:v>
                </c:pt>
                <c:pt idx="845">
                  <c:v>208.09651956843899</c:v>
                </c:pt>
                <c:pt idx="846">
                  <c:v>202.11334048716924</c:v>
                </c:pt>
                <c:pt idx="847">
                  <c:v>200.1997287690979</c:v>
                </c:pt>
                <c:pt idx="848">
                  <c:v>200.11337207411125</c:v>
                </c:pt>
                <c:pt idx="849">
                  <c:v>193.12191800877781</c:v>
                </c:pt>
                <c:pt idx="850">
                  <c:v>197.106477907553</c:v>
                </c:pt>
                <c:pt idx="851">
                  <c:v>196.83023116939819</c:v>
                </c:pt>
                <c:pt idx="852">
                  <c:v>201.50266978980261</c:v>
                </c:pt>
                <c:pt idx="853">
                  <c:v>192.48237513045731</c:v>
                </c:pt>
                <c:pt idx="854">
                  <c:v>199.52295642029617</c:v>
                </c:pt>
                <c:pt idx="855">
                  <c:v>205.33252122317379</c:v>
                </c:pt>
                <c:pt idx="856">
                  <c:v>200.50195388242653</c:v>
                </c:pt>
                <c:pt idx="857">
                  <c:v>197.56560538335916</c:v>
                </c:pt>
                <c:pt idx="858">
                  <c:v>196.27722256541898</c:v>
                </c:pt>
                <c:pt idx="859">
                  <c:v>199.62509277985663</c:v>
                </c:pt>
                <c:pt idx="860">
                  <c:v>198.27088157517315</c:v>
                </c:pt>
                <c:pt idx="861">
                  <c:v>196.8890312481889</c:v>
                </c:pt>
                <c:pt idx="862">
                  <c:v>201.10992793509402</c:v>
                </c:pt>
                <c:pt idx="863">
                  <c:v>202.8389730074696</c:v>
                </c:pt>
                <c:pt idx="864">
                  <c:v>197.35210780865421</c:v>
                </c:pt>
                <c:pt idx="865">
                  <c:v>193.97248059536437</c:v>
                </c:pt>
                <c:pt idx="866">
                  <c:v>197.05768679585236</c:v>
                </c:pt>
                <c:pt idx="867">
                  <c:v>195.75576546940169</c:v>
                </c:pt>
                <c:pt idx="868">
                  <c:v>199.21980234791221</c:v>
                </c:pt>
                <c:pt idx="869">
                  <c:v>199.29133766617886</c:v>
                </c:pt>
                <c:pt idx="870">
                  <c:v>198.9435413644963</c:v>
                </c:pt>
                <c:pt idx="871">
                  <c:v>196.07492082014812</c:v>
                </c:pt>
                <c:pt idx="872">
                  <c:v>200.44090064521788</c:v>
                </c:pt>
                <c:pt idx="873">
                  <c:v>199.64154457390359</c:v>
                </c:pt>
                <c:pt idx="874">
                  <c:v>203.27492333754276</c:v>
                </c:pt>
                <c:pt idx="875">
                  <c:v>198.68302771518495</c:v>
                </c:pt>
                <c:pt idx="876">
                  <c:v>202.76676836095356</c:v>
                </c:pt>
                <c:pt idx="877">
                  <c:v>200.8192010995626</c:v>
                </c:pt>
                <c:pt idx="878">
                  <c:v>200.75295357584329</c:v>
                </c:pt>
                <c:pt idx="879">
                  <c:v>201.47836175989156</c:v>
                </c:pt>
                <c:pt idx="880">
                  <c:v>202.57627525419463</c:v>
                </c:pt>
                <c:pt idx="881">
                  <c:v>199.70718505487423</c:v>
                </c:pt>
                <c:pt idx="882">
                  <c:v>202.52674253333333</c:v>
                </c:pt>
                <c:pt idx="883">
                  <c:v>196.34754995877319</c:v>
                </c:pt>
                <c:pt idx="884">
                  <c:v>200.89335455280803</c:v>
                </c:pt>
                <c:pt idx="885">
                  <c:v>196.69451398006979</c:v>
                </c:pt>
                <c:pt idx="886">
                  <c:v>198.15885132206148</c:v>
                </c:pt>
                <c:pt idx="887">
                  <c:v>203.77338899849221</c:v>
                </c:pt>
                <c:pt idx="888">
                  <c:v>201.43922954901382</c:v>
                </c:pt>
                <c:pt idx="889">
                  <c:v>201.06101235842101</c:v>
                </c:pt>
                <c:pt idx="890">
                  <c:v>195.14946193175712</c:v>
                </c:pt>
                <c:pt idx="891">
                  <c:v>200.25287730223926</c:v>
                </c:pt>
                <c:pt idx="892">
                  <c:v>198.49922764480289</c:v>
                </c:pt>
                <c:pt idx="893">
                  <c:v>202.93740550770619</c:v>
                </c:pt>
                <c:pt idx="894">
                  <c:v>197.20458540630079</c:v>
                </c:pt>
                <c:pt idx="895">
                  <c:v>200.58194916762605</c:v>
                </c:pt>
                <c:pt idx="896">
                  <c:v>200.93311372890707</c:v>
                </c:pt>
                <c:pt idx="897">
                  <c:v>203.49459284918268</c:v>
                </c:pt>
                <c:pt idx="898">
                  <c:v>201.68673190807712</c:v>
                </c:pt>
                <c:pt idx="899">
                  <c:v>200.15334026653764</c:v>
                </c:pt>
                <c:pt idx="900">
                  <c:v>202.04805791556103</c:v>
                </c:pt>
                <c:pt idx="901">
                  <c:v>201.28662516326119</c:v>
                </c:pt>
                <c:pt idx="902">
                  <c:v>196.81331361593243</c:v>
                </c:pt>
                <c:pt idx="903">
                  <c:v>201.58372589252653</c:v>
                </c:pt>
                <c:pt idx="904">
                  <c:v>198.0933150144065</c:v>
                </c:pt>
                <c:pt idx="905">
                  <c:v>198.77833563339905</c:v>
                </c:pt>
                <c:pt idx="906">
                  <c:v>200.98843526417531</c:v>
                </c:pt>
                <c:pt idx="907">
                  <c:v>202.26344678257192</c:v>
                </c:pt>
                <c:pt idx="908">
                  <c:v>198.1197843776082</c:v>
                </c:pt>
                <c:pt idx="909">
                  <c:v>195.40397597563245</c:v>
                </c:pt>
                <c:pt idx="910">
                  <c:v>204.97436588930543</c:v>
                </c:pt>
                <c:pt idx="911">
                  <c:v>206.37227422368429</c:v>
                </c:pt>
                <c:pt idx="912">
                  <c:v>199.92831476945562</c:v>
                </c:pt>
                <c:pt idx="913">
                  <c:v>199.24044135266081</c:v>
                </c:pt>
                <c:pt idx="914">
                  <c:v>199.40763083758688</c:v>
                </c:pt>
                <c:pt idx="915">
                  <c:v>195.26161637604244</c:v>
                </c:pt>
                <c:pt idx="916">
                  <c:v>197.1576098757694</c:v>
                </c:pt>
                <c:pt idx="917">
                  <c:v>204.35672740256115</c:v>
                </c:pt>
                <c:pt idx="918">
                  <c:v>207.0358779040167</c:v>
                </c:pt>
                <c:pt idx="919">
                  <c:v>199.04432803578308</c:v>
                </c:pt>
                <c:pt idx="920">
                  <c:v>207.60567851513011</c:v>
                </c:pt>
                <c:pt idx="921">
                  <c:v>191.15298978869421</c:v>
                </c:pt>
                <c:pt idx="922">
                  <c:v>196.49767202673462</c:v>
                </c:pt>
                <c:pt idx="923">
                  <c:v>200.75712707841834</c:v>
                </c:pt>
                <c:pt idx="924">
                  <c:v>191.82532115775928</c:v>
                </c:pt>
                <c:pt idx="925">
                  <c:v>197.89695767000356</c:v>
                </c:pt>
                <c:pt idx="926">
                  <c:v>196.56608420123271</c:v>
                </c:pt>
                <c:pt idx="927">
                  <c:v>203.25384466882807</c:v>
                </c:pt>
                <c:pt idx="928">
                  <c:v>204.21814324137432</c:v>
                </c:pt>
                <c:pt idx="929">
                  <c:v>202.03254322703532</c:v>
                </c:pt>
                <c:pt idx="930">
                  <c:v>196.55256938115647</c:v>
                </c:pt>
                <c:pt idx="931">
                  <c:v>200.82848145296197</c:v>
                </c:pt>
                <c:pt idx="932">
                  <c:v>199.62287545536208</c:v>
                </c:pt>
                <c:pt idx="933">
                  <c:v>201.3482655605242</c:v>
                </c:pt>
                <c:pt idx="934">
                  <c:v>197.24736418313813</c:v>
                </c:pt>
                <c:pt idx="935">
                  <c:v>199.85294943478723</c:v>
                </c:pt>
                <c:pt idx="936">
                  <c:v>197.75457303693858</c:v>
                </c:pt>
                <c:pt idx="937">
                  <c:v>203.52121028841918</c:v>
                </c:pt>
                <c:pt idx="938">
                  <c:v>204.26048575355475</c:v>
                </c:pt>
                <c:pt idx="939">
                  <c:v>198.49745176105722</c:v>
                </c:pt>
                <c:pt idx="940">
                  <c:v>189.1792535633129</c:v>
                </c:pt>
                <c:pt idx="941">
                  <c:v>199.2188578886151</c:v>
                </c:pt>
                <c:pt idx="942">
                  <c:v>203.18903524492595</c:v>
                </c:pt>
                <c:pt idx="943">
                  <c:v>203.69781639657722</c:v>
                </c:pt>
                <c:pt idx="944">
                  <c:v>198.62212943668752</c:v>
                </c:pt>
                <c:pt idx="945">
                  <c:v>199.63742061098731</c:v>
                </c:pt>
                <c:pt idx="946">
                  <c:v>199.99380725023289</c:v>
                </c:pt>
                <c:pt idx="947">
                  <c:v>199.69067080590841</c:v>
                </c:pt>
                <c:pt idx="948">
                  <c:v>202.69080711975818</c:v>
                </c:pt>
                <c:pt idx="949">
                  <c:v>201.55061065624298</c:v>
                </c:pt>
                <c:pt idx="950">
                  <c:v>200.06770424226289</c:v>
                </c:pt>
                <c:pt idx="951">
                  <c:v>196.55989722821491</c:v>
                </c:pt>
                <c:pt idx="952">
                  <c:v>197.97271588765045</c:v>
                </c:pt>
                <c:pt idx="953">
                  <c:v>197.63553056693496</c:v>
                </c:pt>
                <c:pt idx="954">
                  <c:v>197.6858068799462</c:v>
                </c:pt>
                <c:pt idx="955">
                  <c:v>196.34149962594554</c:v>
                </c:pt>
                <c:pt idx="956">
                  <c:v>205.43769309878499</c:v>
                </c:pt>
                <c:pt idx="957">
                  <c:v>195.90020429496315</c:v>
                </c:pt>
                <c:pt idx="958">
                  <c:v>207.88414379440425</c:v>
                </c:pt>
                <c:pt idx="959">
                  <c:v>202.59576594864063</c:v>
                </c:pt>
                <c:pt idx="960">
                  <c:v>202.63360204420226</c:v>
                </c:pt>
                <c:pt idx="961">
                  <c:v>198.4109673517801</c:v>
                </c:pt>
                <c:pt idx="962">
                  <c:v>201.96363450324674</c:v>
                </c:pt>
                <c:pt idx="963">
                  <c:v>200.22195805418463</c:v>
                </c:pt>
                <c:pt idx="964">
                  <c:v>200.01620947801629</c:v>
                </c:pt>
                <c:pt idx="965">
                  <c:v>203.68570186879165</c:v>
                </c:pt>
                <c:pt idx="966">
                  <c:v>207.30931045895278</c:v>
                </c:pt>
                <c:pt idx="967">
                  <c:v>200.19101716011414</c:v>
                </c:pt>
                <c:pt idx="968">
                  <c:v>196.48494210176258</c:v>
                </c:pt>
                <c:pt idx="969">
                  <c:v>200.45875961859721</c:v>
                </c:pt>
                <c:pt idx="970">
                  <c:v>204.58299894103635</c:v>
                </c:pt>
                <c:pt idx="971">
                  <c:v>197.33147402093985</c:v>
                </c:pt>
                <c:pt idx="972">
                  <c:v>199.04928744443666</c:v>
                </c:pt>
                <c:pt idx="973">
                  <c:v>200.29583151251316</c:v>
                </c:pt>
                <c:pt idx="974">
                  <c:v>205.41572811920986</c:v>
                </c:pt>
                <c:pt idx="975">
                  <c:v>202.38808492787359</c:v>
                </c:pt>
                <c:pt idx="976">
                  <c:v>195.68090537286923</c:v>
                </c:pt>
                <c:pt idx="977">
                  <c:v>197.38824444330839</c:v>
                </c:pt>
                <c:pt idx="978">
                  <c:v>198.70709796924453</c:v>
                </c:pt>
                <c:pt idx="979">
                  <c:v>196.05331316931259</c:v>
                </c:pt>
                <c:pt idx="980">
                  <c:v>201.97906297030681</c:v>
                </c:pt>
                <c:pt idx="981">
                  <c:v>200.51263032061814</c:v>
                </c:pt>
                <c:pt idx="982">
                  <c:v>196.07339277482941</c:v>
                </c:pt>
                <c:pt idx="983">
                  <c:v>202.87663824831395</c:v>
                </c:pt>
                <c:pt idx="984">
                  <c:v>204.70130127055995</c:v>
                </c:pt>
                <c:pt idx="985">
                  <c:v>199.18250005121124</c:v>
                </c:pt>
                <c:pt idx="986">
                  <c:v>199.77790388823138</c:v>
                </c:pt>
                <c:pt idx="987">
                  <c:v>195.51838539699227</c:v>
                </c:pt>
                <c:pt idx="988">
                  <c:v>199.8053699943512</c:v>
                </c:pt>
                <c:pt idx="989">
                  <c:v>201.05920304378827</c:v>
                </c:pt>
                <c:pt idx="990">
                  <c:v>203.96651160675586</c:v>
                </c:pt>
                <c:pt idx="991">
                  <c:v>201.08739952087475</c:v>
                </c:pt>
                <c:pt idx="992">
                  <c:v>201.53703800393299</c:v>
                </c:pt>
                <c:pt idx="993">
                  <c:v>203.60213937982772</c:v>
                </c:pt>
                <c:pt idx="994">
                  <c:v>199.01209227562532</c:v>
                </c:pt>
                <c:pt idx="995">
                  <c:v>207.99965751323597</c:v>
                </c:pt>
                <c:pt idx="996">
                  <c:v>205.75033219255789</c:v>
                </c:pt>
                <c:pt idx="997">
                  <c:v>197.55296493957505</c:v>
                </c:pt>
                <c:pt idx="998">
                  <c:v>202.44885622224581</c:v>
                </c:pt>
                <c:pt idx="999">
                  <c:v>198.62394812131191</c:v>
                </c:pt>
              </c:numCache>
            </c:numRef>
          </c:yVal>
          <c:smooth val="0"/>
          <c:extLst>
            <c:ext xmlns:c16="http://schemas.microsoft.com/office/drawing/2014/chart" uri="{C3380CC4-5D6E-409C-BE32-E72D297353CC}">
              <c16:uniqueId val="{00000007-CC7C-4E1D-B19D-9EC81EFA0279}"/>
            </c:ext>
          </c:extLst>
        </c:ser>
        <c:dLbls>
          <c:showLegendKey val="0"/>
          <c:showVal val="0"/>
          <c:showCatName val="0"/>
          <c:showSerName val="0"/>
          <c:showPercent val="0"/>
          <c:showBubbleSize val="0"/>
        </c:dLbls>
        <c:axId val="1283949200"/>
        <c:axId val="1283953520"/>
      </c:scatterChart>
      <c:valAx>
        <c:axId val="12839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53520"/>
        <c:crosses val="autoZero"/>
        <c:crossBetween val="midCat"/>
      </c:valAx>
      <c:valAx>
        <c:axId val="1283953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49200"/>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031097597948774E-2"/>
          <c:y val="3.6297640653357534E-2"/>
          <c:w val="0.89793369888169916"/>
          <c:h val="0.85393386369389424"/>
        </c:manualLayout>
      </c:layout>
      <c:scatterChart>
        <c:scatterStyle val="lineMarker"/>
        <c:varyColors val="0"/>
        <c:ser>
          <c:idx val="1"/>
          <c:order val="0"/>
          <c:tx>
            <c:v>LowerTol</c:v>
          </c:tx>
          <c:spPr>
            <a:ln w="12700" cap="rnd">
              <a:solidFill>
                <a:schemeClr val="tx1"/>
              </a:solidFill>
              <a:round/>
            </a:ln>
            <a:effectLst/>
          </c:spPr>
          <c:marker>
            <c:symbol val="none"/>
          </c:marker>
          <c:xVal>
            <c:numRef>
              <c:f>'Risk Calculator - Gamma'!$M$30:$M$31</c:f>
              <c:numCache>
                <c:formatCode>General</c:formatCode>
                <c:ptCount val="2"/>
                <c:pt idx="0">
                  <c:v>-1</c:v>
                </c:pt>
                <c:pt idx="1">
                  <c:v>3</c:v>
                </c:pt>
              </c:numCache>
            </c:numRef>
          </c:xVal>
          <c:yVal>
            <c:numRef>
              <c:f>'Risk Calculator - Gamma'!$N$30:$N$31</c:f>
              <c:numCache>
                <c:formatCode>0.0</c:formatCode>
                <c:ptCount val="2"/>
                <c:pt idx="0">
                  <c:v>0</c:v>
                </c:pt>
                <c:pt idx="1">
                  <c:v>0</c:v>
                </c:pt>
              </c:numCache>
            </c:numRef>
          </c:yVal>
          <c:smooth val="0"/>
          <c:extLst>
            <c:ext xmlns:c16="http://schemas.microsoft.com/office/drawing/2014/chart" uri="{C3380CC4-5D6E-409C-BE32-E72D297353CC}">
              <c16:uniqueId val="{00000000-D472-4B65-AD82-0D81CABE73D5}"/>
            </c:ext>
          </c:extLst>
        </c:ser>
        <c:ser>
          <c:idx val="0"/>
          <c:order val="1"/>
          <c:tx>
            <c:v>UpperTol</c:v>
          </c:tx>
          <c:spPr>
            <a:ln w="12700" cap="rnd">
              <a:solidFill>
                <a:schemeClr val="tx1"/>
              </a:solidFill>
              <a:round/>
            </a:ln>
            <a:effectLst/>
          </c:spPr>
          <c:marker>
            <c:symbol val="none"/>
          </c:marker>
          <c:xVal>
            <c:numRef>
              <c:f>'Risk Calculator - Gamma'!$M$30:$M$31</c:f>
              <c:numCache>
                <c:formatCode>General</c:formatCode>
                <c:ptCount val="2"/>
                <c:pt idx="0">
                  <c:v>-1</c:v>
                </c:pt>
                <c:pt idx="1">
                  <c:v>3</c:v>
                </c:pt>
              </c:numCache>
            </c:numRef>
          </c:xVal>
          <c:yVal>
            <c:numRef>
              <c:f>'Risk Calculator - Gamma'!$O$30:$O$31</c:f>
              <c:numCache>
                <c:formatCode>0.0</c:formatCode>
                <c:ptCount val="2"/>
                <c:pt idx="0">
                  <c:v>2</c:v>
                </c:pt>
                <c:pt idx="1">
                  <c:v>2</c:v>
                </c:pt>
              </c:numCache>
            </c:numRef>
          </c:yVal>
          <c:smooth val="0"/>
          <c:extLst>
            <c:ext xmlns:c16="http://schemas.microsoft.com/office/drawing/2014/chart" uri="{C3380CC4-5D6E-409C-BE32-E72D297353CC}">
              <c16:uniqueId val="{00000001-D472-4B65-AD82-0D81CABE73D5}"/>
            </c:ext>
          </c:extLst>
        </c:ser>
        <c:ser>
          <c:idx val="2"/>
          <c:order val="2"/>
          <c:tx>
            <c:v>LowerTol2</c:v>
          </c:tx>
          <c:spPr>
            <a:ln w="12700" cap="rnd">
              <a:solidFill>
                <a:schemeClr val="tx1"/>
              </a:solidFill>
              <a:round/>
            </a:ln>
            <a:effectLst/>
          </c:spPr>
          <c:marker>
            <c:symbol val="none"/>
          </c:marker>
          <c:xVal>
            <c:numRef>
              <c:f>'Risk Calculator - Gamma'!$N$30:$N$31</c:f>
              <c:numCache>
                <c:formatCode>0.0</c:formatCode>
                <c:ptCount val="2"/>
                <c:pt idx="0">
                  <c:v>0</c:v>
                </c:pt>
                <c:pt idx="1">
                  <c:v>0</c:v>
                </c:pt>
              </c:numCache>
            </c:numRef>
          </c:xVal>
          <c:yVal>
            <c:numRef>
              <c:f>'Risk Calculator - Gamma'!$M$30:$M$31</c:f>
              <c:numCache>
                <c:formatCode>General</c:formatCode>
                <c:ptCount val="2"/>
                <c:pt idx="0">
                  <c:v>-1</c:v>
                </c:pt>
                <c:pt idx="1">
                  <c:v>3</c:v>
                </c:pt>
              </c:numCache>
            </c:numRef>
          </c:yVal>
          <c:smooth val="0"/>
          <c:extLst>
            <c:ext xmlns:c16="http://schemas.microsoft.com/office/drawing/2014/chart" uri="{C3380CC4-5D6E-409C-BE32-E72D297353CC}">
              <c16:uniqueId val="{00000002-D472-4B65-AD82-0D81CABE73D5}"/>
            </c:ext>
          </c:extLst>
        </c:ser>
        <c:ser>
          <c:idx val="3"/>
          <c:order val="3"/>
          <c:tx>
            <c:v>UpperTol2</c:v>
          </c:tx>
          <c:spPr>
            <a:ln w="12700" cap="rnd">
              <a:solidFill>
                <a:schemeClr val="tx1"/>
              </a:solidFill>
              <a:round/>
            </a:ln>
            <a:effectLst/>
          </c:spPr>
          <c:marker>
            <c:symbol val="none"/>
          </c:marker>
          <c:xVal>
            <c:numRef>
              <c:f>'Risk Calculator - Gamma'!$O$30:$O$31</c:f>
              <c:numCache>
                <c:formatCode>0.0</c:formatCode>
                <c:ptCount val="2"/>
                <c:pt idx="0">
                  <c:v>2</c:v>
                </c:pt>
                <c:pt idx="1">
                  <c:v>2</c:v>
                </c:pt>
              </c:numCache>
            </c:numRef>
          </c:xVal>
          <c:yVal>
            <c:numRef>
              <c:f>'Risk Calculator - Gamma'!$M$30:$M$31</c:f>
              <c:numCache>
                <c:formatCode>General</c:formatCode>
                <c:ptCount val="2"/>
                <c:pt idx="0">
                  <c:v>-1</c:v>
                </c:pt>
                <c:pt idx="1">
                  <c:v>3</c:v>
                </c:pt>
              </c:numCache>
            </c:numRef>
          </c:yVal>
          <c:smooth val="0"/>
          <c:extLst>
            <c:ext xmlns:c16="http://schemas.microsoft.com/office/drawing/2014/chart" uri="{C3380CC4-5D6E-409C-BE32-E72D297353CC}">
              <c16:uniqueId val="{00000003-D472-4B65-AD82-0D81CABE73D5}"/>
            </c:ext>
          </c:extLst>
        </c:ser>
        <c:ser>
          <c:idx val="4"/>
          <c:order val="4"/>
          <c:tx>
            <c:v>LowerA</c:v>
          </c:tx>
          <c:spPr>
            <a:ln w="28575" cap="rnd">
              <a:solidFill>
                <a:schemeClr val="accent5"/>
              </a:solidFill>
              <a:round/>
            </a:ln>
            <a:effectLst/>
          </c:spPr>
          <c:marker>
            <c:symbol val="none"/>
          </c:marker>
          <c:xVal>
            <c:numRef>
              <c:f>'Risk Calculator - Gamma'!$M$30:$M$31</c:f>
              <c:numCache>
                <c:formatCode>General</c:formatCode>
                <c:ptCount val="2"/>
                <c:pt idx="0">
                  <c:v>-1</c:v>
                </c:pt>
                <c:pt idx="1">
                  <c:v>3</c:v>
                </c:pt>
              </c:numCache>
            </c:numRef>
          </c:xVal>
          <c:yVal>
            <c:numRef>
              <c:f>'Risk Calculator - Gamma'!#REF!</c:f>
              <c:numCache>
                <c:formatCode>General</c:formatCode>
                <c:ptCount val="1"/>
                <c:pt idx="0">
                  <c:v>1</c:v>
                </c:pt>
              </c:numCache>
            </c:numRef>
          </c:yVal>
          <c:smooth val="0"/>
          <c:extLst>
            <c:ext xmlns:c16="http://schemas.microsoft.com/office/drawing/2014/chart" uri="{C3380CC4-5D6E-409C-BE32-E72D297353CC}">
              <c16:uniqueId val="{00000004-D472-4B65-AD82-0D81CABE73D5}"/>
            </c:ext>
          </c:extLst>
        </c:ser>
        <c:ser>
          <c:idx val="5"/>
          <c:order val="5"/>
          <c:tx>
            <c:v>UpperA</c:v>
          </c:tx>
          <c:spPr>
            <a:ln w="19050" cap="rnd">
              <a:solidFill>
                <a:schemeClr val="accent5"/>
              </a:solidFill>
              <a:prstDash val="dash"/>
              <a:round/>
            </a:ln>
            <a:effectLst/>
          </c:spPr>
          <c:marker>
            <c:symbol val="none"/>
          </c:marker>
          <c:xVal>
            <c:numRef>
              <c:f>'Risk Calculator - Gamma'!$M$30:$M$31</c:f>
              <c:numCache>
                <c:formatCode>General</c:formatCode>
                <c:ptCount val="2"/>
                <c:pt idx="0">
                  <c:v>-1</c:v>
                </c:pt>
                <c:pt idx="1">
                  <c:v>3</c:v>
                </c:pt>
              </c:numCache>
            </c:numRef>
          </c:xVal>
          <c:yVal>
            <c:numRef>
              <c:f>'Risk Calculator - Gamma'!$P$30:$P$31</c:f>
              <c:numCache>
                <c:formatCode>0.0</c:formatCode>
                <c:ptCount val="2"/>
                <c:pt idx="0">
                  <c:v>1.988821274391287</c:v>
                </c:pt>
                <c:pt idx="1">
                  <c:v>1.988821274391287</c:v>
                </c:pt>
              </c:numCache>
            </c:numRef>
          </c:yVal>
          <c:smooth val="0"/>
          <c:extLst>
            <c:ext xmlns:c16="http://schemas.microsoft.com/office/drawing/2014/chart" uri="{C3380CC4-5D6E-409C-BE32-E72D297353CC}">
              <c16:uniqueId val="{00000005-D472-4B65-AD82-0D81CABE73D5}"/>
            </c:ext>
          </c:extLst>
        </c:ser>
        <c:ser>
          <c:idx val="6"/>
          <c:order val="6"/>
          <c:tx>
            <c:v>Samples</c:v>
          </c:tx>
          <c:spPr>
            <a:ln w="28575" cap="rnd">
              <a:noFill/>
              <a:round/>
            </a:ln>
            <a:effectLst/>
          </c:spPr>
          <c:marker>
            <c:symbol val="circle"/>
            <c:size val="2"/>
            <c:spPr>
              <a:solidFill>
                <a:schemeClr val="tx1">
                  <a:lumMod val="65000"/>
                  <a:lumOff val="35000"/>
                </a:schemeClr>
              </a:solidFill>
              <a:ln w="9525">
                <a:solidFill>
                  <a:schemeClr val="accent1">
                    <a:lumMod val="60000"/>
                  </a:schemeClr>
                </a:solidFill>
              </a:ln>
              <a:effectLst/>
            </c:spPr>
          </c:marker>
          <c:xVal>
            <c:numRef>
              <c:f>'Risk Calculator - Gamma'!$N$35:$N$1034</c:f>
              <c:numCache>
                <c:formatCode>General</c:formatCode>
                <c:ptCount val="1000"/>
                <c:pt idx="0">
                  <c:v>0.7858239467393221</c:v>
                </c:pt>
                <c:pt idx="1">
                  <c:v>1.4611748018900295</c:v>
                </c:pt>
                <c:pt idx="2">
                  <c:v>0.69274268600040823</c:v>
                </c:pt>
                <c:pt idx="3">
                  <c:v>1.3197312963657555</c:v>
                </c:pt>
                <c:pt idx="4">
                  <c:v>0.72097755342617087</c:v>
                </c:pt>
                <c:pt idx="5">
                  <c:v>1.3225957308972733</c:v>
                </c:pt>
                <c:pt idx="6">
                  <c:v>1.0520846913596424</c:v>
                </c:pt>
                <c:pt idx="7">
                  <c:v>0.58268988733505922</c:v>
                </c:pt>
                <c:pt idx="8">
                  <c:v>0.22050925267537505</c:v>
                </c:pt>
                <c:pt idx="9">
                  <c:v>0.36620311896652946</c:v>
                </c:pt>
                <c:pt idx="10">
                  <c:v>1.1588206596409745</c:v>
                </c:pt>
                <c:pt idx="11">
                  <c:v>1.4432094560106659</c:v>
                </c:pt>
                <c:pt idx="12">
                  <c:v>0.90422619794280112</c:v>
                </c:pt>
                <c:pt idx="13">
                  <c:v>1.2393320563848031</c:v>
                </c:pt>
                <c:pt idx="14">
                  <c:v>0.5617058963921312</c:v>
                </c:pt>
                <c:pt idx="15">
                  <c:v>2.2013459890058176</c:v>
                </c:pt>
                <c:pt idx="16">
                  <c:v>0.77996541624376348</c:v>
                </c:pt>
                <c:pt idx="17">
                  <c:v>0.99940276666974848</c:v>
                </c:pt>
                <c:pt idx="18">
                  <c:v>1.0295013051884832</c:v>
                </c:pt>
                <c:pt idx="19">
                  <c:v>1.6864590560925945</c:v>
                </c:pt>
                <c:pt idx="20">
                  <c:v>1.4288572353000262</c:v>
                </c:pt>
                <c:pt idx="21">
                  <c:v>0.53139034846549016</c:v>
                </c:pt>
                <c:pt idx="22">
                  <c:v>1.3702849323548052</c:v>
                </c:pt>
                <c:pt idx="23">
                  <c:v>1.5327815280736727</c:v>
                </c:pt>
                <c:pt idx="24">
                  <c:v>0.81438082334854045</c:v>
                </c:pt>
                <c:pt idx="25">
                  <c:v>0.40312663125409992</c:v>
                </c:pt>
                <c:pt idx="26">
                  <c:v>0.97771186212246863</c:v>
                </c:pt>
                <c:pt idx="27">
                  <c:v>2.4208978910272827</c:v>
                </c:pt>
                <c:pt idx="28">
                  <c:v>0.67471377970102686</c:v>
                </c:pt>
                <c:pt idx="29">
                  <c:v>0.73789134348252805</c:v>
                </c:pt>
                <c:pt idx="30">
                  <c:v>0.51815955222920496</c:v>
                </c:pt>
                <c:pt idx="31">
                  <c:v>0.77990545541576017</c:v>
                </c:pt>
                <c:pt idx="32">
                  <c:v>0.63355599892626258</c:v>
                </c:pt>
                <c:pt idx="33">
                  <c:v>1.0924810692346523</c:v>
                </c:pt>
                <c:pt idx="34">
                  <c:v>2.7493624699372434</c:v>
                </c:pt>
                <c:pt idx="35">
                  <c:v>0.82872967642241424</c:v>
                </c:pt>
                <c:pt idx="36">
                  <c:v>1.0855522825807382</c:v>
                </c:pt>
                <c:pt idx="37">
                  <c:v>0.38791399881453237</c:v>
                </c:pt>
                <c:pt idx="38">
                  <c:v>0.75309718962985872</c:v>
                </c:pt>
                <c:pt idx="39">
                  <c:v>1.0291799954139296</c:v>
                </c:pt>
                <c:pt idx="40">
                  <c:v>0.44546311460532656</c:v>
                </c:pt>
                <c:pt idx="41">
                  <c:v>0.37895674872130719</c:v>
                </c:pt>
                <c:pt idx="42">
                  <c:v>0.44566067665178377</c:v>
                </c:pt>
                <c:pt idx="43">
                  <c:v>0.44909241837086117</c:v>
                </c:pt>
                <c:pt idx="44">
                  <c:v>1.1084149048090857</c:v>
                </c:pt>
                <c:pt idx="45">
                  <c:v>0.8745224756827954</c:v>
                </c:pt>
                <c:pt idx="46">
                  <c:v>0.64752931247805112</c:v>
                </c:pt>
                <c:pt idx="47">
                  <c:v>0.94945979149835269</c:v>
                </c:pt>
                <c:pt idx="48">
                  <c:v>1.9258888455335101</c:v>
                </c:pt>
                <c:pt idx="49">
                  <c:v>1.6170660873737952</c:v>
                </c:pt>
                <c:pt idx="50">
                  <c:v>0.40137007149343984</c:v>
                </c:pt>
                <c:pt idx="51">
                  <c:v>1.1314182073268624</c:v>
                </c:pt>
                <c:pt idx="52">
                  <c:v>0.71099153132415704</c:v>
                </c:pt>
                <c:pt idx="53">
                  <c:v>1.462926974973066</c:v>
                </c:pt>
                <c:pt idx="54">
                  <c:v>0.26646018215953104</c:v>
                </c:pt>
                <c:pt idx="55">
                  <c:v>1.1785998519182219</c:v>
                </c:pt>
                <c:pt idx="56">
                  <c:v>1.252868326057315</c:v>
                </c:pt>
                <c:pt idx="57">
                  <c:v>1.102024921594317</c:v>
                </c:pt>
                <c:pt idx="58">
                  <c:v>0.50602164700557728</c:v>
                </c:pt>
                <c:pt idx="59">
                  <c:v>1.2925940581689963</c:v>
                </c:pt>
                <c:pt idx="60">
                  <c:v>2.4053421963104391</c:v>
                </c:pt>
                <c:pt idx="61">
                  <c:v>0.78089057654394189</c:v>
                </c:pt>
                <c:pt idx="62">
                  <c:v>0.99954142194076789</c:v>
                </c:pt>
                <c:pt idx="63">
                  <c:v>1.8169774764843094</c:v>
                </c:pt>
                <c:pt idx="64">
                  <c:v>0.5196787604713603</c:v>
                </c:pt>
                <c:pt idx="65">
                  <c:v>0.31278555945639969</c:v>
                </c:pt>
                <c:pt idx="66">
                  <c:v>1.5898286346454127</c:v>
                </c:pt>
                <c:pt idx="67">
                  <c:v>0.44137636907263544</c:v>
                </c:pt>
                <c:pt idx="68">
                  <c:v>1.0754243199916789</c:v>
                </c:pt>
                <c:pt idx="69">
                  <c:v>1.8338259800382064</c:v>
                </c:pt>
                <c:pt idx="70">
                  <c:v>1.2631406500826079</c:v>
                </c:pt>
                <c:pt idx="71">
                  <c:v>0.62286318969602306</c:v>
                </c:pt>
                <c:pt idx="72">
                  <c:v>1.1425325248970697</c:v>
                </c:pt>
                <c:pt idx="73">
                  <c:v>1.4572840109999599</c:v>
                </c:pt>
                <c:pt idx="74">
                  <c:v>0.47473320430052562</c:v>
                </c:pt>
                <c:pt idx="75">
                  <c:v>0.79468258532303215</c:v>
                </c:pt>
                <c:pt idx="76">
                  <c:v>0.49121997078721213</c:v>
                </c:pt>
                <c:pt idx="77">
                  <c:v>0.47498357061834279</c:v>
                </c:pt>
                <c:pt idx="78">
                  <c:v>0.60274406249483514</c:v>
                </c:pt>
                <c:pt idx="79">
                  <c:v>1.1624441703178261</c:v>
                </c:pt>
                <c:pt idx="80">
                  <c:v>0.53259841422699539</c:v>
                </c:pt>
                <c:pt idx="81">
                  <c:v>1.4986850346459968</c:v>
                </c:pt>
                <c:pt idx="82">
                  <c:v>1.8426220049295827</c:v>
                </c:pt>
                <c:pt idx="83">
                  <c:v>1.2801005178067555</c:v>
                </c:pt>
                <c:pt idx="84">
                  <c:v>0.5810303189846826</c:v>
                </c:pt>
                <c:pt idx="85">
                  <c:v>0.78096899891225247</c:v>
                </c:pt>
                <c:pt idx="86">
                  <c:v>1.4011348376009136</c:v>
                </c:pt>
                <c:pt idx="87">
                  <c:v>0.78248791431310905</c:v>
                </c:pt>
                <c:pt idx="88">
                  <c:v>1.2328537936314949</c:v>
                </c:pt>
                <c:pt idx="89">
                  <c:v>0.63983367694689774</c:v>
                </c:pt>
                <c:pt idx="90">
                  <c:v>0.22216867368550561</c:v>
                </c:pt>
                <c:pt idx="91">
                  <c:v>0.27117897712295458</c:v>
                </c:pt>
                <c:pt idx="92">
                  <c:v>0.92658611225809806</c:v>
                </c:pt>
                <c:pt idx="93">
                  <c:v>0.64076349590506843</c:v>
                </c:pt>
                <c:pt idx="94">
                  <c:v>0.89541550243647072</c:v>
                </c:pt>
                <c:pt idx="95">
                  <c:v>0.963095254497078</c:v>
                </c:pt>
                <c:pt idx="96">
                  <c:v>0.66433470775543679</c:v>
                </c:pt>
                <c:pt idx="97">
                  <c:v>1.2889829551202796</c:v>
                </c:pt>
                <c:pt idx="98">
                  <c:v>0.87241748100717387</c:v>
                </c:pt>
                <c:pt idx="99">
                  <c:v>0.63462954706025898</c:v>
                </c:pt>
                <c:pt idx="100">
                  <c:v>0.54992788955618044</c:v>
                </c:pt>
                <c:pt idx="101">
                  <c:v>1.0046856865139224</c:v>
                </c:pt>
                <c:pt idx="102">
                  <c:v>0.88591549257456459</c:v>
                </c:pt>
                <c:pt idx="103">
                  <c:v>0.79003528830949299</c:v>
                </c:pt>
                <c:pt idx="104">
                  <c:v>1.0704829974322194</c:v>
                </c:pt>
                <c:pt idx="105">
                  <c:v>1.2456937459434638</c:v>
                </c:pt>
                <c:pt idx="106">
                  <c:v>1.0533352433203846</c:v>
                </c:pt>
                <c:pt idx="107">
                  <c:v>1.1271721186629249</c:v>
                </c:pt>
                <c:pt idx="108">
                  <c:v>0.17581715778186147</c:v>
                </c:pt>
                <c:pt idx="109">
                  <c:v>0.19695533006986166</c:v>
                </c:pt>
                <c:pt idx="110">
                  <c:v>0.40485182088460159</c:v>
                </c:pt>
                <c:pt idx="111">
                  <c:v>0.84196165030778547</c:v>
                </c:pt>
                <c:pt idx="112">
                  <c:v>2.3452388241025419</c:v>
                </c:pt>
                <c:pt idx="113">
                  <c:v>0.13437138507529747</c:v>
                </c:pt>
                <c:pt idx="114">
                  <c:v>0.48303888949878315</c:v>
                </c:pt>
                <c:pt idx="115">
                  <c:v>1.0286486340967806</c:v>
                </c:pt>
                <c:pt idx="116">
                  <c:v>0.92437798333994869</c:v>
                </c:pt>
                <c:pt idx="117">
                  <c:v>0.52327969859147205</c:v>
                </c:pt>
                <c:pt idx="118">
                  <c:v>1.5470712513001488</c:v>
                </c:pt>
                <c:pt idx="119">
                  <c:v>1.2526555285653895</c:v>
                </c:pt>
                <c:pt idx="120">
                  <c:v>1.7121254832430559</c:v>
                </c:pt>
                <c:pt idx="121">
                  <c:v>1.0082695360483409</c:v>
                </c:pt>
                <c:pt idx="122">
                  <c:v>0.30635611087278369</c:v>
                </c:pt>
                <c:pt idx="123">
                  <c:v>0.75398239090129937</c:v>
                </c:pt>
                <c:pt idx="124">
                  <c:v>0.49618107746509593</c:v>
                </c:pt>
                <c:pt idx="125">
                  <c:v>1.3948753686088704</c:v>
                </c:pt>
                <c:pt idx="126">
                  <c:v>0.48616683833466806</c:v>
                </c:pt>
                <c:pt idx="127">
                  <c:v>0.78060083873864239</c:v>
                </c:pt>
                <c:pt idx="128">
                  <c:v>1.329838284035106</c:v>
                </c:pt>
                <c:pt idx="129">
                  <c:v>1.0508166011053104</c:v>
                </c:pt>
                <c:pt idx="130">
                  <c:v>1.1284171879557268</c:v>
                </c:pt>
                <c:pt idx="131">
                  <c:v>0.75177802696049634</c:v>
                </c:pt>
                <c:pt idx="132">
                  <c:v>0.23511672628946356</c:v>
                </c:pt>
                <c:pt idx="133">
                  <c:v>1.5084258486281334</c:v>
                </c:pt>
                <c:pt idx="134">
                  <c:v>1.4565082961728761</c:v>
                </c:pt>
                <c:pt idx="135">
                  <c:v>1.6844642738295093</c:v>
                </c:pt>
                <c:pt idx="136">
                  <c:v>0.50135469936365396</c:v>
                </c:pt>
                <c:pt idx="137">
                  <c:v>0.53802670157877985</c:v>
                </c:pt>
                <c:pt idx="138">
                  <c:v>0.86176968279658317</c:v>
                </c:pt>
                <c:pt idx="139">
                  <c:v>0.57616251464212664</c:v>
                </c:pt>
                <c:pt idx="140">
                  <c:v>1.211698341784391</c:v>
                </c:pt>
                <c:pt idx="141">
                  <c:v>1.3772421582556067</c:v>
                </c:pt>
                <c:pt idx="142">
                  <c:v>1.8651099461763048</c:v>
                </c:pt>
                <c:pt idx="143">
                  <c:v>0.91295041076687922</c:v>
                </c:pt>
                <c:pt idx="144">
                  <c:v>0.66684101844551824</c:v>
                </c:pt>
                <c:pt idx="145">
                  <c:v>0.86416341598201751</c:v>
                </c:pt>
                <c:pt idx="146">
                  <c:v>0.93521111124354994</c:v>
                </c:pt>
                <c:pt idx="147">
                  <c:v>0.99307663410811708</c:v>
                </c:pt>
                <c:pt idx="148">
                  <c:v>1.875528302028868</c:v>
                </c:pt>
                <c:pt idx="149">
                  <c:v>1.4929597709074693</c:v>
                </c:pt>
                <c:pt idx="150">
                  <c:v>0.87257048720740193</c:v>
                </c:pt>
                <c:pt idx="151">
                  <c:v>1.7634887188413202</c:v>
                </c:pt>
                <c:pt idx="152">
                  <c:v>2.0422976034009004</c:v>
                </c:pt>
                <c:pt idx="153">
                  <c:v>0.21076001645293402</c:v>
                </c:pt>
                <c:pt idx="154">
                  <c:v>1.4949520226426052</c:v>
                </c:pt>
                <c:pt idx="155">
                  <c:v>0.83791095421729855</c:v>
                </c:pt>
                <c:pt idx="156">
                  <c:v>1.0443387667231347</c:v>
                </c:pt>
                <c:pt idx="157">
                  <c:v>1.5649058319584868</c:v>
                </c:pt>
                <c:pt idx="158">
                  <c:v>1.8891439557866236</c:v>
                </c:pt>
                <c:pt idx="159">
                  <c:v>2.0121295118747367</c:v>
                </c:pt>
                <c:pt idx="160">
                  <c:v>1.3704446741255654</c:v>
                </c:pt>
                <c:pt idx="161">
                  <c:v>0.68068285764134229</c:v>
                </c:pt>
                <c:pt idx="162">
                  <c:v>1.1641825625821594</c:v>
                </c:pt>
                <c:pt idx="163">
                  <c:v>1.517315798329185</c:v>
                </c:pt>
                <c:pt idx="164">
                  <c:v>0.66773669330032392</c:v>
                </c:pt>
                <c:pt idx="165">
                  <c:v>1.3231921519466445</c:v>
                </c:pt>
                <c:pt idx="166">
                  <c:v>0.82015755429547277</c:v>
                </c:pt>
                <c:pt idx="167">
                  <c:v>0.94966340955676698</c:v>
                </c:pt>
                <c:pt idx="168">
                  <c:v>1.6557586967635043</c:v>
                </c:pt>
                <c:pt idx="169">
                  <c:v>1.0621777133760602</c:v>
                </c:pt>
                <c:pt idx="170">
                  <c:v>0.3361892493159771</c:v>
                </c:pt>
                <c:pt idx="171">
                  <c:v>0.88534370721767874</c:v>
                </c:pt>
                <c:pt idx="172">
                  <c:v>0.57100808828979277</c:v>
                </c:pt>
                <c:pt idx="173">
                  <c:v>1.3508197967278814</c:v>
                </c:pt>
                <c:pt idx="174">
                  <c:v>2.0454853391392875</c:v>
                </c:pt>
                <c:pt idx="175">
                  <c:v>1.0984930653967087</c:v>
                </c:pt>
                <c:pt idx="176">
                  <c:v>0.53900326695628298</c:v>
                </c:pt>
                <c:pt idx="177">
                  <c:v>0.39646317834264139</c:v>
                </c:pt>
                <c:pt idx="178">
                  <c:v>0.54079811120598953</c:v>
                </c:pt>
                <c:pt idx="179">
                  <c:v>0.63815231315282772</c:v>
                </c:pt>
                <c:pt idx="180">
                  <c:v>1.1598985891735871</c:v>
                </c:pt>
                <c:pt idx="181">
                  <c:v>0.64295428262475007</c:v>
                </c:pt>
                <c:pt idx="182">
                  <c:v>0.70947517407846528</c:v>
                </c:pt>
                <c:pt idx="183">
                  <c:v>0.56530120800415917</c:v>
                </c:pt>
                <c:pt idx="184">
                  <c:v>1.8678505475485687</c:v>
                </c:pt>
                <c:pt idx="185">
                  <c:v>0.34681873788276851</c:v>
                </c:pt>
                <c:pt idx="186">
                  <c:v>0.47179034447265777</c:v>
                </c:pt>
                <c:pt idx="187">
                  <c:v>1.0129854915136312</c:v>
                </c:pt>
                <c:pt idx="188">
                  <c:v>1.7790955608592189</c:v>
                </c:pt>
                <c:pt idx="189">
                  <c:v>0.42016039531375904</c:v>
                </c:pt>
                <c:pt idx="190">
                  <c:v>0.87944566513280309</c:v>
                </c:pt>
                <c:pt idx="191">
                  <c:v>0.65489602618810117</c:v>
                </c:pt>
                <c:pt idx="192">
                  <c:v>1.9055711184925999</c:v>
                </c:pt>
                <c:pt idx="193">
                  <c:v>0.58332640002030678</c:v>
                </c:pt>
                <c:pt idx="194">
                  <c:v>0.59660731262678346</c:v>
                </c:pt>
                <c:pt idx="195">
                  <c:v>1.6987177253059109</c:v>
                </c:pt>
                <c:pt idx="196">
                  <c:v>1.3636276912723146</c:v>
                </c:pt>
                <c:pt idx="197">
                  <c:v>1.7270538747715556</c:v>
                </c:pt>
                <c:pt idx="198">
                  <c:v>0.76576160322530695</c:v>
                </c:pt>
                <c:pt idx="199">
                  <c:v>1.2139468837090093</c:v>
                </c:pt>
                <c:pt idx="200">
                  <c:v>1.469478076179187</c:v>
                </c:pt>
                <c:pt idx="201">
                  <c:v>1.1680216824718654</c:v>
                </c:pt>
                <c:pt idx="202">
                  <c:v>0.90977085395666257</c:v>
                </c:pt>
                <c:pt idx="203">
                  <c:v>0.99736862767540879</c:v>
                </c:pt>
                <c:pt idx="204">
                  <c:v>0.71971221683194353</c:v>
                </c:pt>
                <c:pt idx="205">
                  <c:v>1.0614850434006431</c:v>
                </c:pt>
                <c:pt idx="206">
                  <c:v>0.40483231960873811</c:v>
                </c:pt>
                <c:pt idx="207">
                  <c:v>1.1791379349214401</c:v>
                </c:pt>
                <c:pt idx="208">
                  <c:v>1.4386199487065123</c:v>
                </c:pt>
                <c:pt idx="209">
                  <c:v>0.67272198355473622</c:v>
                </c:pt>
                <c:pt idx="210">
                  <c:v>0.58542895252235216</c:v>
                </c:pt>
                <c:pt idx="211">
                  <c:v>0.727318134053483</c:v>
                </c:pt>
                <c:pt idx="212">
                  <c:v>2.10236872543505</c:v>
                </c:pt>
                <c:pt idx="213">
                  <c:v>1.4534124216659046</c:v>
                </c:pt>
                <c:pt idx="214">
                  <c:v>0.26770988708507937</c:v>
                </c:pt>
                <c:pt idx="215">
                  <c:v>1.1923608038254314</c:v>
                </c:pt>
                <c:pt idx="216">
                  <c:v>0.7424424824775957</c:v>
                </c:pt>
                <c:pt idx="217">
                  <c:v>0.98752196888565147</c:v>
                </c:pt>
                <c:pt idx="218">
                  <c:v>1.3622022573770545</c:v>
                </c:pt>
                <c:pt idx="219">
                  <c:v>0.37969310489577918</c:v>
                </c:pt>
                <c:pt idx="220">
                  <c:v>0.81172738824799584</c:v>
                </c:pt>
                <c:pt idx="221">
                  <c:v>0.68011256684022814</c:v>
                </c:pt>
                <c:pt idx="222">
                  <c:v>1.0543172749913869</c:v>
                </c:pt>
                <c:pt idx="223">
                  <c:v>0.99498852809200822</c:v>
                </c:pt>
                <c:pt idx="224">
                  <c:v>0.71283637621882867</c:v>
                </c:pt>
                <c:pt idx="225">
                  <c:v>1.8324109210382795</c:v>
                </c:pt>
                <c:pt idx="226">
                  <c:v>0.82695348046794837</c:v>
                </c:pt>
                <c:pt idx="227">
                  <c:v>1.6969256382306661</c:v>
                </c:pt>
                <c:pt idx="228">
                  <c:v>0.50114619007507322</c:v>
                </c:pt>
                <c:pt idx="229">
                  <c:v>1.0339981685385853</c:v>
                </c:pt>
                <c:pt idx="230">
                  <c:v>1.2434897556801623</c:v>
                </c:pt>
                <c:pt idx="231">
                  <c:v>0.9361313676379337</c:v>
                </c:pt>
                <c:pt idx="232">
                  <c:v>0.59258477710652735</c:v>
                </c:pt>
                <c:pt idx="233">
                  <c:v>1.197514351762385</c:v>
                </c:pt>
                <c:pt idx="234">
                  <c:v>0.96193840289733401</c:v>
                </c:pt>
                <c:pt idx="235">
                  <c:v>1.235413989294228</c:v>
                </c:pt>
                <c:pt idx="236">
                  <c:v>1.3699547502624372</c:v>
                </c:pt>
                <c:pt idx="237">
                  <c:v>0.61831970460676844</c:v>
                </c:pt>
                <c:pt idx="238">
                  <c:v>0.78626576544166271</c:v>
                </c:pt>
                <c:pt idx="239">
                  <c:v>0.72508046815191152</c:v>
                </c:pt>
                <c:pt idx="240">
                  <c:v>0.51471752765874035</c:v>
                </c:pt>
                <c:pt idx="241">
                  <c:v>1.4442325259055895</c:v>
                </c:pt>
                <c:pt idx="242">
                  <c:v>0.39155187006938824</c:v>
                </c:pt>
                <c:pt idx="243">
                  <c:v>1.3809823245273487</c:v>
                </c:pt>
                <c:pt idx="244">
                  <c:v>1.1681847463863568</c:v>
                </c:pt>
                <c:pt idx="245">
                  <c:v>0.48368821000347495</c:v>
                </c:pt>
                <c:pt idx="246">
                  <c:v>1.0982383173059291</c:v>
                </c:pt>
                <c:pt idx="247">
                  <c:v>0.66233438460558614</c:v>
                </c:pt>
                <c:pt idx="248">
                  <c:v>0.87247395005020334</c:v>
                </c:pt>
                <c:pt idx="249">
                  <c:v>0.72705412043059525</c:v>
                </c:pt>
                <c:pt idx="250">
                  <c:v>1.1013301560578417</c:v>
                </c:pt>
                <c:pt idx="251">
                  <c:v>0.54532130140963864</c:v>
                </c:pt>
                <c:pt idx="252">
                  <c:v>1.7613431686442653</c:v>
                </c:pt>
                <c:pt idx="253">
                  <c:v>1.5867685550314947</c:v>
                </c:pt>
                <c:pt idx="254">
                  <c:v>0.7633072082804474</c:v>
                </c:pt>
                <c:pt idx="255">
                  <c:v>1.1496560432696443</c:v>
                </c:pt>
                <c:pt idx="256">
                  <c:v>1.0808276177343943</c:v>
                </c:pt>
                <c:pt idx="257">
                  <c:v>0.44737442616480666</c:v>
                </c:pt>
                <c:pt idx="258">
                  <c:v>1.10120713400175</c:v>
                </c:pt>
                <c:pt idx="259">
                  <c:v>1.2377739394487637</c:v>
                </c:pt>
                <c:pt idx="260">
                  <c:v>0.44292504993985793</c:v>
                </c:pt>
                <c:pt idx="261">
                  <c:v>0.16304819597938733</c:v>
                </c:pt>
                <c:pt idx="262">
                  <c:v>0.19301404689512139</c:v>
                </c:pt>
                <c:pt idx="263">
                  <c:v>0.58138434198769562</c:v>
                </c:pt>
                <c:pt idx="264">
                  <c:v>0.66203290324073827</c:v>
                </c:pt>
                <c:pt idx="265">
                  <c:v>1.8948937583921504</c:v>
                </c:pt>
                <c:pt idx="266">
                  <c:v>0.7110876806210249</c:v>
                </c:pt>
                <c:pt idx="267">
                  <c:v>3.1433925545444326</c:v>
                </c:pt>
                <c:pt idx="268">
                  <c:v>2.1057991142096344</c:v>
                </c:pt>
                <c:pt idx="269">
                  <c:v>0.7133458350902574</c:v>
                </c:pt>
                <c:pt idx="270">
                  <c:v>0.65179157945219823</c:v>
                </c:pt>
                <c:pt idx="271">
                  <c:v>1.5129384252990299</c:v>
                </c:pt>
                <c:pt idx="272">
                  <c:v>1.259722308936057</c:v>
                </c:pt>
                <c:pt idx="273">
                  <c:v>0.57858651053780541</c:v>
                </c:pt>
                <c:pt idx="274">
                  <c:v>1.1642446306567842</c:v>
                </c:pt>
                <c:pt idx="275">
                  <c:v>0.61332912631795056</c:v>
                </c:pt>
                <c:pt idx="276">
                  <c:v>1.0030110289149918</c:v>
                </c:pt>
                <c:pt idx="277">
                  <c:v>1.4440618882855303</c:v>
                </c:pt>
                <c:pt idx="278">
                  <c:v>0.16447729195958757</c:v>
                </c:pt>
                <c:pt idx="279">
                  <c:v>1.0974178186556325</c:v>
                </c:pt>
                <c:pt idx="280">
                  <c:v>0.96007790747707145</c:v>
                </c:pt>
                <c:pt idx="281">
                  <c:v>0.75454921832166777</c:v>
                </c:pt>
                <c:pt idx="282">
                  <c:v>0.56521097335397186</c:v>
                </c:pt>
                <c:pt idx="283">
                  <c:v>0.59277145044367741</c:v>
                </c:pt>
                <c:pt idx="284">
                  <c:v>0.50409568429176677</c:v>
                </c:pt>
                <c:pt idx="285">
                  <c:v>0.64117225910973363</c:v>
                </c:pt>
                <c:pt idx="286">
                  <c:v>0.39956090865275035</c:v>
                </c:pt>
                <c:pt idx="287">
                  <c:v>0.94308719401442187</c:v>
                </c:pt>
                <c:pt idx="288">
                  <c:v>0.76535518784036427</c:v>
                </c:pt>
                <c:pt idx="289">
                  <c:v>0.26675666321003455</c:v>
                </c:pt>
                <c:pt idx="290">
                  <c:v>1.0781695020176634</c:v>
                </c:pt>
                <c:pt idx="291">
                  <c:v>2.167943740783421</c:v>
                </c:pt>
                <c:pt idx="292">
                  <c:v>1.1575925991513585</c:v>
                </c:pt>
                <c:pt idx="293">
                  <c:v>1.1431503392668203</c:v>
                </c:pt>
                <c:pt idx="294">
                  <c:v>1.2080393497998132</c:v>
                </c:pt>
                <c:pt idx="295">
                  <c:v>1.0441110415794943</c:v>
                </c:pt>
                <c:pt idx="296">
                  <c:v>2.0970738823801414</c:v>
                </c:pt>
                <c:pt idx="297">
                  <c:v>1.0991558549519211</c:v>
                </c:pt>
                <c:pt idx="298">
                  <c:v>0.23410980479611052</c:v>
                </c:pt>
                <c:pt idx="299">
                  <c:v>0.92742236677872836</c:v>
                </c:pt>
                <c:pt idx="300">
                  <c:v>0.37279875432026172</c:v>
                </c:pt>
                <c:pt idx="301">
                  <c:v>1.4717343080882674</c:v>
                </c:pt>
                <c:pt idx="302">
                  <c:v>1.5316875744320329</c:v>
                </c:pt>
                <c:pt idx="303">
                  <c:v>0.90519481874152052</c:v>
                </c:pt>
                <c:pt idx="304">
                  <c:v>1.5465297746634705</c:v>
                </c:pt>
                <c:pt idx="305">
                  <c:v>0.72046606106472877</c:v>
                </c:pt>
                <c:pt idx="306">
                  <c:v>0.37253900213555885</c:v>
                </c:pt>
                <c:pt idx="307">
                  <c:v>0.54683659495234371</c:v>
                </c:pt>
                <c:pt idx="308">
                  <c:v>1.6757426493457723</c:v>
                </c:pt>
                <c:pt idx="309">
                  <c:v>2.3950404914857288</c:v>
                </c:pt>
                <c:pt idx="310">
                  <c:v>0.83610215935649934</c:v>
                </c:pt>
                <c:pt idx="311">
                  <c:v>1.1891337625277187</c:v>
                </c:pt>
                <c:pt idx="312">
                  <c:v>0.93885662498930922</c:v>
                </c:pt>
                <c:pt idx="313">
                  <c:v>1.322178815839671</c:v>
                </c:pt>
                <c:pt idx="314">
                  <c:v>1.0532943924874647</c:v>
                </c:pt>
                <c:pt idx="315">
                  <c:v>0.36760851802578054</c:v>
                </c:pt>
                <c:pt idx="316">
                  <c:v>0.74244970254002207</c:v>
                </c:pt>
                <c:pt idx="317">
                  <c:v>0.90395349120542412</c:v>
                </c:pt>
                <c:pt idx="318">
                  <c:v>1.4998086298561011</c:v>
                </c:pt>
                <c:pt idx="319">
                  <c:v>1.2393986769284551</c:v>
                </c:pt>
                <c:pt idx="320">
                  <c:v>0.45304515104097326</c:v>
                </c:pt>
                <c:pt idx="321">
                  <c:v>1.1630241814648252</c:v>
                </c:pt>
                <c:pt idx="322">
                  <c:v>1.474319980865415</c:v>
                </c:pt>
                <c:pt idx="323">
                  <c:v>0.92870817762947477</c:v>
                </c:pt>
                <c:pt idx="324">
                  <c:v>1.2976280290642117</c:v>
                </c:pt>
                <c:pt idx="325">
                  <c:v>0.55394789848257231</c:v>
                </c:pt>
                <c:pt idx="326">
                  <c:v>0.94573992282582853</c:v>
                </c:pt>
                <c:pt idx="327">
                  <c:v>1.3394377331385876</c:v>
                </c:pt>
                <c:pt idx="328">
                  <c:v>1.0962322628096928</c:v>
                </c:pt>
                <c:pt idx="329">
                  <c:v>0.7937832627269148</c:v>
                </c:pt>
                <c:pt idx="330">
                  <c:v>1.0529541074792277</c:v>
                </c:pt>
                <c:pt idx="331">
                  <c:v>1.0527632990012254</c:v>
                </c:pt>
                <c:pt idx="332">
                  <c:v>0.59524872396376716</c:v>
                </c:pt>
                <c:pt idx="333">
                  <c:v>1.2860033097958923</c:v>
                </c:pt>
                <c:pt idx="334">
                  <c:v>0.49773206705366935</c:v>
                </c:pt>
                <c:pt idx="335">
                  <c:v>0.94501975707093011</c:v>
                </c:pt>
                <c:pt idx="336">
                  <c:v>1.7335317773182817</c:v>
                </c:pt>
                <c:pt idx="337">
                  <c:v>1.3501400053302235</c:v>
                </c:pt>
                <c:pt idx="338">
                  <c:v>0.64621608881089254</c:v>
                </c:pt>
                <c:pt idx="339">
                  <c:v>1.0767400743268953</c:v>
                </c:pt>
                <c:pt idx="340">
                  <c:v>1.1955146644843555</c:v>
                </c:pt>
                <c:pt idx="341">
                  <c:v>0.87437108185521362</c:v>
                </c:pt>
                <c:pt idx="342">
                  <c:v>0.64065779724037009</c:v>
                </c:pt>
                <c:pt idx="343">
                  <c:v>1.1109726918020166</c:v>
                </c:pt>
                <c:pt idx="344">
                  <c:v>0.37993395039909184</c:v>
                </c:pt>
                <c:pt idx="345">
                  <c:v>0.92781052149175869</c:v>
                </c:pt>
                <c:pt idx="346">
                  <c:v>0.86553048111627051</c:v>
                </c:pt>
                <c:pt idx="347">
                  <c:v>1.0885974669027352</c:v>
                </c:pt>
                <c:pt idx="348">
                  <c:v>0.6467383340170717</c:v>
                </c:pt>
                <c:pt idx="349">
                  <c:v>0.68475457748977941</c:v>
                </c:pt>
                <c:pt idx="350">
                  <c:v>1.4579331334759615</c:v>
                </c:pt>
                <c:pt idx="351">
                  <c:v>6.7402365315153132E-2</c:v>
                </c:pt>
                <c:pt idx="352">
                  <c:v>0.31296968454003893</c:v>
                </c:pt>
                <c:pt idx="353">
                  <c:v>0.63688947703869059</c:v>
                </c:pt>
                <c:pt idx="354">
                  <c:v>0.64903210418774171</c:v>
                </c:pt>
                <c:pt idx="355">
                  <c:v>0.87592063375698759</c:v>
                </c:pt>
                <c:pt idx="356">
                  <c:v>1.4760172432698799</c:v>
                </c:pt>
                <c:pt idx="357">
                  <c:v>0.79705439484156992</c:v>
                </c:pt>
                <c:pt idx="358">
                  <c:v>1.1972461666426057</c:v>
                </c:pt>
                <c:pt idx="359">
                  <c:v>0.50324388464320902</c:v>
                </c:pt>
                <c:pt idx="360">
                  <c:v>0.63569968578610547</c:v>
                </c:pt>
                <c:pt idx="361">
                  <c:v>0.7209495453264313</c:v>
                </c:pt>
                <c:pt idx="362">
                  <c:v>1.777865762176694</c:v>
                </c:pt>
                <c:pt idx="363">
                  <c:v>0.92079211583869758</c:v>
                </c:pt>
                <c:pt idx="364">
                  <c:v>0.76510137075011675</c:v>
                </c:pt>
                <c:pt idx="365">
                  <c:v>0.41006984534967328</c:v>
                </c:pt>
                <c:pt idx="366">
                  <c:v>1.262616847554465</c:v>
                </c:pt>
                <c:pt idx="367">
                  <c:v>0.43667888927753706</c:v>
                </c:pt>
                <c:pt idx="368">
                  <c:v>0.96446473104159636</c:v>
                </c:pt>
                <c:pt idx="369">
                  <c:v>0.95300368279648451</c:v>
                </c:pt>
                <c:pt idx="370">
                  <c:v>1.616327349808685</c:v>
                </c:pt>
                <c:pt idx="371">
                  <c:v>1.396810221392937</c:v>
                </c:pt>
                <c:pt idx="372">
                  <c:v>0.39137534162254406</c:v>
                </c:pt>
                <c:pt idx="373">
                  <c:v>0.9452896091587184</c:v>
                </c:pt>
                <c:pt idx="374">
                  <c:v>1.0368916976815183</c:v>
                </c:pt>
                <c:pt idx="375">
                  <c:v>0.249497379396626</c:v>
                </c:pt>
                <c:pt idx="376">
                  <c:v>1.3993373545067591</c:v>
                </c:pt>
                <c:pt idx="377">
                  <c:v>0.71827027677502431</c:v>
                </c:pt>
                <c:pt idx="378">
                  <c:v>0.94373816443628877</c:v>
                </c:pt>
                <c:pt idx="379">
                  <c:v>1.3680060724783079</c:v>
                </c:pt>
                <c:pt idx="380">
                  <c:v>0.92980083344143583</c:v>
                </c:pt>
                <c:pt idx="381">
                  <c:v>1.5525791577055024</c:v>
                </c:pt>
                <c:pt idx="382">
                  <c:v>1.4871638165221948</c:v>
                </c:pt>
                <c:pt idx="383">
                  <c:v>1.3296532065694622</c:v>
                </c:pt>
                <c:pt idx="384">
                  <c:v>1.9594877176203449</c:v>
                </c:pt>
                <c:pt idx="385">
                  <c:v>0.87437906822165812</c:v>
                </c:pt>
                <c:pt idx="386">
                  <c:v>1.7029609371723504</c:v>
                </c:pt>
                <c:pt idx="387">
                  <c:v>0.33519914714340887</c:v>
                </c:pt>
                <c:pt idx="388">
                  <c:v>0.77829879849060379</c:v>
                </c:pt>
                <c:pt idx="389">
                  <c:v>0.40211024432734577</c:v>
                </c:pt>
                <c:pt idx="390">
                  <c:v>1.0588175500927963</c:v>
                </c:pt>
                <c:pt idx="391">
                  <c:v>1.020671355753662</c:v>
                </c:pt>
                <c:pt idx="392">
                  <c:v>1.3618629288454458</c:v>
                </c:pt>
                <c:pt idx="393">
                  <c:v>1.705151256575387</c:v>
                </c:pt>
                <c:pt idx="394">
                  <c:v>0.39487509719485892</c:v>
                </c:pt>
                <c:pt idx="395">
                  <c:v>1.0203263450805573</c:v>
                </c:pt>
                <c:pt idx="396">
                  <c:v>1.6056654247090167</c:v>
                </c:pt>
                <c:pt idx="397">
                  <c:v>6.5471899128916836E-2</c:v>
                </c:pt>
                <c:pt idx="398">
                  <c:v>1.0291274208012779</c:v>
                </c:pt>
                <c:pt idx="399">
                  <c:v>0.66502223171682806</c:v>
                </c:pt>
                <c:pt idx="400">
                  <c:v>1.7919219299726592</c:v>
                </c:pt>
                <c:pt idx="401">
                  <c:v>1.2497194410523804</c:v>
                </c:pt>
                <c:pt idx="402">
                  <c:v>1.7230197084661936</c:v>
                </c:pt>
                <c:pt idx="403">
                  <c:v>2.3607579929931188</c:v>
                </c:pt>
                <c:pt idx="404">
                  <c:v>1.2999940468199804</c:v>
                </c:pt>
                <c:pt idx="405">
                  <c:v>0.51401487362537224</c:v>
                </c:pt>
                <c:pt idx="406">
                  <c:v>0.69858904635169738</c:v>
                </c:pt>
                <c:pt idx="407">
                  <c:v>1.9748272048664102</c:v>
                </c:pt>
                <c:pt idx="408">
                  <c:v>1.8266035004525432</c:v>
                </c:pt>
                <c:pt idx="409">
                  <c:v>0.33863939994382231</c:v>
                </c:pt>
                <c:pt idx="410">
                  <c:v>1.4891771733118333</c:v>
                </c:pt>
                <c:pt idx="411">
                  <c:v>0.57004541139416309</c:v>
                </c:pt>
                <c:pt idx="412">
                  <c:v>0.78094429281398037</c:v>
                </c:pt>
                <c:pt idx="413">
                  <c:v>0.71615499264473637</c:v>
                </c:pt>
                <c:pt idx="414">
                  <c:v>2.1103945908441353</c:v>
                </c:pt>
                <c:pt idx="415">
                  <c:v>0.75628063093862319</c:v>
                </c:pt>
                <c:pt idx="416">
                  <c:v>0.8838919089962054</c:v>
                </c:pt>
                <c:pt idx="417">
                  <c:v>0.31409457107338729</c:v>
                </c:pt>
                <c:pt idx="418">
                  <c:v>1.3505128041305161</c:v>
                </c:pt>
                <c:pt idx="419">
                  <c:v>0.69644931221105844</c:v>
                </c:pt>
                <c:pt idx="420">
                  <c:v>2.2282092013943471</c:v>
                </c:pt>
                <c:pt idx="421">
                  <c:v>0.51444178376107585</c:v>
                </c:pt>
                <c:pt idx="422">
                  <c:v>1.031085940494666</c:v>
                </c:pt>
                <c:pt idx="423">
                  <c:v>1.0836552314644394</c:v>
                </c:pt>
                <c:pt idx="424">
                  <c:v>1.1999231287413821</c:v>
                </c:pt>
                <c:pt idx="425">
                  <c:v>0.60538802126601199</c:v>
                </c:pt>
                <c:pt idx="426">
                  <c:v>0.65959329634541275</c:v>
                </c:pt>
                <c:pt idx="427">
                  <c:v>0.8550198489955374</c:v>
                </c:pt>
                <c:pt idx="428">
                  <c:v>1.170775969125081</c:v>
                </c:pt>
                <c:pt idx="429">
                  <c:v>0.59084210462970155</c:v>
                </c:pt>
                <c:pt idx="430">
                  <c:v>2.7789942299194776</c:v>
                </c:pt>
                <c:pt idx="431">
                  <c:v>1.4138813440807241</c:v>
                </c:pt>
                <c:pt idx="432">
                  <c:v>0.5335523139927506</c:v>
                </c:pt>
                <c:pt idx="433">
                  <c:v>2.0383689456424103</c:v>
                </c:pt>
                <c:pt idx="434">
                  <c:v>0.5129407993243823</c:v>
                </c:pt>
                <c:pt idx="435">
                  <c:v>1.07138789140549</c:v>
                </c:pt>
                <c:pt idx="436">
                  <c:v>0.82601525681004939</c:v>
                </c:pt>
                <c:pt idx="437">
                  <c:v>0.70184103898193972</c:v>
                </c:pt>
                <c:pt idx="438">
                  <c:v>1.1725474570443379</c:v>
                </c:pt>
                <c:pt idx="439">
                  <c:v>0.40271526669545488</c:v>
                </c:pt>
                <c:pt idx="440">
                  <c:v>0.93165746521108739</c:v>
                </c:pt>
                <c:pt idx="441">
                  <c:v>1.3908360032984042</c:v>
                </c:pt>
                <c:pt idx="442">
                  <c:v>0.29290249226437021</c:v>
                </c:pt>
                <c:pt idx="443">
                  <c:v>0.65824971680764277</c:v>
                </c:pt>
                <c:pt idx="444">
                  <c:v>1.303823381672401</c:v>
                </c:pt>
                <c:pt idx="445">
                  <c:v>0.62147908086258441</c:v>
                </c:pt>
                <c:pt idx="446">
                  <c:v>0.3892498577086243</c:v>
                </c:pt>
                <c:pt idx="447">
                  <c:v>0.83165066702182211</c:v>
                </c:pt>
                <c:pt idx="448">
                  <c:v>1.0945732370729353</c:v>
                </c:pt>
                <c:pt idx="449">
                  <c:v>1.1452819394651743</c:v>
                </c:pt>
                <c:pt idx="450">
                  <c:v>0.90241780733526933</c:v>
                </c:pt>
                <c:pt idx="451">
                  <c:v>1.0083787387059699</c:v>
                </c:pt>
                <c:pt idx="452">
                  <c:v>1.2849790815651134</c:v>
                </c:pt>
                <c:pt idx="453">
                  <c:v>1.0306919739791958</c:v>
                </c:pt>
                <c:pt idx="454">
                  <c:v>1.1587472894140594</c:v>
                </c:pt>
                <c:pt idx="455">
                  <c:v>2.6477669338366501</c:v>
                </c:pt>
                <c:pt idx="456">
                  <c:v>0.37958909128463614</c:v>
                </c:pt>
                <c:pt idx="457">
                  <c:v>1.6590707718355433</c:v>
                </c:pt>
                <c:pt idx="458">
                  <c:v>0.70286804785501267</c:v>
                </c:pt>
                <c:pt idx="459">
                  <c:v>0.52127599554134496</c:v>
                </c:pt>
                <c:pt idx="460">
                  <c:v>0.50068587538768283</c:v>
                </c:pt>
                <c:pt idx="461">
                  <c:v>0.86485766048905144</c:v>
                </c:pt>
                <c:pt idx="462">
                  <c:v>0.37797108785107325</c:v>
                </c:pt>
                <c:pt idx="463">
                  <c:v>1.6760960131517115</c:v>
                </c:pt>
                <c:pt idx="464">
                  <c:v>1.31622460282998</c:v>
                </c:pt>
                <c:pt idx="465">
                  <c:v>0.15320633180485335</c:v>
                </c:pt>
                <c:pt idx="466">
                  <c:v>0.46881855708859477</c:v>
                </c:pt>
                <c:pt idx="467">
                  <c:v>1.9821733909245518</c:v>
                </c:pt>
                <c:pt idx="468">
                  <c:v>1.6489228409252843</c:v>
                </c:pt>
                <c:pt idx="469">
                  <c:v>0.87230638565183516</c:v>
                </c:pt>
                <c:pt idx="470">
                  <c:v>0.60331057874139615</c:v>
                </c:pt>
                <c:pt idx="471">
                  <c:v>1.5052548647815358</c:v>
                </c:pt>
                <c:pt idx="472">
                  <c:v>1.0836455715090212</c:v>
                </c:pt>
                <c:pt idx="473">
                  <c:v>1.2414466635641448</c:v>
                </c:pt>
                <c:pt idx="474">
                  <c:v>0.82257390976422851</c:v>
                </c:pt>
                <c:pt idx="475">
                  <c:v>0.8065705809151914</c:v>
                </c:pt>
                <c:pt idx="476">
                  <c:v>0.94424189150802973</c:v>
                </c:pt>
                <c:pt idx="477">
                  <c:v>1.1642570986046568</c:v>
                </c:pt>
                <c:pt idx="478">
                  <c:v>0.90498778691675408</c:v>
                </c:pt>
                <c:pt idx="479">
                  <c:v>0.28702914596848556</c:v>
                </c:pt>
                <c:pt idx="480">
                  <c:v>0.66123954917326622</c:v>
                </c:pt>
                <c:pt idx="481">
                  <c:v>0.63219236930745903</c:v>
                </c:pt>
                <c:pt idx="482">
                  <c:v>1.3384003325943696</c:v>
                </c:pt>
                <c:pt idx="483">
                  <c:v>0.7014156838444906</c:v>
                </c:pt>
                <c:pt idx="484">
                  <c:v>1.4738088797694415</c:v>
                </c:pt>
                <c:pt idx="485">
                  <c:v>1.4322455966261907</c:v>
                </c:pt>
                <c:pt idx="486">
                  <c:v>0.51884592697410936</c:v>
                </c:pt>
                <c:pt idx="487">
                  <c:v>0.75824639669460558</c:v>
                </c:pt>
                <c:pt idx="488">
                  <c:v>1.1418328530141821</c:v>
                </c:pt>
                <c:pt idx="489">
                  <c:v>0.60336999497571098</c:v>
                </c:pt>
                <c:pt idx="490">
                  <c:v>1.4078900541786457</c:v>
                </c:pt>
                <c:pt idx="491">
                  <c:v>1.5486558238910331</c:v>
                </c:pt>
                <c:pt idx="492">
                  <c:v>0.74127576569699338</c:v>
                </c:pt>
                <c:pt idx="493">
                  <c:v>0.80920386049087933</c:v>
                </c:pt>
                <c:pt idx="494">
                  <c:v>1.5499549481539456</c:v>
                </c:pt>
                <c:pt idx="495">
                  <c:v>0.42655371022586386</c:v>
                </c:pt>
                <c:pt idx="496">
                  <c:v>0.84078443943485626</c:v>
                </c:pt>
                <c:pt idx="497">
                  <c:v>0.65601894522704385</c:v>
                </c:pt>
                <c:pt idx="498">
                  <c:v>1.0887545500391596</c:v>
                </c:pt>
                <c:pt idx="499">
                  <c:v>1.3617872806873366</c:v>
                </c:pt>
                <c:pt idx="500">
                  <c:v>1.8104638770620611</c:v>
                </c:pt>
                <c:pt idx="501">
                  <c:v>0.27843751030257696</c:v>
                </c:pt>
                <c:pt idx="502">
                  <c:v>0.41971647234727044</c:v>
                </c:pt>
                <c:pt idx="503">
                  <c:v>1.5553425323247256</c:v>
                </c:pt>
                <c:pt idx="504">
                  <c:v>0.59398120636777818</c:v>
                </c:pt>
                <c:pt idx="505">
                  <c:v>0.92225867021462182</c:v>
                </c:pt>
                <c:pt idx="506">
                  <c:v>1.8805230833763185</c:v>
                </c:pt>
                <c:pt idx="507">
                  <c:v>0.47042104816584512</c:v>
                </c:pt>
                <c:pt idx="508">
                  <c:v>0.18945208136491595</c:v>
                </c:pt>
                <c:pt idx="509">
                  <c:v>0.390325569932157</c:v>
                </c:pt>
                <c:pt idx="510">
                  <c:v>0.94393944120409201</c:v>
                </c:pt>
                <c:pt idx="511">
                  <c:v>1.0348788220018068</c:v>
                </c:pt>
                <c:pt idx="512">
                  <c:v>1.4319205376910249</c:v>
                </c:pt>
                <c:pt idx="513">
                  <c:v>0.9980523163814029</c:v>
                </c:pt>
                <c:pt idx="514">
                  <c:v>0.80394629773624349</c:v>
                </c:pt>
                <c:pt idx="515">
                  <c:v>1.8072230157039366</c:v>
                </c:pt>
                <c:pt idx="516">
                  <c:v>1.8998234807639114</c:v>
                </c:pt>
                <c:pt idx="517">
                  <c:v>1.341830306102171</c:v>
                </c:pt>
                <c:pt idx="518">
                  <c:v>1.1479667013354051</c:v>
                </c:pt>
                <c:pt idx="519">
                  <c:v>0.71394794928228122</c:v>
                </c:pt>
                <c:pt idx="520">
                  <c:v>1.7815077382255764</c:v>
                </c:pt>
                <c:pt idx="521">
                  <c:v>1.3092399064701865</c:v>
                </c:pt>
                <c:pt idx="522">
                  <c:v>0.88840255020107639</c:v>
                </c:pt>
                <c:pt idx="523">
                  <c:v>0.69016126445563475</c:v>
                </c:pt>
                <c:pt idx="524">
                  <c:v>0.84476181063909817</c:v>
                </c:pt>
                <c:pt idx="525">
                  <c:v>0.89075211706176638</c:v>
                </c:pt>
                <c:pt idx="526">
                  <c:v>0.81088748829852419</c:v>
                </c:pt>
                <c:pt idx="527">
                  <c:v>0.48976165879568184</c:v>
                </c:pt>
                <c:pt idx="528">
                  <c:v>2.2568981618878765</c:v>
                </c:pt>
                <c:pt idx="529">
                  <c:v>0.53850548711710866</c:v>
                </c:pt>
                <c:pt idx="530">
                  <c:v>0.52761840742406607</c:v>
                </c:pt>
                <c:pt idx="531">
                  <c:v>1.4822078801217562</c:v>
                </c:pt>
                <c:pt idx="532">
                  <c:v>0.49637901214896568</c:v>
                </c:pt>
                <c:pt idx="533">
                  <c:v>1.6020876666649697</c:v>
                </c:pt>
                <c:pt idx="534">
                  <c:v>0.57319717971215489</c:v>
                </c:pt>
                <c:pt idx="535">
                  <c:v>1.9684207527207898</c:v>
                </c:pt>
                <c:pt idx="536">
                  <c:v>1.4413882233947011</c:v>
                </c:pt>
                <c:pt idx="537">
                  <c:v>0.71278521245814352</c:v>
                </c:pt>
                <c:pt idx="538">
                  <c:v>0.49622876361163892</c:v>
                </c:pt>
                <c:pt idx="539">
                  <c:v>0.68374529315607591</c:v>
                </c:pt>
                <c:pt idx="540">
                  <c:v>0.75929597292838968</c:v>
                </c:pt>
                <c:pt idx="541">
                  <c:v>0.75772578011812797</c:v>
                </c:pt>
                <c:pt idx="542">
                  <c:v>1.7492514416621916</c:v>
                </c:pt>
                <c:pt idx="543">
                  <c:v>0.89353483072754114</c:v>
                </c:pt>
                <c:pt idx="544">
                  <c:v>0.61451913667441294</c:v>
                </c:pt>
                <c:pt idx="545">
                  <c:v>1.1232328617474465</c:v>
                </c:pt>
                <c:pt idx="546">
                  <c:v>1.4833387045249984</c:v>
                </c:pt>
                <c:pt idx="547">
                  <c:v>0.86848045753249192</c:v>
                </c:pt>
                <c:pt idx="548">
                  <c:v>0.74082600157618461</c:v>
                </c:pt>
                <c:pt idx="549">
                  <c:v>0.72488862572712986</c:v>
                </c:pt>
                <c:pt idx="550">
                  <c:v>0.76316766027479854</c:v>
                </c:pt>
                <c:pt idx="551">
                  <c:v>0.94629771891019809</c:v>
                </c:pt>
                <c:pt idx="552">
                  <c:v>0.46583486032011856</c:v>
                </c:pt>
                <c:pt idx="553">
                  <c:v>0.9652902029293603</c:v>
                </c:pt>
                <c:pt idx="554">
                  <c:v>0.1934179469796958</c:v>
                </c:pt>
                <c:pt idx="555">
                  <c:v>1.0511735985834116</c:v>
                </c:pt>
                <c:pt idx="556">
                  <c:v>0.98914787909314461</c:v>
                </c:pt>
                <c:pt idx="557">
                  <c:v>0.500580343403765</c:v>
                </c:pt>
                <c:pt idx="558">
                  <c:v>0.72043731940852385</c:v>
                </c:pt>
                <c:pt idx="559">
                  <c:v>2.3461744283313628</c:v>
                </c:pt>
                <c:pt idx="560">
                  <c:v>1.7121996351821174</c:v>
                </c:pt>
                <c:pt idx="561">
                  <c:v>0.45122780497288018</c:v>
                </c:pt>
                <c:pt idx="562">
                  <c:v>0.71166194522397164</c:v>
                </c:pt>
                <c:pt idx="563">
                  <c:v>0.86178637235439393</c:v>
                </c:pt>
                <c:pt idx="564">
                  <c:v>0.97132821013576531</c:v>
                </c:pt>
                <c:pt idx="565">
                  <c:v>1.005172827857433</c:v>
                </c:pt>
                <c:pt idx="566">
                  <c:v>2.0762700038679411</c:v>
                </c:pt>
                <c:pt idx="567">
                  <c:v>0.97538223498639454</c:v>
                </c:pt>
                <c:pt idx="568">
                  <c:v>1.7153228157420415</c:v>
                </c:pt>
                <c:pt idx="569">
                  <c:v>1.5300669683429264</c:v>
                </c:pt>
                <c:pt idx="570">
                  <c:v>1.5184996423540242</c:v>
                </c:pt>
                <c:pt idx="571">
                  <c:v>0.65035587051767174</c:v>
                </c:pt>
                <c:pt idx="572">
                  <c:v>0.97394338426437332</c:v>
                </c:pt>
                <c:pt idx="573">
                  <c:v>0.31357437215266232</c:v>
                </c:pt>
                <c:pt idx="574">
                  <c:v>0.5100690559763873</c:v>
                </c:pt>
                <c:pt idx="575">
                  <c:v>1.2849174911610626</c:v>
                </c:pt>
                <c:pt idx="576">
                  <c:v>0.81026324576821385</c:v>
                </c:pt>
                <c:pt idx="577">
                  <c:v>0.89888612862024564</c:v>
                </c:pt>
                <c:pt idx="578">
                  <c:v>1.0588878507359272</c:v>
                </c:pt>
                <c:pt idx="579">
                  <c:v>1.5847812317572001</c:v>
                </c:pt>
                <c:pt idx="580">
                  <c:v>0.77596002325243929</c:v>
                </c:pt>
                <c:pt idx="581">
                  <c:v>0.56323804076379869</c:v>
                </c:pt>
                <c:pt idx="582">
                  <c:v>1.9344514425598032</c:v>
                </c:pt>
                <c:pt idx="583">
                  <c:v>0.93852597166452778</c:v>
                </c:pt>
                <c:pt idx="584">
                  <c:v>1.0709295565166073</c:v>
                </c:pt>
                <c:pt idx="585">
                  <c:v>1.0376107829063266</c:v>
                </c:pt>
                <c:pt idx="586">
                  <c:v>0.56619123351373601</c:v>
                </c:pt>
                <c:pt idx="587">
                  <c:v>0.66915622270283326</c:v>
                </c:pt>
                <c:pt idx="588">
                  <c:v>0.54131737482986442</c:v>
                </c:pt>
                <c:pt idx="589">
                  <c:v>2.328009286681274</c:v>
                </c:pt>
                <c:pt idx="590">
                  <c:v>1.2201544238771138</c:v>
                </c:pt>
                <c:pt idx="591">
                  <c:v>1.8303133679221613</c:v>
                </c:pt>
                <c:pt idx="592">
                  <c:v>1.3840378791821943</c:v>
                </c:pt>
                <c:pt idx="593">
                  <c:v>0.75239564877871046</c:v>
                </c:pt>
                <c:pt idx="594">
                  <c:v>1.2653255825678824</c:v>
                </c:pt>
                <c:pt idx="595">
                  <c:v>1.1157665792847944</c:v>
                </c:pt>
                <c:pt idx="596">
                  <c:v>0.87111167822048718</c:v>
                </c:pt>
                <c:pt idx="597">
                  <c:v>1.0045522353883893</c:v>
                </c:pt>
                <c:pt idx="598">
                  <c:v>0.48671496855726903</c:v>
                </c:pt>
                <c:pt idx="599">
                  <c:v>1.0600704684087172</c:v>
                </c:pt>
                <c:pt idx="600">
                  <c:v>1.0103611103282737</c:v>
                </c:pt>
                <c:pt idx="601">
                  <c:v>0.80166737694823498</c:v>
                </c:pt>
                <c:pt idx="602">
                  <c:v>1.0202618522203288</c:v>
                </c:pt>
                <c:pt idx="603">
                  <c:v>1.4830484830321888</c:v>
                </c:pt>
                <c:pt idx="604">
                  <c:v>2.3035690248637928</c:v>
                </c:pt>
                <c:pt idx="605">
                  <c:v>1.1365831905997053</c:v>
                </c:pt>
                <c:pt idx="606">
                  <c:v>3.3388709025645196</c:v>
                </c:pt>
                <c:pt idx="607">
                  <c:v>0.49588245997356323</c:v>
                </c:pt>
                <c:pt idx="608">
                  <c:v>1.4296878173959153</c:v>
                </c:pt>
                <c:pt idx="609">
                  <c:v>0.9817555304652249</c:v>
                </c:pt>
                <c:pt idx="610">
                  <c:v>1.7731216941848242</c:v>
                </c:pt>
                <c:pt idx="611">
                  <c:v>0.83410008749997766</c:v>
                </c:pt>
                <c:pt idx="612">
                  <c:v>1.7478365606191306</c:v>
                </c:pt>
                <c:pt idx="613">
                  <c:v>1.352940605055778</c:v>
                </c:pt>
                <c:pt idx="614">
                  <c:v>1.2360721159201733</c:v>
                </c:pt>
                <c:pt idx="615">
                  <c:v>2.3086689061743311</c:v>
                </c:pt>
                <c:pt idx="616">
                  <c:v>0.68944926653358518</c:v>
                </c:pt>
                <c:pt idx="617">
                  <c:v>1.7101698470530713</c:v>
                </c:pt>
                <c:pt idx="618">
                  <c:v>1.2810634317532188</c:v>
                </c:pt>
                <c:pt idx="619">
                  <c:v>1.4933277032035175</c:v>
                </c:pt>
                <c:pt idx="620">
                  <c:v>0.70885467415258452</c:v>
                </c:pt>
                <c:pt idx="621">
                  <c:v>1.8227928496271686</c:v>
                </c:pt>
                <c:pt idx="622">
                  <c:v>0.21286140096008915</c:v>
                </c:pt>
                <c:pt idx="623">
                  <c:v>0.92918964576013463</c:v>
                </c:pt>
                <c:pt idx="624">
                  <c:v>0.44689990647932576</c:v>
                </c:pt>
                <c:pt idx="625">
                  <c:v>0.36659675007185072</c:v>
                </c:pt>
                <c:pt idx="626">
                  <c:v>1.3467071354031319</c:v>
                </c:pt>
                <c:pt idx="627">
                  <c:v>0.45190472505215384</c:v>
                </c:pt>
                <c:pt idx="628">
                  <c:v>0.72549060326161352</c:v>
                </c:pt>
                <c:pt idx="629">
                  <c:v>0.77239405810334116</c:v>
                </c:pt>
                <c:pt idx="630">
                  <c:v>0.91390142726697154</c:v>
                </c:pt>
                <c:pt idx="631">
                  <c:v>0.92370539121939588</c:v>
                </c:pt>
                <c:pt idx="632">
                  <c:v>0.49351132670842907</c:v>
                </c:pt>
                <c:pt idx="633">
                  <c:v>2.5491004274343951</c:v>
                </c:pt>
                <c:pt idx="634">
                  <c:v>0.29612227210643594</c:v>
                </c:pt>
                <c:pt idx="635">
                  <c:v>0.7069648631483062</c:v>
                </c:pt>
                <c:pt idx="636">
                  <c:v>1.2375303782044951</c:v>
                </c:pt>
                <c:pt idx="637">
                  <c:v>1.4040138310521109</c:v>
                </c:pt>
                <c:pt idx="638">
                  <c:v>2.3433075098178127</c:v>
                </c:pt>
                <c:pt idx="639">
                  <c:v>1.2508937914310778</c:v>
                </c:pt>
                <c:pt idx="640">
                  <c:v>0.84877365748598721</c:v>
                </c:pt>
                <c:pt idx="641">
                  <c:v>1.2661380879030673</c:v>
                </c:pt>
                <c:pt idx="642">
                  <c:v>1.3620259309970733</c:v>
                </c:pt>
                <c:pt idx="643">
                  <c:v>0.66190110249780298</c:v>
                </c:pt>
                <c:pt idx="644">
                  <c:v>0.49311490023003662</c:v>
                </c:pt>
                <c:pt idx="645">
                  <c:v>0.78771858698945174</c:v>
                </c:pt>
                <c:pt idx="646">
                  <c:v>0.58275707559734247</c:v>
                </c:pt>
                <c:pt idx="647">
                  <c:v>1.393045959400339</c:v>
                </c:pt>
                <c:pt idx="648">
                  <c:v>0.41988370543828368</c:v>
                </c:pt>
                <c:pt idx="649">
                  <c:v>0.59136245731024739</c:v>
                </c:pt>
                <c:pt idx="650">
                  <c:v>1.2319776149322184</c:v>
                </c:pt>
                <c:pt idx="651">
                  <c:v>0.56328581022185742</c:v>
                </c:pt>
                <c:pt idx="652">
                  <c:v>0.4750762121096323</c:v>
                </c:pt>
                <c:pt idx="653">
                  <c:v>0.9564099778275259</c:v>
                </c:pt>
                <c:pt idx="654">
                  <c:v>2.1199172098259096</c:v>
                </c:pt>
                <c:pt idx="655">
                  <c:v>1.0332023665808932</c:v>
                </c:pt>
                <c:pt idx="656">
                  <c:v>0.69474272787822999</c:v>
                </c:pt>
                <c:pt idx="657">
                  <c:v>1.1368702080892492</c:v>
                </c:pt>
                <c:pt idx="658">
                  <c:v>0.47868952364339507</c:v>
                </c:pt>
                <c:pt idx="659">
                  <c:v>0.5633994000547734</c:v>
                </c:pt>
                <c:pt idx="660">
                  <c:v>1.9173508895160292</c:v>
                </c:pt>
                <c:pt idx="661">
                  <c:v>1.8599913494568474</c:v>
                </c:pt>
                <c:pt idx="662">
                  <c:v>0.95867460291813134</c:v>
                </c:pt>
                <c:pt idx="663">
                  <c:v>0.40360229774423118</c:v>
                </c:pt>
                <c:pt idx="664">
                  <c:v>1.2629270689262029</c:v>
                </c:pt>
                <c:pt idx="665">
                  <c:v>0.58382840846817097</c:v>
                </c:pt>
                <c:pt idx="666">
                  <c:v>1.9399075922399454</c:v>
                </c:pt>
                <c:pt idx="667">
                  <c:v>0.49110936445205605</c:v>
                </c:pt>
                <c:pt idx="668">
                  <c:v>0.79828351858957447</c:v>
                </c:pt>
                <c:pt idx="669">
                  <c:v>0.75767816774125218</c:v>
                </c:pt>
                <c:pt idx="670">
                  <c:v>1.4269801031715483</c:v>
                </c:pt>
                <c:pt idx="671">
                  <c:v>0.82802901647878646</c:v>
                </c:pt>
                <c:pt idx="672">
                  <c:v>1.2305924256972836</c:v>
                </c:pt>
                <c:pt idx="673">
                  <c:v>1.1409193574675631</c:v>
                </c:pt>
                <c:pt idx="674">
                  <c:v>1.6672965308184327</c:v>
                </c:pt>
                <c:pt idx="675">
                  <c:v>0.88348738524139947</c:v>
                </c:pt>
                <c:pt idx="676">
                  <c:v>1.4223600382438746</c:v>
                </c:pt>
                <c:pt idx="677">
                  <c:v>0.36452353448641628</c:v>
                </c:pt>
                <c:pt idx="678">
                  <c:v>0.72437460576034363</c:v>
                </c:pt>
                <c:pt idx="679">
                  <c:v>0.74975058909156467</c:v>
                </c:pt>
                <c:pt idx="680">
                  <c:v>1.8408236072369968</c:v>
                </c:pt>
                <c:pt idx="681">
                  <c:v>0.51075592407546955</c:v>
                </c:pt>
                <c:pt idx="682">
                  <c:v>0.54407886787002047</c:v>
                </c:pt>
                <c:pt idx="683">
                  <c:v>1.0421847654285701</c:v>
                </c:pt>
                <c:pt idx="684">
                  <c:v>0.59170840960322346</c:v>
                </c:pt>
                <c:pt idx="685">
                  <c:v>1.2716552832219139</c:v>
                </c:pt>
                <c:pt idx="686">
                  <c:v>0.42846529555926394</c:v>
                </c:pt>
                <c:pt idx="687">
                  <c:v>0.61970826479629559</c:v>
                </c:pt>
                <c:pt idx="688">
                  <c:v>1.9987963585288437</c:v>
                </c:pt>
                <c:pt idx="689">
                  <c:v>0.64037963437203238</c:v>
                </c:pt>
                <c:pt idx="690">
                  <c:v>1.0223342633825352</c:v>
                </c:pt>
                <c:pt idx="691">
                  <c:v>1.4101079937947498</c:v>
                </c:pt>
                <c:pt idx="692">
                  <c:v>0.36694662011129442</c:v>
                </c:pt>
                <c:pt idx="693">
                  <c:v>1.2300153693037437</c:v>
                </c:pt>
                <c:pt idx="694">
                  <c:v>0.64626541879256594</c:v>
                </c:pt>
                <c:pt idx="695">
                  <c:v>1.8116774555295019</c:v>
                </c:pt>
                <c:pt idx="696">
                  <c:v>0.40629777108312803</c:v>
                </c:pt>
                <c:pt idx="697">
                  <c:v>0.48586757328862368</c:v>
                </c:pt>
                <c:pt idx="698">
                  <c:v>0.28706708140738535</c:v>
                </c:pt>
                <c:pt idx="699">
                  <c:v>0.62553590823587257</c:v>
                </c:pt>
                <c:pt idx="700">
                  <c:v>0.16058991625122765</c:v>
                </c:pt>
                <c:pt idx="701">
                  <c:v>0.69804539281164324</c:v>
                </c:pt>
                <c:pt idx="702">
                  <c:v>0.94749063457812888</c:v>
                </c:pt>
                <c:pt idx="703">
                  <c:v>1.323554281643003</c:v>
                </c:pt>
                <c:pt idx="704">
                  <c:v>0.50133191098712437</c:v>
                </c:pt>
                <c:pt idx="705">
                  <c:v>0.87512929121433813</c:v>
                </c:pt>
                <c:pt idx="706">
                  <c:v>0.85838697646526974</c:v>
                </c:pt>
                <c:pt idx="707">
                  <c:v>1.7368343794448002</c:v>
                </c:pt>
                <c:pt idx="708">
                  <c:v>0.48565602349395925</c:v>
                </c:pt>
                <c:pt idx="709">
                  <c:v>1.1594077885081306</c:v>
                </c:pt>
                <c:pt idx="710">
                  <c:v>1.7714909104716876</c:v>
                </c:pt>
                <c:pt idx="711">
                  <c:v>0.56416917000111733</c:v>
                </c:pt>
                <c:pt idx="712">
                  <c:v>1.5589336882113796</c:v>
                </c:pt>
                <c:pt idx="713">
                  <c:v>1.0888969937268693</c:v>
                </c:pt>
                <c:pt idx="714">
                  <c:v>1.0402820867852651</c:v>
                </c:pt>
                <c:pt idx="715">
                  <c:v>0.86966610026715674</c:v>
                </c:pt>
                <c:pt idx="716">
                  <c:v>0.82409518148322702</c:v>
                </c:pt>
                <c:pt idx="717">
                  <c:v>1.6712183891765213</c:v>
                </c:pt>
                <c:pt idx="718">
                  <c:v>0.45827409635700694</c:v>
                </c:pt>
                <c:pt idx="719">
                  <c:v>0.95912897054365898</c:v>
                </c:pt>
                <c:pt idx="720">
                  <c:v>0.71446355081350921</c:v>
                </c:pt>
                <c:pt idx="721">
                  <c:v>0.5175124639673333</c:v>
                </c:pt>
                <c:pt idx="722">
                  <c:v>1.3171963202786598</c:v>
                </c:pt>
                <c:pt idx="723">
                  <c:v>0.66604808288220618</c:v>
                </c:pt>
                <c:pt idx="724">
                  <c:v>0.30295665664563903</c:v>
                </c:pt>
                <c:pt idx="725">
                  <c:v>1.2413730791930706</c:v>
                </c:pt>
                <c:pt idx="726">
                  <c:v>0.1815794527006882</c:v>
                </c:pt>
                <c:pt idx="727">
                  <c:v>2.695088937821251</c:v>
                </c:pt>
                <c:pt idx="728">
                  <c:v>0.65782172718902099</c:v>
                </c:pt>
                <c:pt idx="729">
                  <c:v>1.6836345080567652</c:v>
                </c:pt>
                <c:pt idx="730">
                  <c:v>0.63156958236634231</c:v>
                </c:pt>
                <c:pt idx="731">
                  <c:v>1.1488963951514692</c:v>
                </c:pt>
                <c:pt idx="732">
                  <c:v>0.76100369004218027</c:v>
                </c:pt>
                <c:pt idx="733">
                  <c:v>0.54940675831228214</c:v>
                </c:pt>
                <c:pt idx="734">
                  <c:v>0.91170135423850307</c:v>
                </c:pt>
                <c:pt idx="735">
                  <c:v>2.1870264934390429</c:v>
                </c:pt>
                <c:pt idx="736">
                  <c:v>0.74054301383234633</c:v>
                </c:pt>
                <c:pt idx="737">
                  <c:v>1.2286115323202815</c:v>
                </c:pt>
                <c:pt idx="738">
                  <c:v>1.0993818302497937</c:v>
                </c:pt>
                <c:pt idx="739">
                  <c:v>0.98874371504250091</c:v>
                </c:pt>
                <c:pt idx="740">
                  <c:v>0.79108222136667161</c:v>
                </c:pt>
                <c:pt idx="741">
                  <c:v>2.7148998443797043</c:v>
                </c:pt>
                <c:pt idx="742">
                  <c:v>0.75190672821236715</c:v>
                </c:pt>
                <c:pt idx="743">
                  <c:v>0.47053077717154057</c:v>
                </c:pt>
                <c:pt idx="744">
                  <c:v>0.86111568926492355</c:v>
                </c:pt>
                <c:pt idx="745">
                  <c:v>0.8707252481523402</c:v>
                </c:pt>
                <c:pt idx="746">
                  <c:v>0.70317309054302723</c:v>
                </c:pt>
                <c:pt idx="747">
                  <c:v>0.77231897227997526</c:v>
                </c:pt>
                <c:pt idx="748">
                  <c:v>0.30540770943357914</c:v>
                </c:pt>
                <c:pt idx="749">
                  <c:v>0.24636760271326361</c:v>
                </c:pt>
                <c:pt idx="750">
                  <c:v>1.5607974450857938</c:v>
                </c:pt>
                <c:pt idx="751">
                  <c:v>1.1213494735499239</c:v>
                </c:pt>
                <c:pt idx="752">
                  <c:v>1.3748780404199696</c:v>
                </c:pt>
                <c:pt idx="753">
                  <c:v>2.0928216536262525</c:v>
                </c:pt>
                <c:pt idx="754">
                  <c:v>2.7686083194026008</c:v>
                </c:pt>
                <c:pt idx="755">
                  <c:v>1.3381926491359335</c:v>
                </c:pt>
                <c:pt idx="756">
                  <c:v>1.1936898143450037</c:v>
                </c:pt>
                <c:pt idx="757">
                  <c:v>0.72970555499365608</c:v>
                </c:pt>
                <c:pt idx="758">
                  <c:v>0.40539235067785467</c:v>
                </c:pt>
                <c:pt idx="759">
                  <c:v>0.55536773387561056</c:v>
                </c:pt>
                <c:pt idx="760">
                  <c:v>0.6907624198154233</c:v>
                </c:pt>
                <c:pt idx="761">
                  <c:v>0.29967740168213208</c:v>
                </c:pt>
                <c:pt idx="762">
                  <c:v>0.92814287694415143</c:v>
                </c:pt>
                <c:pt idx="763">
                  <c:v>0.43853246442412624</c:v>
                </c:pt>
                <c:pt idx="764">
                  <c:v>0.31269127815579906</c:v>
                </c:pt>
                <c:pt idx="765">
                  <c:v>0.52777549989436912</c:v>
                </c:pt>
                <c:pt idx="766">
                  <c:v>0.58110628702295475</c:v>
                </c:pt>
                <c:pt idx="767">
                  <c:v>1.308842916804124</c:v>
                </c:pt>
                <c:pt idx="768">
                  <c:v>1.1338433175835738</c:v>
                </c:pt>
                <c:pt idx="769">
                  <c:v>1.0963236421904592</c:v>
                </c:pt>
                <c:pt idx="770">
                  <c:v>0.55032739009793086</c:v>
                </c:pt>
                <c:pt idx="771">
                  <c:v>0.90503459576520473</c:v>
                </c:pt>
                <c:pt idx="772">
                  <c:v>0.57884225252479593</c:v>
                </c:pt>
                <c:pt idx="773">
                  <c:v>0.40645981257653896</c:v>
                </c:pt>
                <c:pt idx="774">
                  <c:v>1.258803067890615</c:v>
                </c:pt>
                <c:pt idx="775">
                  <c:v>0.74201204452859715</c:v>
                </c:pt>
                <c:pt idx="776">
                  <c:v>1.2570770320099949</c:v>
                </c:pt>
                <c:pt idx="777">
                  <c:v>0.44827662777035121</c:v>
                </c:pt>
                <c:pt idx="778">
                  <c:v>0.53326102022394151</c:v>
                </c:pt>
                <c:pt idx="779">
                  <c:v>1.1075001280428904</c:v>
                </c:pt>
                <c:pt idx="780">
                  <c:v>0.75606933541692745</c:v>
                </c:pt>
                <c:pt idx="781">
                  <c:v>1.5324272422589922</c:v>
                </c:pt>
                <c:pt idx="782">
                  <c:v>1.4639866157172852</c:v>
                </c:pt>
                <c:pt idx="783">
                  <c:v>0.59428812109373974</c:v>
                </c:pt>
                <c:pt idx="784">
                  <c:v>0.3248425663065006</c:v>
                </c:pt>
                <c:pt idx="785">
                  <c:v>1.0691024386419232</c:v>
                </c:pt>
                <c:pt idx="786">
                  <c:v>0.35596344890791987</c:v>
                </c:pt>
                <c:pt idx="787">
                  <c:v>0.51040171200425355</c:v>
                </c:pt>
                <c:pt idx="788">
                  <c:v>0.72611140396465301</c:v>
                </c:pt>
                <c:pt idx="789">
                  <c:v>0.8841207811363575</c:v>
                </c:pt>
                <c:pt idx="790">
                  <c:v>0.89743386667433978</c:v>
                </c:pt>
                <c:pt idx="791">
                  <c:v>1.5650834825516058</c:v>
                </c:pt>
                <c:pt idx="792">
                  <c:v>1.0366214156327669</c:v>
                </c:pt>
                <c:pt idx="793">
                  <c:v>0.62333442624615865</c:v>
                </c:pt>
                <c:pt idx="794">
                  <c:v>0.53058279463881974</c:v>
                </c:pt>
                <c:pt idx="795">
                  <c:v>0.43742404312095118</c:v>
                </c:pt>
                <c:pt idx="796">
                  <c:v>2.3459237194702904</c:v>
                </c:pt>
                <c:pt idx="797">
                  <c:v>1.7608039180707298</c:v>
                </c:pt>
                <c:pt idx="798">
                  <c:v>0.27053824467055565</c:v>
                </c:pt>
                <c:pt idx="799">
                  <c:v>1.2100369569235505</c:v>
                </c:pt>
                <c:pt idx="800">
                  <c:v>1.1716514402135234</c:v>
                </c:pt>
                <c:pt idx="801">
                  <c:v>2.4462614055136775</c:v>
                </c:pt>
                <c:pt idx="802">
                  <c:v>0.55152893172823203</c:v>
                </c:pt>
                <c:pt idx="803">
                  <c:v>0.96774839106831723</c:v>
                </c:pt>
                <c:pt idx="804">
                  <c:v>2.0988624425714573</c:v>
                </c:pt>
                <c:pt idx="805">
                  <c:v>0.56805397488198039</c:v>
                </c:pt>
                <c:pt idx="806">
                  <c:v>2.2490835166862517</c:v>
                </c:pt>
                <c:pt idx="807">
                  <c:v>1.2572318984755155</c:v>
                </c:pt>
                <c:pt idx="808">
                  <c:v>0.73640030779872845</c:v>
                </c:pt>
                <c:pt idx="809">
                  <c:v>1.048747693726974</c:v>
                </c:pt>
                <c:pt idx="810">
                  <c:v>0.77759039444787625</c:v>
                </c:pt>
                <c:pt idx="811">
                  <c:v>0.63539377270837871</c:v>
                </c:pt>
                <c:pt idx="812">
                  <c:v>0.66776843372311556</c:v>
                </c:pt>
                <c:pt idx="813">
                  <c:v>0.7442906518216017</c:v>
                </c:pt>
                <c:pt idx="814">
                  <c:v>1.5019580770378289</c:v>
                </c:pt>
                <c:pt idx="815">
                  <c:v>0.90353254328456489</c:v>
                </c:pt>
                <c:pt idx="816">
                  <c:v>0.97844589601980236</c:v>
                </c:pt>
                <c:pt idx="817">
                  <c:v>0.59920783567172531</c:v>
                </c:pt>
                <c:pt idx="818">
                  <c:v>0.78034260132842326</c:v>
                </c:pt>
                <c:pt idx="819">
                  <c:v>1.2781485598567508</c:v>
                </c:pt>
                <c:pt idx="820">
                  <c:v>0.77233145403612202</c:v>
                </c:pt>
                <c:pt idx="821">
                  <c:v>1.1774427171479349</c:v>
                </c:pt>
                <c:pt idx="822">
                  <c:v>0.2717587935863911</c:v>
                </c:pt>
                <c:pt idx="823">
                  <c:v>1.8605507756015309</c:v>
                </c:pt>
                <c:pt idx="824">
                  <c:v>1.1421038516823585</c:v>
                </c:pt>
                <c:pt idx="825">
                  <c:v>1.5013705054047235</c:v>
                </c:pt>
                <c:pt idx="826">
                  <c:v>0.26649358365944448</c:v>
                </c:pt>
                <c:pt idx="827">
                  <c:v>0.75886813842630219</c:v>
                </c:pt>
                <c:pt idx="828">
                  <c:v>0.68056612504825076</c:v>
                </c:pt>
                <c:pt idx="829">
                  <c:v>0.54966266756820703</c:v>
                </c:pt>
                <c:pt idx="830">
                  <c:v>1.1391910295831982</c:v>
                </c:pt>
                <c:pt idx="831">
                  <c:v>0.55203779667413477</c:v>
                </c:pt>
                <c:pt idx="832">
                  <c:v>1.5150412140883627</c:v>
                </c:pt>
                <c:pt idx="833">
                  <c:v>0.61944450914487581</c:v>
                </c:pt>
                <c:pt idx="834">
                  <c:v>1.7036232228709045</c:v>
                </c:pt>
                <c:pt idx="835">
                  <c:v>1.2875284154106479</c:v>
                </c:pt>
                <c:pt idx="836">
                  <c:v>0.26890751775765792</c:v>
                </c:pt>
                <c:pt idx="837">
                  <c:v>2.157527559644647</c:v>
                </c:pt>
                <c:pt idx="838">
                  <c:v>1.0415566792502351</c:v>
                </c:pt>
                <c:pt idx="839">
                  <c:v>0.98837951881916808</c:v>
                </c:pt>
                <c:pt idx="840">
                  <c:v>0.60820946119899344</c:v>
                </c:pt>
                <c:pt idx="841">
                  <c:v>1.1792522403216319</c:v>
                </c:pt>
                <c:pt idx="842">
                  <c:v>0.50255890386451907</c:v>
                </c:pt>
                <c:pt idx="843">
                  <c:v>0.95069111150696817</c:v>
                </c:pt>
                <c:pt idx="844">
                  <c:v>0.57466187617154074</c:v>
                </c:pt>
                <c:pt idx="845">
                  <c:v>0.9154524820280584</c:v>
                </c:pt>
                <c:pt idx="846">
                  <c:v>0.88034354034599027</c:v>
                </c:pt>
                <c:pt idx="847">
                  <c:v>1.1395517990240649</c:v>
                </c:pt>
                <c:pt idx="848">
                  <c:v>1.1133540178180048</c:v>
                </c:pt>
                <c:pt idx="849">
                  <c:v>0.87812848785609676</c:v>
                </c:pt>
                <c:pt idx="850">
                  <c:v>0.20321326255545849</c:v>
                </c:pt>
                <c:pt idx="851">
                  <c:v>1.0821589146433517</c:v>
                </c:pt>
                <c:pt idx="852">
                  <c:v>0.83647436776803452</c:v>
                </c:pt>
                <c:pt idx="853">
                  <c:v>1.0961482144165873</c:v>
                </c:pt>
                <c:pt idx="854">
                  <c:v>1.3176597622919439</c:v>
                </c:pt>
                <c:pt idx="855">
                  <c:v>0.87008628746829608</c:v>
                </c:pt>
                <c:pt idx="856">
                  <c:v>1.2320744359513967</c:v>
                </c:pt>
                <c:pt idx="857">
                  <c:v>0.39485912882571211</c:v>
                </c:pt>
                <c:pt idx="858">
                  <c:v>0.58783818519475284</c:v>
                </c:pt>
                <c:pt idx="859">
                  <c:v>0.5684695953937815</c:v>
                </c:pt>
                <c:pt idx="860">
                  <c:v>0.64802256381002865</c:v>
                </c:pt>
                <c:pt idx="861">
                  <c:v>1.7667713150050979</c:v>
                </c:pt>
                <c:pt idx="862">
                  <c:v>0.49571446227165428</c:v>
                </c:pt>
                <c:pt idx="863">
                  <c:v>0.72897969927550688</c:v>
                </c:pt>
                <c:pt idx="864">
                  <c:v>1.5762286685555098</c:v>
                </c:pt>
                <c:pt idx="865">
                  <c:v>0.80728738279004064</c:v>
                </c:pt>
                <c:pt idx="866">
                  <c:v>0.33996524262006234</c:v>
                </c:pt>
                <c:pt idx="867">
                  <c:v>0.92236701556525369</c:v>
                </c:pt>
                <c:pt idx="868">
                  <c:v>0.75279177458800572</c:v>
                </c:pt>
                <c:pt idx="869">
                  <c:v>0.43497590106561324</c:v>
                </c:pt>
                <c:pt idx="870">
                  <c:v>0.9852389172696806</c:v>
                </c:pt>
                <c:pt idx="871">
                  <c:v>1.5264390493988917</c:v>
                </c:pt>
                <c:pt idx="872">
                  <c:v>0.89286055575709744</c:v>
                </c:pt>
                <c:pt idx="873">
                  <c:v>0.61327519634873329</c:v>
                </c:pt>
                <c:pt idx="874">
                  <c:v>0.93758905194386788</c:v>
                </c:pt>
                <c:pt idx="875">
                  <c:v>0.76025158207839716</c:v>
                </c:pt>
                <c:pt idx="876">
                  <c:v>0.79646340715054453</c:v>
                </c:pt>
                <c:pt idx="877">
                  <c:v>1.2119627170838743</c:v>
                </c:pt>
                <c:pt idx="878">
                  <c:v>1.4945538566643335</c:v>
                </c:pt>
                <c:pt idx="879">
                  <c:v>1.0868729364554821</c:v>
                </c:pt>
                <c:pt idx="880">
                  <c:v>0.3170947519311233</c:v>
                </c:pt>
                <c:pt idx="881">
                  <c:v>1.2662147445576404</c:v>
                </c:pt>
                <c:pt idx="882">
                  <c:v>0.73666045308190953</c:v>
                </c:pt>
                <c:pt idx="883">
                  <c:v>1.6827238015018362</c:v>
                </c:pt>
                <c:pt idx="884">
                  <c:v>1.1892110135721867</c:v>
                </c:pt>
                <c:pt idx="885">
                  <c:v>0.3487990780150822</c:v>
                </c:pt>
                <c:pt idx="886">
                  <c:v>1.8368894622974952</c:v>
                </c:pt>
                <c:pt idx="887">
                  <c:v>0.83216457198245841</c:v>
                </c:pt>
                <c:pt idx="888">
                  <c:v>0.97623415549356207</c:v>
                </c:pt>
                <c:pt idx="889">
                  <c:v>1.3943892330073695</c:v>
                </c:pt>
                <c:pt idx="890">
                  <c:v>1.0282399208823618</c:v>
                </c:pt>
                <c:pt idx="891">
                  <c:v>0.78608056528817871</c:v>
                </c:pt>
                <c:pt idx="892">
                  <c:v>0.63867402812278173</c:v>
                </c:pt>
                <c:pt idx="893">
                  <c:v>1.3097615316516249</c:v>
                </c:pt>
                <c:pt idx="894">
                  <c:v>1.4723667804641425</c:v>
                </c:pt>
                <c:pt idx="895">
                  <c:v>1.5915065527568908</c:v>
                </c:pt>
                <c:pt idx="896">
                  <c:v>1.1043191456125425</c:v>
                </c:pt>
                <c:pt idx="897">
                  <c:v>0.35140025988210205</c:v>
                </c:pt>
                <c:pt idx="898">
                  <c:v>0.62700288619603262</c:v>
                </c:pt>
                <c:pt idx="899">
                  <c:v>0.83698391604756051</c:v>
                </c:pt>
                <c:pt idx="900">
                  <c:v>1.022017710305869</c:v>
                </c:pt>
                <c:pt idx="901">
                  <c:v>0.42811705843183567</c:v>
                </c:pt>
                <c:pt idx="902">
                  <c:v>0.63466378252313804</c:v>
                </c:pt>
                <c:pt idx="903">
                  <c:v>0.96216385435844465</c:v>
                </c:pt>
                <c:pt idx="904">
                  <c:v>1.4601820761532631</c:v>
                </c:pt>
                <c:pt idx="905">
                  <c:v>0.52187278267760928</c:v>
                </c:pt>
                <c:pt idx="906">
                  <c:v>1.4692445820269964</c:v>
                </c:pt>
                <c:pt idx="907">
                  <c:v>0.73679445166560309</c:v>
                </c:pt>
                <c:pt idx="908">
                  <c:v>1.4674737734718608</c:v>
                </c:pt>
                <c:pt idx="909">
                  <c:v>1.0328474377131953</c:v>
                </c:pt>
                <c:pt idx="910">
                  <c:v>0.70663863053050435</c:v>
                </c:pt>
                <c:pt idx="911">
                  <c:v>1.2759270763841037</c:v>
                </c:pt>
                <c:pt idx="912">
                  <c:v>0.46571787980913171</c:v>
                </c:pt>
                <c:pt idx="913">
                  <c:v>1.4042283958564326</c:v>
                </c:pt>
                <c:pt idx="914">
                  <c:v>1.7394087374581628</c:v>
                </c:pt>
                <c:pt idx="915">
                  <c:v>0.85104320015820523</c:v>
                </c:pt>
                <c:pt idx="916">
                  <c:v>1.6383508283370958</c:v>
                </c:pt>
                <c:pt idx="917">
                  <c:v>0.8745829590477433</c:v>
                </c:pt>
                <c:pt idx="918">
                  <c:v>1.0963178833520093</c:v>
                </c:pt>
                <c:pt idx="919">
                  <c:v>1.660311248784377</c:v>
                </c:pt>
                <c:pt idx="920">
                  <c:v>0.73590150869823923</c:v>
                </c:pt>
                <c:pt idx="921">
                  <c:v>1.3165181316946952</c:v>
                </c:pt>
                <c:pt idx="922">
                  <c:v>0.8928575568661008</c:v>
                </c:pt>
                <c:pt idx="923">
                  <c:v>0.40858052071298012</c:v>
                </c:pt>
                <c:pt idx="924">
                  <c:v>0.53898382151662139</c:v>
                </c:pt>
                <c:pt idx="925">
                  <c:v>1.6054875871053889</c:v>
                </c:pt>
                <c:pt idx="926">
                  <c:v>0.93691787045831831</c:v>
                </c:pt>
                <c:pt idx="927">
                  <c:v>0.91264893066240627</c:v>
                </c:pt>
                <c:pt idx="928">
                  <c:v>0.57239024452788922</c:v>
                </c:pt>
                <c:pt idx="929">
                  <c:v>1.2422380804730615</c:v>
                </c:pt>
                <c:pt idx="930">
                  <c:v>0.44884324952443272</c:v>
                </c:pt>
                <c:pt idx="931">
                  <c:v>1.269556784519932</c:v>
                </c:pt>
                <c:pt idx="932">
                  <c:v>0.4169157713023845</c:v>
                </c:pt>
                <c:pt idx="933">
                  <c:v>1.076236850487162</c:v>
                </c:pt>
                <c:pt idx="934">
                  <c:v>0.95620650437710031</c:v>
                </c:pt>
                <c:pt idx="935">
                  <c:v>1.266489396488311</c:v>
                </c:pt>
                <c:pt idx="936">
                  <c:v>1.2027131342605057</c:v>
                </c:pt>
                <c:pt idx="937">
                  <c:v>1.1759584413470932</c:v>
                </c:pt>
                <c:pt idx="938">
                  <c:v>0.3071984319760212</c:v>
                </c:pt>
                <c:pt idx="939">
                  <c:v>2.5993590901116659</c:v>
                </c:pt>
                <c:pt idx="940">
                  <c:v>1.0463160280049186</c:v>
                </c:pt>
                <c:pt idx="941">
                  <c:v>0.51151307495973175</c:v>
                </c:pt>
                <c:pt idx="942">
                  <c:v>1.4429026619855241</c:v>
                </c:pt>
                <c:pt idx="943">
                  <c:v>0.58116488329603522</c:v>
                </c:pt>
                <c:pt idx="944">
                  <c:v>2.1226979146126661</c:v>
                </c:pt>
                <c:pt idx="945">
                  <c:v>1.4259769618145555</c:v>
                </c:pt>
                <c:pt idx="946">
                  <c:v>1.2867603540568984</c:v>
                </c:pt>
                <c:pt idx="947">
                  <c:v>0.75164883825877959</c:v>
                </c:pt>
                <c:pt idx="948">
                  <c:v>1.8907945196395373</c:v>
                </c:pt>
                <c:pt idx="949">
                  <c:v>1.0296347361270985</c:v>
                </c:pt>
                <c:pt idx="950">
                  <c:v>0.47143872999907988</c:v>
                </c:pt>
                <c:pt idx="951">
                  <c:v>0.9555516985026673</c:v>
                </c:pt>
                <c:pt idx="952">
                  <c:v>0.33924021615802796</c:v>
                </c:pt>
                <c:pt idx="953">
                  <c:v>0.97486542919451269</c:v>
                </c:pt>
                <c:pt idx="954">
                  <c:v>0.84266569211569042</c:v>
                </c:pt>
                <c:pt idx="955">
                  <c:v>0.30057061322597656</c:v>
                </c:pt>
                <c:pt idx="956">
                  <c:v>0.44617687197659295</c:v>
                </c:pt>
                <c:pt idx="957">
                  <c:v>0.80520733563391422</c:v>
                </c:pt>
                <c:pt idx="958">
                  <c:v>1.7246122435286348</c:v>
                </c:pt>
                <c:pt idx="959">
                  <c:v>1.6495310425755194</c:v>
                </c:pt>
                <c:pt idx="960">
                  <c:v>0.62990498443978249</c:v>
                </c:pt>
                <c:pt idx="961">
                  <c:v>0.81856460121007324</c:v>
                </c:pt>
                <c:pt idx="962">
                  <c:v>1.4786208765486422</c:v>
                </c:pt>
                <c:pt idx="963">
                  <c:v>0.85877529565099964</c:v>
                </c:pt>
                <c:pt idx="964">
                  <c:v>0.50426031000358951</c:v>
                </c:pt>
                <c:pt idx="965">
                  <c:v>0.57280192488998749</c:v>
                </c:pt>
                <c:pt idx="966">
                  <c:v>1.6618805910195729</c:v>
                </c:pt>
                <c:pt idx="967">
                  <c:v>1.2685801074465795</c:v>
                </c:pt>
                <c:pt idx="968">
                  <c:v>0.7411976408302603</c:v>
                </c:pt>
                <c:pt idx="969">
                  <c:v>0.31994697373819392</c:v>
                </c:pt>
                <c:pt idx="970">
                  <c:v>0.286364081050414</c:v>
                </c:pt>
                <c:pt idx="971">
                  <c:v>1.1526733979700088</c:v>
                </c:pt>
                <c:pt idx="972">
                  <c:v>0.91196258262919527</c:v>
                </c:pt>
                <c:pt idx="973">
                  <c:v>0.96576751751304857</c:v>
                </c:pt>
                <c:pt idx="974">
                  <c:v>1.4319956670417746</c:v>
                </c:pt>
                <c:pt idx="975">
                  <c:v>0.50429897396724133</c:v>
                </c:pt>
                <c:pt idx="976">
                  <c:v>0.38963383677104424</c:v>
                </c:pt>
                <c:pt idx="977">
                  <c:v>1.4572009141308011</c:v>
                </c:pt>
                <c:pt idx="978">
                  <c:v>1.2858401267196042</c:v>
                </c:pt>
                <c:pt idx="979">
                  <c:v>1.5384988523524996</c:v>
                </c:pt>
                <c:pt idx="980">
                  <c:v>0.70584445379420202</c:v>
                </c:pt>
                <c:pt idx="981">
                  <c:v>0.94741798652951648</c:v>
                </c:pt>
                <c:pt idx="982">
                  <c:v>0.31201481817218585</c:v>
                </c:pt>
                <c:pt idx="983">
                  <c:v>1.4741460025338577</c:v>
                </c:pt>
                <c:pt idx="984">
                  <c:v>0.60705550188912294</c:v>
                </c:pt>
                <c:pt idx="985">
                  <c:v>0.8206713629162804</c:v>
                </c:pt>
                <c:pt idx="986">
                  <c:v>0.65439056889787506</c:v>
                </c:pt>
                <c:pt idx="987">
                  <c:v>1.948591641040436</c:v>
                </c:pt>
                <c:pt idx="988">
                  <c:v>0.94052323995294218</c:v>
                </c:pt>
                <c:pt idx="989">
                  <c:v>0.844227502064684</c:v>
                </c:pt>
                <c:pt idx="990">
                  <c:v>0.90875975967075695</c:v>
                </c:pt>
                <c:pt idx="991">
                  <c:v>0.29155433725285224</c:v>
                </c:pt>
                <c:pt idx="992">
                  <c:v>1.1406235316223434</c:v>
                </c:pt>
                <c:pt idx="993">
                  <c:v>0.76362287411510665</c:v>
                </c:pt>
                <c:pt idx="994">
                  <c:v>1.0258395391328392</c:v>
                </c:pt>
                <c:pt idx="995">
                  <c:v>0.84313354334309232</c:v>
                </c:pt>
                <c:pt idx="996">
                  <c:v>0.65421513992008573</c:v>
                </c:pt>
                <c:pt idx="997">
                  <c:v>0.74549168350613826</c:v>
                </c:pt>
                <c:pt idx="998">
                  <c:v>0.61995913196741392</c:v>
                </c:pt>
                <c:pt idx="999">
                  <c:v>0.52075950690732398</c:v>
                </c:pt>
              </c:numCache>
            </c:numRef>
          </c:xVal>
          <c:yVal>
            <c:numRef>
              <c:f>'Risk Calculator - Gamma'!$O$35:$O$1034</c:f>
              <c:numCache>
                <c:formatCode>General</c:formatCode>
                <c:ptCount val="1000"/>
                <c:pt idx="0">
                  <c:v>0.97162150552020654</c:v>
                </c:pt>
                <c:pt idx="1">
                  <c:v>1.2406944834187186</c:v>
                </c:pt>
                <c:pt idx="2">
                  <c:v>5.6481343461291189E-2</c:v>
                </c:pt>
                <c:pt idx="3">
                  <c:v>2.4189940491792088</c:v>
                </c:pt>
                <c:pt idx="4">
                  <c:v>0.81539143641446699</c:v>
                </c:pt>
                <c:pt idx="5">
                  <c:v>1.4201871215518855</c:v>
                </c:pt>
                <c:pt idx="6">
                  <c:v>0.71324083252572223</c:v>
                </c:pt>
                <c:pt idx="7">
                  <c:v>0.80983823427244883</c:v>
                </c:pt>
                <c:pt idx="8">
                  <c:v>0.48712424171340474</c:v>
                </c:pt>
                <c:pt idx="9">
                  <c:v>0.51814229355468699</c:v>
                </c:pt>
                <c:pt idx="10">
                  <c:v>0.92667243209028116</c:v>
                </c:pt>
                <c:pt idx="11">
                  <c:v>1.2048041033964352</c:v>
                </c:pt>
                <c:pt idx="12">
                  <c:v>0.93216519179537338</c:v>
                </c:pt>
                <c:pt idx="13">
                  <c:v>1.2310155474719591</c:v>
                </c:pt>
                <c:pt idx="14">
                  <c:v>0.19870628594754669</c:v>
                </c:pt>
                <c:pt idx="15">
                  <c:v>1.7249369806229926</c:v>
                </c:pt>
                <c:pt idx="16">
                  <c:v>0.73412741362835821</c:v>
                </c:pt>
                <c:pt idx="17">
                  <c:v>0.60583171931963142</c:v>
                </c:pt>
                <c:pt idx="18">
                  <c:v>1.0987705548934437</c:v>
                </c:pt>
                <c:pt idx="19">
                  <c:v>1.7989924385381872</c:v>
                </c:pt>
                <c:pt idx="20">
                  <c:v>1.4694484250667126</c:v>
                </c:pt>
                <c:pt idx="21">
                  <c:v>0.19957252095906153</c:v>
                </c:pt>
                <c:pt idx="22">
                  <c:v>1.7723300994016888</c:v>
                </c:pt>
                <c:pt idx="23">
                  <c:v>2.4840626856643615</c:v>
                </c:pt>
                <c:pt idx="24">
                  <c:v>1.1399144774077141</c:v>
                </c:pt>
                <c:pt idx="25">
                  <c:v>0.9718331716368942</c:v>
                </c:pt>
                <c:pt idx="26">
                  <c:v>1.0007782110594607</c:v>
                </c:pt>
                <c:pt idx="27">
                  <c:v>3.0667459776494228</c:v>
                </c:pt>
                <c:pt idx="28">
                  <c:v>0.13837213085416888</c:v>
                </c:pt>
                <c:pt idx="29">
                  <c:v>0.92135894530267426</c:v>
                </c:pt>
                <c:pt idx="30">
                  <c:v>0.14801230147157374</c:v>
                </c:pt>
                <c:pt idx="31">
                  <c:v>1.149837985933805</c:v>
                </c:pt>
                <c:pt idx="32">
                  <c:v>0.39033439956946997</c:v>
                </c:pt>
                <c:pt idx="33">
                  <c:v>0.65405009032165851</c:v>
                </c:pt>
                <c:pt idx="34">
                  <c:v>2.768952207688264</c:v>
                </c:pt>
                <c:pt idx="35">
                  <c:v>0.56187296012411714</c:v>
                </c:pt>
                <c:pt idx="36">
                  <c:v>1.1021313604175818</c:v>
                </c:pt>
                <c:pt idx="37">
                  <c:v>-0.1585888624739048</c:v>
                </c:pt>
                <c:pt idx="38">
                  <c:v>1.0076688609585196</c:v>
                </c:pt>
                <c:pt idx="39">
                  <c:v>0.13862747352005766</c:v>
                </c:pt>
                <c:pt idx="40">
                  <c:v>0.46809506131990475</c:v>
                </c:pt>
                <c:pt idx="41">
                  <c:v>7.5888372835321516E-2</c:v>
                </c:pt>
                <c:pt idx="42">
                  <c:v>0.73023442561507201</c:v>
                </c:pt>
                <c:pt idx="43">
                  <c:v>0.47767976204457713</c:v>
                </c:pt>
                <c:pt idx="44">
                  <c:v>0.62447636384491945</c:v>
                </c:pt>
                <c:pt idx="45">
                  <c:v>-0.15273139853863849</c:v>
                </c:pt>
                <c:pt idx="46">
                  <c:v>4.7134843197197185E-2</c:v>
                </c:pt>
                <c:pt idx="47">
                  <c:v>0.14632397957570609</c:v>
                </c:pt>
                <c:pt idx="48">
                  <c:v>2.1980888307392861</c:v>
                </c:pt>
                <c:pt idx="49">
                  <c:v>1.7634669672334533</c:v>
                </c:pt>
                <c:pt idx="50">
                  <c:v>-8.6862556925411005E-2</c:v>
                </c:pt>
                <c:pt idx="51">
                  <c:v>1.5858234574066361</c:v>
                </c:pt>
                <c:pt idx="52">
                  <c:v>0.55161258476139696</c:v>
                </c:pt>
                <c:pt idx="53">
                  <c:v>2.0844016144786068</c:v>
                </c:pt>
                <c:pt idx="54">
                  <c:v>0.36521938473221538</c:v>
                </c:pt>
                <c:pt idx="55">
                  <c:v>1.429726369734063</c:v>
                </c:pt>
                <c:pt idx="56">
                  <c:v>1.5210671849059172</c:v>
                </c:pt>
                <c:pt idx="57">
                  <c:v>0.79273432118209364</c:v>
                </c:pt>
                <c:pt idx="58">
                  <c:v>0.48044880161309833</c:v>
                </c:pt>
                <c:pt idx="59">
                  <c:v>0.88032809583126237</c:v>
                </c:pt>
                <c:pt idx="60">
                  <c:v>2.0450659274911649</c:v>
                </c:pt>
                <c:pt idx="61">
                  <c:v>1.1637197719057872</c:v>
                </c:pt>
                <c:pt idx="62">
                  <c:v>0.75900918941307705</c:v>
                </c:pt>
                <c:pt idx="63">
                  <c:v>2.0773908146799522</c:v>
                </c:pt>
                <c:pt idx="64">
                  <c:v>0.56223055571664571</c:v>
                </c:pt>
                <c:pt idx="65">
                  <c:v>0.64513709683948484</c:v>
                </c:pt>
                <c:pt idx="66">
                  <c:v>2.3250854167607646</c:v>
                </c:pt>
                <c:pt idx="67">
                  <c:v>0.65835209108490456</c:v>
                </c:pt>
                <c:pt idx="68">
                  <c:v>1.0033032773267647</c:v>
                </c:pt>
                <c:pt idx="69">
                  <c:v>1.7056902123987634</c:v>
                </c:pt>
                <c:pt idx="70">
                  <c:v>1.7423439133847505</c:v>
                </c:pt>
                <c:pt idx="71">
                  <c:v>0.20108116727710418</c:v>
                </c:pt>
                <c:pt idx="72">
                  <c:v>0.86396560393641786</c:v>
                </c:pt>
                <c:pt idx="73">
                  <c:v>1.4510995911979041</c:v>
                </c:pt>
                <c:pt idx="74">
                  <c:v>1.3373038870334879</c:v>
                </c:pt>
                <c:pt idx="75">
                  <c:v>0.99410067317107775</c:v>
                </c:pt>
                <c:pt idx="76">
                  <c:v>-0.10457227639528222</c:v>
                </c:pt>
                <c:pt idx="77">
                  <c:v>0.66019074220926732</c:v>
                </c:pt>
                <c:pt idx="78">
                  <c:v>0.60458070474491643</c:v>
                </c:pt>
                <c:pt idx="79">
                  <c:v>1.1868448236794888</c:v>
                </c:pt>
                <c:pt idx="80">
                  <c:v>0.70097811597016246</c:v>
                </c:pt>
                <c:pt idx="81">
                  <c:v>1.5662356725776092</c:v>
                </c:pt>
                <c:pt idx="82">
                  <c:v>2.0415506189210668</c:v>
                </c:pt>
                <c:pt idx="83">
                  <c:v>0.90816730315272909</c:v>
                </c:pt>
                <c:pt idx="84">
                  <c:v>0.62641997826990459</c:v>
                </c:pt>
                <c:pt idx="85">
                  <c:v>0.38276593612246523</c:v>
                </c:pt>
                <c:pt idx="86">
                  <c:v>1.2381470277183111</c:v>
                </c:pt>
                <c:pt idx="87">
                  <c:v>0.80075925407184412</c:v>
                </c:pt>
                <c:pt idx="88">
                  <c:v>1.1232964889313655</c:v>
                </c:pt>
                <c:pt idx="89">
                  <c:v>1.1424234296498199</c:v>
                </c:pt>
                <c:pt idx="90">
                  <c:v>0.63039842459076478</c:v>
                </c:pt>
                <c:pt idx="91">
                  <c:v>0.18574168393029322</c:v>
                </c:pt>
                <c:pt idx="92">
                  <c:v>1.1945961897674982</c:v>
                </c:pt>
                <c:pt idx="93">
                  <c:v>4.2730958054573942E-2</c:v>
                </c:pt>
                <c:pt idx="94">
                  <c:v>0.62334823305528153</c:v>
                </c:pt>
                <c:pt idx="95">
                  <c:v>0.87378620256768336</c:v>
                </c:pt>
                <c:pt idx="96">
                  <c:v>0.3342311184215172</c:v>
                </c:pt>
                <c:pt idx="97">
                  <c:v>1.7855726146735824</c:v>
                </c:pt>
                <c:pt idx="98">
                  <c:v>0.57543582084871692</c:v>
                </c:pt>
                <c:pt idx="99">
                  <c:v>1.4491341669655677</c:v>
                </c:pt>
                <c:pt idx="100">
                  <c:v>-0.2565799866407189</c:v>
                </c:pt>
                <c:pt idx="101">
                  <c:v>0.95827092512212331</c:v>
                </c:pt>
                <c:pt idx="102">
                  <c:v>0.70087824803449328</c:v>
                </c:pt>
                <c:pt idx="103">
                  <c:v>0.81292863095367429</c:v>
                </c:pt>
                <c:pt idx="104">
                  <c:v>1.2790053463209019</c:v>
                </c:pt>
                <c:pt idx="105">
                  <c:v>1.4850376777770158</c:v>
                </c:pt>
                <c:pt idx="106">
                  <c:v>1.1630452882948374</c:v>
                </c:pt>
                <c:pt idx="107">
                  <c:v>1.6759974298657792</c:v>
                </c:pt>
                <c:pt idx="108">
                  <c:v>-2.9373669872990282E-2</c:v>
                </c:pt>
                <c:pt idx="109">
                  <c:v>-0.63221458788581342</c:v>
                </c:pt>
                <c:pt idx="110">
                  <c:v>0.40955825242587918</c:v>
                </c:pt>
                <c:pt idx="111">
                  <c:v>0.71820488903799407</c:v>
                </c:pt>
                <c:pt idx="112">
                  <c:v>2.7500702531854975</c:v>
                </c:pt>
                <c:pt idx="113">
                  <c:v>-0.27721701610000882</c:v>
                </c:pt>
                <c:pt idx="114">
                  <c:v>0.36228191859721365</c:v>
                </c:pt>
                <c:pt idx="115">
                  <c:v>1.5138592291331028</c:v>
                </c:pt>
                <c:pt idx="116">
                  <c:v>1.079281738109312</c:v>
                </c:pt>
                <c:pt idx="117">
                  <c:v>0.64181069882210828</c:v>
                </c:pt>
                <c:pt idx="118">
                  <c:v>1.4617021447745904</c:v>
                </c:pt>
                <c:pt idx="119">
                  <c:v>1.5195418131917608</c:v>
                </c:pt>
                <c:pt idx="120">
                  <c:v>0.83608938400882393</c:v>
                </c:pt>
                <c:pt idx="121">
                  <c:v>1.309030286852034</c:v>
                </c:pt>
                <c:pt idx="122">
                  <c:v>0.20675128298624623</c:v>
                </c:pt>
                <c:pt idx="123">
                  <c:v>1.485734358582893</c:v>
                </c:pt>
                <c:pt idx="124">
                  <c:v>0.44873343392672921</c:v>
                </c:pt>
                <c:pt idx="125">
                  <c:v>1.6704039386482974</c:v>
                </c:pt>
                <c:pt idx="126">
                  <c:v>0.93282538799594494</c:v>
                </c:pt>
                <c:pt idx="127">
                  <c:v>-0.17612140438916613</c:v>
                </c:pt>
                <c:pt idx="128">
                  <c:v>1.5892420809766103</c:v>
                </c:pt>
                <c:pt idx="129">
                  <c:v>0.63295331493423279</c:v>
                </c:pt>
                <c:pt idx="130">
                  <c:v>0.78664941581615566</c:v>
                </c:pt>
                <c:pt idx="131">
                  <c:v>0.41120062928742834</c:v>
                </c:pt>
                <c:pt idx="132">
                  <c:v>0.13487325733272912</c:v>
                </c:pt>
                <c:pt idx="133">
                  <c:v>1.4475492602337099</c:v>
                </c:pt>
                <c:pt idx="134">
                  <c:v>1.2778843603583985</c:v>
                </c:pt>
                <c:pt idx="135">
                  <c:v>1.1900216224434026</c:v>
                </c:pt>
                <c:pt idx="136">
                  <c:v>1.1474470749968639</c:v>
                </c:pt>
                <c:pt idx="137">
                  <c:v>0.61140088476704535</c:v>
                </c:pt>
                <c:pt idx="138">
                  <c:v>1.612060317590398</c:v>
                </c:pt>
                <c:pt idx="139">
                  <c:v>0.36586342896745372</c:v>
                </c:pt>
                <c:pt idx="140">
                  <c:v>1.2794712587326584</c:v>
                </c:pt>
                <c:pt idx="141">
                  <c:v>1.5112912490086872</c:v>
                </c:pt>
                <c:pt idx="142">
                  <c:v>1.8598209736819042</c:v>
                </c:pt>
                <c:pt idx="143">
                  <c:v>-9.131909894557555E-2</c:v>
                </c:pt>
                <c:pt idx="144">
                  <c:v>0.81324362739681977</c:v>
                </c:pt>
                <c:pt idx="145">
                  <c:v>0.65381316770582965</c:v>
                </c:pt>
                <c:pt idx="146">
                  <c:v>0.7788786187402521</c:v>
                </c:pt>
                <c:pt idx="147">
                  <c:v>1.4665343057568316</c:v>
                </c:pt>
                <c:pt idx="148">
                  <c:v>2.1733092889740853</c:v>
                </c:pt>
                <c:pt idx="149">
                  <c:v>2.3802231594228638</c:v>
                </c:pt>
                <c:pt idx="150">
                  <c:v>1.1389589091338674</c:v>
                </c:pt>
                <c:pt idx="151">
                  <c:v>1.8553409285672393</c:v>
                </c:pt>
                <c:pt idx="152">
                  <c:v>2.281329184136859</c:v>
                </c:pt>
                <c:pt idx="153">
                  <c:v>1.2534278968634394</c:v>
                </c:pt>
                <c:pt idx="154">
                  <c:v>1.2011875080396348</c:v>
                </c:pt>
                <c:pt idx="155">
                  <c:v>0.41565603488562319</c:v>
                </c:pt>
                <c:pt idx="156">
                  <c:v>0.95335590576590612</c:v>
                </c:pt>
                <c:pt idx="157">
                  <c:v>2.4158648661922131</c:v>
                </c:pt>
                <c:pt idx="158">
                  <c:v>2.2620728223767554</c:v>
                </c:pt>
                <c:pt idx="159">
                  <c:v>2.532503235592185</c:v>
                </c:pt>
                <c:pt idx="160">
                  <c:v>1.5791131231244153</c:v>
                </c:pt>
                <c:pt idx="161">
                  <c:v>0.64674141411792774</c:v>
                </c:pt>
                <c:pt idx="162">
                  <c:v>1.1816022860095645</c:v>
                </c:pt>
                <c:pt idx="163">
                  <c:v>1.6274896429354655</c:v>
                </c:pt>
                <c:pt idx="164">
                  <c:v>0.66829005105403738</c:v>
                </c:pt>
                <c:pt idx="165">
                  <c:v>1.9448719794028222</c:v>
                </c:pt>
                <c:pt idx="166">
                  <c:v>0.55421467093121235</c:v>
                </c:pt>
                <c:pt idx="167">
                  <c:v>0.29237469809562933</c:v>
                </c:pt>
                <c:pt idx="168">
                  <c:v>1.435311538617251</c:v>
                </c:pt>
                <c:pt idx="169">
                  <c:v>1.1413635020558246</c:v>
                </c:pt>
                <c:pt idx="170">
                  <c:v>0.94871346719312344</c:v>
                </c:pt>
                <c:pt idx="171">
                  <c:v>0.81328343530148772</c:v>
                </c:pt>
                <c:pt idx="172">
                  <c:v>0.63571088112700691</c:v>
                </c:pt>
                <c:pt idx="173">
                  <c:v>1.1389407500658002</c:v>
                </c:pt>
                <c:pt idx="174">
                  <c:v>1.2998495967462662</c:v>
                </c:pt>
                <c:pt idx="175">
                  <c:v>1.8570996612548898</c:v>
                </c:pt>
                <c:pt idx="176">
                  <c:v>0.39248326683495433</c:v>
                </c:pt>
                <c:pt idx="177">
                  <c:v>0.2129055726946138</c:v>
                </c:pt>
                <c:pt idx="178">
                  <c:v>1.4082300663862928</c:v>
                </c:pt>
                <c:pt idx="179">
                  <c:v>1.0189144370181906</c:v>
                </c:pt>
                <c:pt idx="180">
                  <c:v>1.4869075671473633</c:v>
                </c:pt>
                <c:pt idx="181">
                  <c:v>0.44074682751007982</c:v>
                </c:pt>
                <c:pt idx="182">
                  <c:v>1.196888832569587</c:v>
                </c:pt>
                <c:pt idx="183">
                  <c:v>0.47469272415546171</c:v>
                </c:pt>
                <c:pt idx="184">
                  <c:v>1.6365631717097591</c:v>
                </c:pt>
                <c:pt idx="185">
                  <c:v>0.27650416941332479</c:v>
                </c:pt>
                <c:pt idx="186">
                  <c:v>0.36886593498654696</c:v>
                </c:pt>
                <c:pt idx="187">
                  <c:v>0.46284908828811355</c:v>
                </c:pt>
                <c:pt idx="188">
                  <c:v>1.6951110796235758</c:v>
                </c:pt>
                <c:pt idx="189">
                  <c:v>1.0402181621120774</c:v>
                </c:pt>
                <c:pt idx="190">
                  <c:v>1.3236283505947397</c:v>
                </c:pt>
                <c:pt idx="191">
                  <c:v>0.65730144396532164</c:v>
                </c:pt>
                <c:pt idx="192">
                  <c:v>2.0789391012797016</c:v>
                </c:pt>
                <c:pt idx="193">
                  <c:v>1.0081600135695625</c:v>
                </c:pt>
                <c:pt idx="194">
                  <c:v>0.81280678417980057</c:v>
                </c:pt>
                <c:pt idx="195">
                  <c:v>1.2999858576193493</c:v>
                </c:pt>
                <c:pt idx="196">
                  <c:v>1.5326793791459119</c:v>
                </c:pt>
                <c:pt idx="197">
                  <c:v>0.76276048730030044</c:v>
                </c:pt>
                <c:pt idx="198">
                  <c:v>0.81701090674246046</c:v>
                </c:pt>
                <c:pt idx="199">
                  <c:v>0.86464556212334698</c:v>
                </c:pt>
                <c:pt idx="200">
                  <c:v>2.128111863422721</c:v>
                </c:pt>
                <c:pt idx="201">
                  <c:v>1.5643817778725522</c:v>
                </c:pt>
                <c:pt idx="202">
                  <c:v>0.62378591260243832</c:v>
                </c:pt>
                <c:pt idx="203">
                  <c:v>1.0141930040945379</c:v>
                </c:pt>
                <c:pt idx="204">
                  <c:v>0.78045684497170564</c:v>
                </c:pt>
                <c:pt idx="205">
                  <c:v>0.88940190609027803</c:v>
                </c:pt>
                <c:pt idx="206">
                  <c:v>0.27733792080983305</c:v>
                </c:pt>
                <c:pt idx="207">
                  <c:v>1.060256113821717</c:v>
                </c:pt>
                <c:pt idx="208">
                  <c:v>1.9107169832402988</c:v>
                </c:pt>
                <c:pt idx="209">
                  <c:v>0.76155880463424608</c:v>
                </c:pt>
                <c:pt idx="210">
                  <c:v>0.34800497612488879</c:v>
                </c:pt>
                <c:pt idx="211">
                  <c:v>0.60471019741774579</c:v>
                </c:pt>
                <c:pt idx="212">
                  <c:v>1.9026616730368973</c:v>
                </c:pt>
                <c:pt idx="213">
                  <c:v>1.1590331723290266</c:v>
                </c:pt>
                <c:pt idx="214">
                  <c:v>-9.9402313960687771E-2</c:v>
                </c:pt>
                <c:pt idx="215">
                  <c:v>1.147004477998439</c:v>
                </c:pt>
                <c:pt idx="216">
                  <c:v>1.1126533956919265</c:v>
                </c:pt>
                <c:pt idx="217">
                  <c:v>1.1970852149634141</c:v>
                </c:pt>
                <c:pt idx="218">
                  <c:v>1.2841459326032929</c:v>
                </c:pt>
                <c:pt idx="219">
                  <c:v>0.61689746607626428</c:v>
                </c:pt>
                <c:pt idx="220">
                  <c:v>0.43416595558762661</c:v>
                </c:pt>
                <c:pt idx="221">
                  <c:v>0.84490019310881315</c:v>
                </c:pt>
                <c:pt idx="222">
                  <c:v>1.0992926272113488</c:v>
                </c:pt>
                <c:pt idx="223">
                  <c:v>1.3537415864474918</c:v>
                </c:pt>
                <c:pt idx="224">
                  <c:v>0.52589613744829733</c:v>
                </c:pt>
                <c:pt idx="225">
                  <c:v>1.8549791851856063</c:v>
                </c:pt>
                <c:pt idx="226">
                  <c:v>0.88207719239111282</c:v>
                </c:pt>
                <c:pt idx="227">
                  <c:v>1.4625165954679287</c:v>
                </c:pt>
                <c:pt idx="228">
                  <c:v>0.45958811233779617</c:v>
                </c:pt>
                <c:pt idx="229">
                  <c:v>1.2229874873382387</c:v>
                </c:pt>
                <c:pt idx="230">
                  <c:v>0.83499212291106872</c:v>
                </c:pt>
                <c:pt idx="231">
                  <c:v>0.44550304351831893</c:v>
                </c:pt>
                <c:pt idx="232">
                  <c:v>1.1945072395090353</c:v>
                </c:pt>
                <c:pt idx="233">
                  <c:v>0.67692072577666074</c:v>
                </c:pt>
                <c:pt idx="234">
                  <c:v>0.78621422919439721</c:v>
                </c:pt>
                <c:pt idx="235">
                  <c:v>1.362434737443895</c:v>
                </c:pt>
                <c:pt idx="236">
                  <c:v>0.87850783732238846</c:v>
                </c:pt>
                <c:pt idx="237">
                  <c:v>0.75037136647934199</c:v>
                </c:pt>
                <c:pt idx="238">
                  <c:v>1.3331958475700842</c:v>
                </c:pt>
                <c:pt idx="239">
                  <c:v>0.31053734797958354</c:v>
                </c:pt>
                <c:pt idx="240">
                  <c:v>0.86078969553541307</c:v>
                </c:pt>
                <c:pt idx="241">
                  <c:v>1.7182754685702584</c:v>
                </c:pt>
                <c:pt idx="242">
                  <c:v>0.14426872800365526</c:v>
                </c:pt>
                <c:pt idx="243">
                  <c:v>1.315610917082533</c:v>
                </c:pt>
                <c:pt idx="244">
                  <c:v>1.7710945498270696</c:v>
                </c:pt>
                <c:pt idx="245">
                  <c:v>0.74853810442012825</c:v>
                </c:pt>
                <c:pt idx="246">
                  <c:v>0.86384500030364009</c:v>
                </c:pt>
                <c:pt idx="247">
                  <c:v>0.50122790478119339</c:v>
                </c:pt>
                <c:pt idx="248">
                  <c:v>0.74913225475385492</c:v>
                </c:pt>
                <c:pt idx="249">
                  <c:v>0.58429107552141657</c:v>
                </c:pt>
                <c:pt idx="250">
                  <c:v>0.74597295816998632</c:v>
                </c:pt>
                <c:pt idx="251">
                  <c:v>1.1319716071922126</c:v>
                </c:pt>
                <c:pt idx="252">
                  <c:v>1.7240292295262989</c:v>
                </c:pt>
                <c:pt idx="253">
                  <c:v>1.6381964354254859</c:v>
                </c:pt>
                <c:pt idx="254">
                  <c:v>0.42214685520880335</c:v>
                </c:pt>
                <c:pt idx="255">
                  <c:v>0.51312185426363144</c:v>
                </c:pt>
                <c:pt idx="256">
                  <c:v>1.0438323124248687</c:v>
                </c:pt>
                <c:pt idx="257">
                  <c:v>0.10497151891025702</c:v>
                </c:pt>
                <c:pt idx="258">
                  <c:v>1.4959580083213493</c:v>
                </c:pt>
                <c:pt idx="259">
                  <c:v>1.5061124407690794</c:v>
                </c:pt>
                <c:pt idx="260">
                  <c:v>0.27336184460892193</c:v>
                </c:pt>
                <c:pt idx="261">
                  <c:v>0.52539475599639951</c:v>
                </c:pt>
                <c:pt idx="262">
                  <c:v>-0.41183126561403682</c:v>
                </c:pt>
                <c:pt idx="263">
                  <c:v>0.98081893167650025</c:v>
                </c:pt>
                <c:pt idx="264">
                  <c:v>0.58792153241055156</c:v>
                </c:pt>
                <c:pt idx="265">
                  <c:v>1.7314173038598675</c:v>
                </c:pt>
                <c:pt idx="266">
                  <c:v>0.59816416684216489</c:v>
                </c:pt>
                <c:pt idx="267">
                  <c:v>3.230797181036821</c:v>
                </c:pt>
                <c:pt idx="268">
                  <c:v>2.0790234689035176</c:v>
                </c:pt>
                <c:pt idx="269">
                  <c:v>-0.47434792144032867</c:v>
                </c:pt>
                <c:pt idx="270">
                  <c:v>0.72431496024112152</c:v>
                </c:pt>
                <c:pt idx="271">
                  <c:v>1.2660253416445599</c:v>
                </c:pt>
                <c:pt idx="272">
                  <c:v>1.5698828793405211</c:v>
                </c:pt>
                <c:pt idx="273">
                  <c:v>0.71855057926684751</c:v>
                </c:pt>
                <c:pt idx="274">
                  <c:v>1.4298900678483364</c:v>
                </c:pt>
                <c:pt idx="275">
                  <c:v>0.62746723871224908</c:v>
                </c:pt>
                <c:pt idx="276">
                  <c:v>0.87745070467699593</c:v>
                </c:pt>
                <c:pt idx="277">
                  <c:v>1.8600848370541234</c:v>
                </c:pt>
                <c:pt idx="278">
                  <c:v>0.43504631277706995</c:v>
                </c:pt>
                <c:pt idx="279">
                  <c:v>1.1050861859745309</c:v>
                </c:pt>
                <c:pt idx="280">
                  <c:v>0.67529461398388035</c:v>
                </c:pt>
                <c:pt idx="281">
                  <c:v>0.94498211271886579</c:v>
                </c:pt>
                <c:pt idx="282">
                  <c:v>1.4045288400865212</c:v>
                </c:pt>
                <c:pt idx="283">
                  <c:v>0.84488692831658874</c:v>
                </c:pt>
                <c:pt idx="284">
                  <c:v>0.36035561386832543</c:v>
                </c:pt>
                <c:pt idx="285">
                  <c:v>-4.3649336478973289E-2</c:v>
                </c:pt>
                <c:pt idx="286">
                  <c:v>0.77836758951269769</c:v>
                </c:pt>
                <c:pt idx="287">
                  <c:v>1.2387138203141843</c:v>
                </c:pt>
                <c:pt idx="288">
                  <c:v>0.26415309900608308</c:v>
                </c:pt>
                <c:pt idx="289">
                  <c:v>-0.32028631288423537</c:v>
                </c:pt>
                <c:pt idx="290">
                  <c:v>0.80776305233040357</c:v>
                </c:pt>
                <c:pt idx="291">
                  <c:v>1.727735674530491</c:v>
                </c:pt>
                <c:pt idx="292">
                  <c:v>0.63889607444250029</c:v>
                </c:pt>
                <c:pt idx="293">
                  <c:v>1.1245813069799981</c:v>
                </c:pt>
                <c:pt idx="294">
                  <c:v>1.6988813287184448</c:v>
                </c:pt>
                <c:pt idx="295">
                  <c:v>1.7220792572573671</c:v>
                </c:pt>
                <c:pt idx="296">
                  <c:v>2.2038403988982544</c:v>
                </c:pt>
                <c:pt idx="297">
                  <c:v>0.33579104551596628</c:v>
                </c:pt>
                <c:pt idx="298">
                  <c:v>0.39272066052639742</c:v>
                </c:pt>
                <c:pt idx="299">
                  <c:v>1.0887060706299332</c:v>
                </c:pt>
                <c:pt idx="300">
                  <c:v>-0.1778240536813272</c:v>
                </c:pt>
                <c:pt idx="301">
                  <c:v>0.82336989696049101</c:v>
                </c:pt>
                <c:pt idx="302">
                  <c:v>1.7532043260534742</c:v>
                </c:pt>
                <c:pt idx="303">
                  <c:v>0.9753946558686386</c:v>
                </c:pt>
                <c:pt idx="304">
                  <c:v>1.1857427211513174</c:v>
                </c:pt>
                <c:pt idx="305">
                  <c:v>0.59448525188019741</c:v>
                </c:pt>
                <c:pt idx="306">
                  <c:v>0.64948314710031685</c:v>
                </c:pt>
                <c:pt idx="307">
                  <c:v>0.50492427761743774</c:v>
                </c:pt>
                <c:pt idx="308">
                  <c:v>1.054268455223947</c:v>
                </c:pt>
                <c:pt idx="309">
                  <c:v>2.1781992998737061</c:v>
                </c:pt>
                <c:pt idx="310">
                  <c:v>0.90533748553852711</c:v>
                </c:pt>
                <c:pt idx="311">
                  <c:v>0.64579504714470459</c:v>
                </c:pt>
                <c:pt idx="312">
                  <c:v>1.3911783811166072</c:v>
                </c:pt>
                <c:pt idx="313">
                  <c:v>0.74849170761809281</c:v>
                </c:pt>
                <c:pt idx="314">
                  <c:v>1.4054365595816298</c:v>
                </c:pt>
                <c:pt idx="315">
                  <c:v>0.19304332695154147</c:v>
                </c:pt>
                <c:pt idx="316">
                  <c:v>0.36763868064497585</c:v>
                </c:pt>
                <c:pt idx="317">
                  <c:v>0.61294474481213301</c:v>
                </c:pt>
                <c:pt idx="318">
                  <c:v>2.0650938113399526</c:v>
                </c:pt>
                <c:pt idx="319">
                  <c:v>1.7949385526133637</c:v>
                </c:pt>
                <c:pt idx="320">
                  <c:v>0.48340316425866137</c:v>
                </c:pt>
                <c:pt idx="321">
                  <c:v>0.94160477963409428</c:v>
                </c:pt>
                <c:pt idx="322">
                  <c:v>1.437409382054823</c:v>
                </c:pt>
                <c:pt idx="323">
                  <c:v>1.4006225306546778</c:v>
                </c:pt>
                <c:pt idx="324">
                  <c:v>1.3832269473886605</c:v>
                </c:pt>
                <c:pt idx="325">
                  <c:v>1.0145453705607319</c:v>
                </c:pt>
                <c:pt idx="326">
                  <c:v>0.82447453959939176</c:v>
                </c:pt>
                <c:pt idx="327">
                  <c:v>0.72640538625213524</c:v>
                </c:pt>
                <c:pt idx="328">
                  <c:v>1.0546740238849837</c:v>
                </c:pt>
                <c:pt idx="329">
                  <c:v>0.12058053139963543</c:v>
                </c:pt>
                <c:pt idx="330">
                  <c:v>0.79899118633404032</c:v>
                </c:pt>
                <c:pt idx="331">
                  <c:v>1.183976868721726</c:v>
                </c:pt>
                <c:pt idx="332">
                  <c:v>0.20092727093799062</c:v>
                </c:pt>
                <c:pt idx="333">
                  <c:v>1.2496271177981202</c:v>
                </c:pt>
                <c:pt idx="334">
                  <c:v>0.63379998687691541</c:v>
                </c:pt>
                <c:pt idx="335">
                  <c:v>1.0331231814585031</c:v>
                </c:pt>
                <c:pt idx="336">
                  <c:v>2.2903861781732817</c:v>
                </c:pt>
                <c:pt idx="337">
                  <c:v>1.0044012710158872</c:v>
                </c:pt>
                <c:pt idx="338">
                  <c:v>0.46985358385590459</c:v>
                </c:pt>
                <c:pt idx="339">
                  <c:v>0.98308628848131896</c:v>
                </c:pt>
                <c:pt idx="340">
                  <c:v>1.2571263773029486</c:v>
                </c:pt>
                <c:pt idx="341">
                  <c:v>1.6481393123826651</c:v>
                </c:pt>
                <c:pt idx="342">
                  <c:v>0.74130466122888539</c:v>
                </c:pt>
                <c:pt idx="343">
                  <c:v>1.1025517024167277</c:v>
                </c:pt>
                <c:pt idx="344">
                  <c:v>0.77016841856661644</c:v>
                </c:pt>
                <c:pt idx="345">
                  <c:v>0.77940281631943331</c:v>
                </c:pt>
                <c:pt idx="346">
                  <c:v>1.3521511700513442</c:v>
                </c:pt>
                <c:pt idx="347">
                  <c:v>0.800032626487993</c:v>
                </c:pt>
                <c:pt idx="348">
                  <c:v>1.1649858094394694</c:v>
                </c:pt>
                <c:pt idx="349">
                  <c:v>0.670816687468338</c:v>
                </c:pt>
                <c:pt idx="350">
                  <c:v>1.3325263517609232</c:v>
                </c:pt>
                <c:pt idx="351">
                  <c:v>0.39715674149787966</c:v>
                </c:pt>
                <c:pt idx="352">
                  <c:v>-0.15561378817817628</c:v>
                </c:pt>
                <c:pt idx="353">
                  <c:v>0.32247470432479935</c:v>
                </c:pt>
                <c:pt idx="354">
                  <c:v>1.0070905527660676</c:v>
                </c:pt>
                <c:pt idx="355">
                  <c:v>0.35235808046601347</c:v>
                </c:pt>
                <c:pt idx="356">
                  <c:v>1.40643756621691</c:v>
                </c:pt>
                <c:pt idx="357">
                  <c:v>1.3554164340687076</c:v>
                </c:pt>
                <c:pt idx="358">
                  <c:v>0.58183632614437342</c:v>
                </c:pt>
                <c:pt idx="359">
                  <c:v>1.1048819044305476</c:v>
                </c:pt>
                <c:pt idx="360">
                  <c:v>0.52675434437574564</c:v>
                </c:pt>
                <c:pt idx="361">
                  <c:v>0.85052818008246311</c:v>
                </c:pt>
                <c:pt idx="362">
                  <c:v>1.0536780769284213</c:v>
                </c:pt>
                <c:pt idx="363">
                  <c:v>0.80250191135984139</c:v>
                </c:pt>
                <c:pt idx="364">
                  <c:v>0.52464916299248077</c:v>
                </c:pt>
                <c:pt idx="365">
                  <c:v>0.46017863119729491</c:v>
                </c:pt>
                <c:pt idx="366">
                  <c:v>0.77754984799642513</c:v>
                </c:pt>
                <c:pt idx="367">
                  <c:v>0.75159634483854609</c:v>
                </c:pt>
                <c:pt idx="368">
                  <c:v>0.53234639524073968</c:v>
                </c:pt>
                <c:pt idx="369">
                  <c:v>1.3208203129106921</c:v>
                </c:pt>
                <c:pt idx="370">
                  <c:v>2.199603007299527</c:v>
                </c:pt>
                <c:pt idx="371">
                  <c:v>1.1577393469039656</c:v>
                </c:pt>
                <c:pt idx="372">
                  <c:v>0.25374286609107077</c:v>
                </c:pt>
                <c:pt idx="373">
                  <c:v>0.41100841354329609</c:v>
                </c:pt>
                <c:pt idx="374">
                  <c:v>1.3437632820684797</c:v>
                </c:pt>
                <c:pt idx="375">
                  <c:v>7.4171972554305243E-3</c:v>
                </c:pt>
                <c:pt idx="376">
                  <c:v>1.4929452380245165</c:v>
                </c:pt>
                <c:pt idx="377">
                  <c:v>0.39040905348388971</c:v>
                </c:pt>
                <c:pt idx="378">
                  <c:v>1.095483579057027</c:v>
                </c:pt>
                <c:pt idx="379">
                  <c:v>1.328257610659151</c:v>
                </c:pt>
                <c:pt idx="380">
                  <c:v>1.1465446150835672</c:v>
                </c:pt>
                <c:pt idx="381">
                  <c:v>0.35946037339531212</c:v>
                </c:pt>
                <c:pt idx="382">
                  <c:v>1.8136689887038757</c:v>
                </c:pt>
                <c:pt idx="383">
                  <c:v>0.97104646245014758</c:v>
                </c:pt>
                <c:pt idx="384">
                  <c:v>2.1293393072570015</c:v>
                </c:pt>
                <c:pt idx="385">
                  <c:v>1.0331573429901018</c:v>
                </c:pt>
                <c:pt idx="386">
                  <c:v>1.5799949941647897</c:v>
                </c:pt>
                <c:pt idx="387">
                  <c:v>-1.0169137752559767</c:v>
                </c:pt>
                <c:pt idx="388">
                  <c:v>0.90407785956086317</c:v>
                </c:pt>
                <c:pt idx="389">
                  <c:v>0.44948939204930682</c:v>
                </c:pt>
                <c:pt idx="390">
                  <c:v>1.065110169959949</c:v>
                </c:pt>
                <c:pt idx="391">
                  <c:v>0.98359832604281516</c:v>
                </c:pt>
                <c:pt idx="392">
                  <c:v>0.90163096732406189</c:v>
                </c:pt>
                <c:pt idx="393">
                  <c:v>1.4299335294966866</c:v>
                </c:pt>
                <c:pt idx="394">
                  <c:v>0.22596391526168802</c:v>
                </c:pt>
                <c:pt idx="395">
                  <c:v>1.4254875864791687</c:v>
                </c:pt>
                <c:pt idx="396">
                  <c:v>1.9131391074225315</c:v>
                </c:pt>
                <c:pt idx="397">
                  <c:v>0.18409633904337519</c:v>
                </c:pt>
                <c:pt idx="398">
                  <c:v>0.99517045278196059</c:v>
                </c:pt>
                <c:pt idx="399">
                  <c:v>0.60791126214470448</c:v>
                </c:pt>
                <c:pt idx="400">
                  <c:v>1.7615141510441417</c:v>
                </c:pt>
                <c:pt idx="401">
                  <c:v>1.3580811141269713</c:v>
                </c:pt>
                <c:pt idx="402">
                  <c:v>1.600229438714516</c:v>
                </c:pt>
                <c:pt idx="403">
                  <c:v>2.318988359428916</c:v>
                </c:pt>
                <c:pt idx="404">
                  <c:v>1.0491057621436575</c:v>
                </c:pt>
                <c:pt idx="405">
                  <c:v>4.3105349551012861E-2</c:v>
                </c:pt>
                <c:pt idx="406">
                  <c:v>0.57555592325154348</c:v>
                </c:pt>
                <c:pt idx="407">
                  <c:v>2.319390493204069</c:v>
                </c:pt>
                <c:pt idx="408">
                  <c:v>1.6818794934898886</c:v>
                </c:pt>
                <c:pt idx="409">
                  <c:v>0.70357429678619654</c:v>
                </c:pt>
                <c:pt idx="410">
                  <c:v>1.9780872913234524</c:v>
                </c:pt>
                <c:pt idx="411">
                  <c:v>0.55090311647097601</c:v>
                </c:pt>
                <c:pt idx="412">
                  <c:v>0.40646733577991517</c:v>
                </c:pt>
                <c:pt idx="413">
                  <c:v>1.0718212917336754</c:v>
                </c:pt>
                <c:pt idx="414">
                  <c:v>2.2550966219310427</c:v>
                </c:pt>
                <c:pt idx="415">
                  <c:v>0.81228597830279359</c:v>
                </c:pt>
                <c:pt idx="416">
                  <c:v>0.3382952261817439</c:v>
                </c:pt>
                <c:pt idx="417">
                  <c:v>6.2951526961480375E-2</c:v>
                </c:pt>
                <c:pt idx="418">
                  <c:v>1.6421485262690647</c:v>
                </c:pt>
                <c:pt idx="419">
                  <c:v>0.85988938467094345</c:v>
                </c:pt>
                <c:pt idx="420">
                  <c:v>1.9597719898154564</c:v>
                </c:pt>
                <c:pt idx="421">
                  <c:v>0.62346023041837351</c:v>
                </c:pt>
                <c:pt idx="422">
                  <c:v>0.97059481509949974</c:v>
                </c:pt>
                <c:pt idx="423">
                  <c:v>0.82909487469233967</c:v>
                </c:pt>
                <c:pt idx="424">
                  <c:v>1.2541626247387014</c:v>
                </c:pt>
                <c:pt idx="425">
                  <c:v>0.38071525593015482</c:v>
                </c:pt>
                <c:pt idx="426">
                  <c:v>1.2763413005435769</c:v>
                </c:pt>
                <c:pt idx="427">
                  <c:v>1.0609827794528277</c:v>
                </c:pt>
                <c:pt idx="428">
                  <c:v>1.3383398447340737</c:v>
                </c:pt>
                <c:pt idx="429">
                  <c:v>0.53672045282951919</c:v>
                </c:pt>
                <c:pt idx="430">
                  <c:v>2.6668861869317588</c:v>
                </c:pt>
                <c:pt idx="431">
                  <c:v>1.3911285775332702</c:v>
                </c:pt>
                <c:pt idx="432">
                  <c:v>0.39262761613739205</c:v>
                </c:pt>
                <c:pt idx="433">
                  <c:v>2.1216125365604044</c:v>
                </c:pt>
                <c:pt idx="434">
                  <c:v>0.47050993245260314</c:v>
                </c:pt>
                <c:pt idx="435">
                  <c:v>0.7495422375238241</c:v>
                </c:pt>
                <c:pt idx="436">
                  <c:v>0.64333131242671304</c:v>
                </c:pt>
                <c:pt idx="437">
                  <c:v>0.91777063383011215</c:v>
                </c:pt>
                <c:pt idx="438">
                  <c:v>0.57319954423689978</c:v>
                </c:pt>
                <c:pt idx="439">
                  <c:v>0.15337073772610044</c:v>
                </c:pt>
                <c:pt idx="440">
                  <c:v>1.0039318607980607</c:v>
                </c:pt>
                <c:pt idx="441">
                  <c:v>1.0937127496330081</c:v>
                </c:pt>
                <c:pt idx="442">
                  <c:v>-0.12476842932039983</c:v>
                </c:pt>
                <c:pt idx="443">
                  <c:v>0.80657589380640227</c:v>
                </c:pt>
                <c:pt idx="444">
                  <c:v>1.1061488028772017</c:v>
                </c:pt>
                <c:pt idx="445">
                  <c:v>0.7720095110952705</c:v>
                </c:pt>
                <c:pt idx="446">
                  <c:v>0.37513478927258642</c:v>
                </c:pt>
                <c:pt idx="447">
                  <c:v>0.64284089961044311</c:v>
                </c:pt>
                <c:pt idx="448">
                  <c:v>1.0304683337779998</c:v>
                </c:pt>
                <c:pt idx="449">
                  <c:v>1.1991795982159921</c:v>
                </c:pt>
                <c:pt idx="450">
                  <c:v>0.84745700699564031</c:v>
                </c:pt>
                <c:pt idx="451">
                  <c:v>0.61535848459578291</c:v>
                </c:pt>
                <c:pt idx="452">
                  <c:v>1.9503877599464046</c:v>
                </c:pt>
                <c:pt idx="453">
                  <c:v>0.39611191742362828</c:v>
                </c:pt>
                <c:pt idx="454">
                  <c:v>1.098002497340723</c:v>
                </c:pt>
                <c:pt idx="455">
                  <c:v>1.9701369539067124</c:v>
                </c:pt>
                <c:pt idx="456">
                  <c:v>1.753900475126019E-2</c:v>
                </c:pt>
                <c:pt idx="457">
                  <c:v>1.1125373011656197</c:v>
                </c:pt>
                <c:pt idx="458">
                  <c:v>0.35218126838900377</c:v>
                </c:pt>
                <c:pt idx="459">
                  <c:v>0.13835813430835137</c:v>
                </c:pt>
                <c:pt idx="460">
                  <c:v>0.20594943986290926</c:v>
                </c:pt>
                <c:pt idx="461">
                  <c:v>0.90875448039250595</c:v>
                </c:pt>
                <c:pt idx="462">
                  <c:v>0.57422165262042868</c:v>
                </c:pt>
                <c:pt idx="463">
                  <c:v>2.3510335386774699</c:v>
                </c:pt>
                <c:pt idx="464">
                  <c:v>1.061113935953043</c:v>
                </c:pt>
                <c:pt idx="465">
                  <c:v>0.2335990119550691</c:v>
                </c:pt>
                <c:pt idx="466">
                  <c:v>0.20913796967314296</c:v>
                </c:pt>
                <c:pt idx="467">
                  <c:v>2.4428034856065119</c:v>
                </c:pt>
                <c:pt idx="468">
                  <c:v>1.6415282227214298</c:v>
                </c:pt>
                <c:pt idx="469">
                  <c:v>0.95019390032628281</c:v>
                </c:pt>
                <c:pt idx="470">
                  <c:v>0.18007521052740749</c:v>
                </c:pt>
                <c:pt idx="471">
                  <c:v>1.7637407768798701</c:v>
                </c:pt>
                <c:pt idx="472">
                  <c:v>0.56143100452781325</c:v>
                </c:pt>
                <c:pt idx="473">
                  <c:v>1.7198151470353888</c:v>
                </c:pt>
                <c:pt idx="474">
                  <c:v>0.49998527756593086</c:v>
                </c:pt>
                <c:pt idx="475">
                  <c:v>0.88740679694104085</c:v>
                </c:pt>
                <c:pt idx="476">
                  <c:v>1.6518668433153616</c:v>
                </c:pt>
                <c:pt idx="477">
                  <c:v>1.5948599252154319</c:v>
                </c:pt>
                <c:pt idx="478">
                  <c:v>1.3340472449973024</c:v>
                </c:pt>
                <c:pt idx="479">
                  <c:v>0.58922117239372618</c:v>
                </c:pt>
                <c:pt idx="480">
                  <c:v>3.282714488259264E-2</c:v>
                </c:pt>
                <c:pt idx="481">
                  <c:v>0.83078809697323708</c:v>
                </c:pt>
                <c:pt idx="482">
                  <c:v>1.3319129538767838</c:v>
                </c:pt>
                <c:pt idx="483">
                  <c:v>0.92593000159235173</c:v>
                </c:pt>
                <c:pt idx="484">
                  <c:v>1.7908511436578856</c:v>
                </c:pt>
                <c:pt idx="485">
                  <c:v>1.7762392895884953</c:v>
                </c:pt>
                <c:pt idx="486">
                  <c:v>1.0378135517036808</c:v>
                </c:pt>
                <c:pt idx="487">
                  <c:v>0.80188645778271816</c:v>
                </c:pt>
                <c:pt idx="488">
                  <c:v>0.94917650199424131</c:v>
                </c:pt>
                <c:pt idx="489">
                  <c:v>0.14989467313994664</c:v>
                </c:pt>
                <c:pt idx="490">
                  <c:v>1.4487683588253926</c:v>
                </c:pt>
                <c:pt idx="491">
                  <c:v>1.0939739601868959</c:v>
                </c:pt>
                <c:pt idx="492">
                  <c:v>0.4616348149816466</c:v>
                </c:pt>
                <c:pt idx="493">
                  <c:v>0.13199752513247676</c:v>
                </c:pt>
                <c:pt idx="494">
                  <c:v>1.3538283929644268</c:v>
                </c:pt>
                <c:pt idx="495">
                  <c:v>0.48902332966890488</c:v>
                </c:pt>
                <c:pt idx="496">
                  <c:v>1.087833336535879</c:v>
                </c:pt>
                <c:pt idx="497">
                  <c:v>1.203005950177793</c:v>
                </c:pt>
                <c:pt idx="498">
                  <c:v>1.5823240194945889</c:v>
                </c:pt>
                <c:pt idx="499">
                  <c:v>1.1796553601238948</c:v>
                </c:pt>
                <c:pt idx="500">
                  <c:v>2.1893048661519932</c:v>
                </c:pt>
                <c:pt idx="501">
                  <c:v>0.89627946890799692</c:v>
                </c:pt>
                <c:pt idx="502">
                  <c:v>0.32866023263095623</c:v>
                </c:pt>
                <c:pt idx="503">
                  <c:v>1.2392748976500192</c:v>
                </c:pt>
                <c:pt idx="504">
                  <c:v>-0.22929714728659545</c:v>
                </c:pt>
                <c:pt idx="505">
                  <c:v>1.4217870359222173</c:v>
                </c:pt>
                <c:pt idx="506">
                  <c:v>2.203559578882091</c:v>
                </c:pt>
                <c:pt idx="507">
                  <c:v>0.61889545962138015</c:v>
                </c:pt>
                <c:pt idx="508">
                  <c:v>0.46363038829993797</c:v>
                </c:pt>
                <c:pt idx="509">
                  <c:v>-0.34827647904919395</c:v>
                </c:pt>
                <c:pt idx="510">
                  <c:v>0.69384563923620901</c:v>
                </c:pt>
                <c:pt idx="511">
                  <c:v>1.2374389676551445</c:v>
                </c:pt>
                <c:pt idx="512">
                  <c:v>1.6667048538886891</c:v>
                </c:pt>
                <c:pt idx="513">
                  <c:v>0.77881560979991371</c:v>
                </c:pt>
                <c:pt idx="514">
                  <c:v>1.5167680322449391</c:v>
                </c:pt>
                <c:pt idx="515">
                  <c:v>1.8083112300486306</c:v>
                </c:pt>
                <c:pt idx="516">
                  <c:v>1.1503939985381288</c:v>
                </c:pt>
                <c:pt idx="517">
                  <c:v>1.3496150633678983</c:v>
                </c:pt>
                <c:pt idx="518">
                  <c:v>1.3677245679384364</c:v>
                </c:pt>
                <c:pt idx="519">
                  <c:v>1.1662286107351916</c:v>
                </c:pt>
                <c:pt idx="520">
                  <c:v>2.0123403498851187</c:v>
                </c:pt>
                <c:pt idx="521">
                  <c:v>1.013407337662926</c:v>
                </c:pt>
                <c:pt idx="522">
                  <c:v>0.82492488074669024</c:v>
                </c:pt>
                <c:pt idx="523">
                  <c:v>0.47405161260555884</c:v>
                </c:pt>
                <c:pt idx="524">
                  <c:v>0.85369402950339346</c:v>
                </c:pt>
                <c:pt idx="525">
                  <c:v>0.49806424912962532</c:v>
                </c:pt>
                <c:pt idx="526">
                  <c:v>1.4207885185211935</c:v>
                </c:pt>
                <c:pt idx="527">
                  <c:v>1.5400976361045893</c:v>
                </c:pt>
                <c:pt idx="528">
                  <c:v>1.8599227614472076</c:v>
                </c:pt>
                <c:pt idx="529">
                  <c:v>0.61129488375948726</c:v>
                </c:pt>
                <c:pt idx="530">
                  <c:v>0.89883554855165526</c:v>
                </c:pt>
                <c:pt idx="531">
                  <c:v>1.0296791791773332</c:v>
                </c:pt>
                <c:pt idx="532">
                  <c:v>0.66784503382067983</c:v>
                </c:pt>
                <c:pt idx="533">
                  <c:v>1.3369957009689513</c:v>
                </c:pt>
                <c:pt idx="534">
                  <c:v>0.40005602610560453</c:v>
                </c:pt>
                <c:pt idx="535">
                  <c:v>2.1541766212078888</c:v>
                </c:pt>
                <c:pt idx="536">
                  <c:v>0.52526159017453911</c:v>
                </c:pt>
                <c:pt idx="537">
                  <c:v>0.97921590524781144</c:v>
                </c:pt>
                <c:pt idx="538">
                  <c:v>0.52883457019719626</c:v>
                </c:pt>
                <c:pt idx="539">
                  <c:v>0.52066787313290708</c:v>
                </c:pt>
                <c:pt idx="540">
                  <c:v>0.68132638947244883</c:v>
                </c:pt>
                <c:pt idx="541">
                  <c:v>-0.10104490721252524</c:v>
                </c:pt>
                <c:pt idx="542">
                  <c:v>1.6740966474151433</c:v>
                </c:pt>
                <c:pt idx="543">
                  <c:v>0.65856183811478775</c:v>
                </c:pt>
                <c:pt idx="544">
                  <c:v>1.2196136589816726</c:v>
                </c:pt>
                <c:pt idx="545">
                  <c:v>0.53148164612911308</c:v>
                </c:pt>
                <c:pt idx="546">
                  <c:v>1.1063803233790477</c:v>
                </c:pt>
                <c:pt idx="547">
                  <c:v>0.7126402076914784</c:v>
                </c:pt>
                <c:pt idx="548">
                  <c:v>0.94887508145126365</c:v>
                </c:pt>
                <c:pt idx="549">
                  <c:v>0.76095838564329632</c:v>
                </c:pt>
                <c:pt idx="550">
                  <c:v>1.0578623008622512</c:v>
                </c:pt>
                <c:pt idx="551">
                  <c:v>0.57533460067126851</c:v>
                </c:pt>
                <c:pt idx="552">
                  <c:v>0.2843983076457548</c:v>
                </c:pt>
                <c:pt idx="553">
                  <c:v>1.1335447254076181</c:v>
                </c:pt>
                <c:pt idx="554">
                  <c:v>0.3074954617633967</c:v>
                </c:pt>
                <c:pt idx="555">
                  <c:v>1.4196700171783907</c:v>
                </c:pt>
                <c:pt idx="556">
                  <c:v>0.40558022498482993</c:v>
                </c:pt>
                <c:pt idx="557">
                  <c:v>0.50808009473349824</c:v>
                </c:pt>
                <c:pt idx="558">
                  <c:v>0.8490460610624756</c:v>
                </c:pt>
                <c:pt idx="559">
                  <c:v>2.2816923136241805</c:v>
                </c:pt>
                <c:pt idx="560">
                  <c:v>1.9052129767790746</c:v>
                </c:pt>
                <c:pt idx="561">
                  <c:v>-0.4776036023341349</c:v>
                </c:pt>
                <c:pt idx="562">
                  <c:v>0.40122639633606244</c:v>
                </c:pt>
                <c:pt idx="563">
                  <c:v>0.50263358441161521</c:v>
                </c:pt>
                <c:pt idx="564">
                  <c:v>0.8524672517731815</c:v>
                </c:pt>
                <c:pt idx="565">
                  <c:v>1.0182207444194491</c:v>
                </c:pt>
                <c:pt idx="566">
                  <c:v>2.239817344019432</c:v>
                </c:pt>
                <c:pt idx="567">
                  <c:v>0.94328483669865382</c:v>
                </c:pt>
                <c:pt idx="568">
                  <c:v>1.9428199980914156</c:v>
                </c:pt>
                <c:pt idx="569">
                  <c:v>1.6910281849248703</c:v>
                </c:pt>
                <c:pt idx="570">
                  <c:v>1.3538734919857802</c:v>
                </c:pt>
                <c:pt idx="571">
                  <c:v>0.58975276792063314</c:v>
                </c:pt>
                <c:pt idx="572">
                  <c:v>1.1763639476951282</c:v>
                </c:pt>
                <c:pt idx="573">
                  <c:v>0.59279050832649949</c:v>
                </c:pt>
                <c:pt idx="574">
                  <c:v>0.49629126647332383</c:v>
                </c:pt>
                <c:pt idx="575">
                  <c:v>1.2049516090513865</c:v>
                </c:pt>
                <c:pt idx="576">
                  <c:v>0.94469550422332982</c:v>
                </c:pt>
                <c:pt idx="577">
                  <c:v>0.85367226534141671</c:v>
                </c:pt>
                <c:pt idx="578">
                  <c:v>1.1671090774920834</c:v>
                </c:pt>
                <c:pt idx="579">
                  <c:v>1.6336631603056195</c:v>
                </c:pt>
                <c:pt idx="580">
                  <c:v>0.82634649319682152</c:v>
                </c:pt>
                <c:pt idx="581">
                  <c:v>0.44384661470251652</c:v>
                </c:pt>
                <c:pt idx="582">
                  <c:v>1.672991233549862</c:v>
                </c:pt>
                <c:pt idx="583">
                  <c:v>1.6103702765464201</c:v>
                </c:pt>
                <c:pt idx="584">
                  <c:v>0.61118630352172676</c:v>
                </c:pt>
                <c:pt idx="585">
                  <c:v>1.2945020355615566</c:v>
                </c:pt>
                <c:pt idx="586">
                  <c:v>1.0722903675890032</c:v>
                </c:pt>
                <c:pt idx="587">
                  <c:v>0.86745680876496634</c:v>
                </c:pt>
                <c:pt idx="588">
                  <c:v>0.23104917891177529</c:v>
                </c:pt>
                <c:pt idx="589">
                  <c:v>2.7824717430354058</c:v>
                </c:pt>
                <c:pt idx="590">
                  <c:v>0.954929156923084</c:v>
                </c:pt>
                <c:pt idx="591">
                  <c:v>1.3266698189405621</c:v>
                </c:pt>
                <c:pt idx="592">
                  <c:v>1.7111792251112556</c:v>
                </c:pt>
                <c:pt idx="593">
                  <c:v>0.74521913438461829</c:v>
                </c:pt>
                <c:pt idx="594">
                  <c:v>0.79257520681289717</c:v>
                </c:pt>
                <c:pt idx="595">
                  <c:v>1.1082419950623195</c:v>
                </c:pt>
                <c:pt idx="596">
                  <c:v>0.74105419070477385</c:v>
                </c:pt>
                <c:pt idx="597">
                  <c:v>0.82529067912132048</c:v>
                </c:pt>
                <c:pt idx="598">
                  <c:v>0.51417188292828975</c:v>
                </c:pt>
                <c:pt idx="599">
                  <c:v>0.7148097818746133</c:v>
                </c:pt>
                <c:pt idx="600">
                  <c:v>1.0754290375088111</c:v>
                </c:pt>
                <c:pt idx="601">
                  <c:v>1.0259306292676109</c:v>
                </c:pt>
                <c:pt idx="602">
                  <c:v>0.53944909137265906</c:v>
                </c:pt>
                <c:pt idx="603">
                  <c:v>1.4885830566274985</c:v>
                </c:pt>
                <c:pt idx="604">
                  <c:v>3.2028940778642543</c:v>
                </c:pt>
                <c:pt idx="605">
                  <c:v>1.2806662321695914</c:v>
                </c:pt>
                <c:pt idx="606">
                  <c:v>3.2804437646426443</c:v>
                </c:pt>
                <c:pt idx="607">
                  <c:v>1.0514227575841077</c:v>
                </c:pt>
                <c:pt idx="608">
                  <c:v>1.6994833552024731</c:v>
                </c:pt>
                <c:pt idx="609">
                  <c:v>0.77249715771912375</c:v>
                </c:pt>
                <c:pt idx="610">
                  <c:v>2.0277775923631105</c:v>
                </c:pt>
                <c:pt idx="611">
                  <c:v>0.94816448565149125</c:v>
                </c:pt>
                <c:pt idx="612">
                  <c:v>1.6540736948785788</c:v>
                </c:pt>
                <c:pt idx="613">
                  <c:v>1.173938394531276</c:v>
                </c:pt>
                <c:pt idx="614">
                  <c:v>1.4014628726691398</c:v>
                </c:pt>
                <c:pt idx="615">
                  <c:v>2.3473368387481832</c:v>
                </c:pt>
                <c:pt idx="616">
                  <c:v>0.12805406991447055</c:v>
                </c:pt>
                <c:pt idx="617">
                  <c:v>1.4911880464627831</c:v>
                </c:pt>
                <c:pt idx="618">
                  <c:v>1.4950331454953132</c:v>
                </c:pt>
                <c:pt idx="619">
                  <c:v>1.5807975313316418</c:v>
                </c:pt>
                <c:pt idx="620">
                  <c:v>0.73150742618446962</c:v>
                </c:pt>
                <c:pt idx="621">
                  <c:v>2.1494607972872131</c:v>
                </c:pt>
                <c:pt idx="622">
                  <c:v>0.65923004240673178</c:v>
                </c:pt>
                <c:pt idx="623">
                  <c:v>1.3391924331325882</c:v>
                </c:pt>
                <c:pt idx="624">
                  <c:v>1.012804492434543</c:v>
                </c:pt>
                <c:pt idx="625">
                  <c:v>0.34836492115529699</c:v>
                </c:pt>
                <c:pt idx="626">
                  <c:v>1.249056496707714</c:v>
                </c:pt>
                <c:pt idx="627">
                  <c:v>1.1712315190557145</c:v>
                </c:pt>
                <c:pt idx="628">
                  <c:v>1.1050553105278269</c:v>
                </c:pt>
                <c:pt idx="629">
                  <c:v>0.2869752920283638</c:v>
                </c:pt>
                <c:pt idx="630">
                  <c:v>1.5893897729524824</c:v>
                </c:pt>
                <c:pt idx="631">
                  <c:v>1.0709200481417671</c:v>
                </c:pt>
                <c:pt idx="632">
                  <c:v>0.14995110079140722</c:v>
                </c:pt>
                <c:pt idx="633">
                  <c:v>3.2316484534884049</c:v>
                </c:pt>
                <c:pt idx="634">
                  <c:v>-4.4460286518677894E-2</c:v>
                </c:pt>
                <c:pt idx="635">
                  <c:v>0.66505222701026656</c:v>
                </c:pt>
                <c:pt idx="636">
                  <c:v>1.2424051961858282</c:v>
                </c:pt>
                <c:pt idx="637">
                  <c:v>1.3424497361664762</c:v>
                </c:pt>
                <c:pt idx="638">
                  <c:v>1.9549554566702412</c:v>
                </c:pt>
                <c:pt idx="639">
                  <c:v>1.4842670711105828</c:v>
                </c:pt>
                <c:pt idx="640">
                  <c:v>0.78316013623019665</c:v>
                </c:pt>
                <c:pt idx="641">
                  <c:v>1.2850935624606814</c:v>
                </c:pt>
                <c:pt idx="642">
                  <c:v>1.4225327227307487</c:v>
                </c:pt>
                <c:pt idx="643">
                  <c:v>1.0433236073517649</c:v>
                </c:pt>
                <c:pt idx="644">
                  <c:v>0.504767133630455</c:v>
                </c:pt>
                <c:pt idx="645">
                  <c:v>1.0306204040892579</c:v>
                </c:pt>
                <c:pt idx="646">
                  <c:v>0.23361093118728504</c:v>
                </c:pt>
                <c:pt idx="647">
                  <c:v>1.351495971252886</c:v>
                </c:pt>
                <c:pt idx="648">
                  <c:v>0.74310447438785898</c:v>
                </c:pt>
                <c:pt idx="649">
                  <c:v>5.5301720491047979E-2</c:v>
                </c:pt>
                <c:pt idx="650">
                  <c:v>1.2411434214305053</c:v>
                </c:pt>
                <c:pt idx="651">
                  <c:v>0.91979767443812988</c:v>
                </c:pt>
                <c:pt idx="652">
                  <c:v>0.72881643749864344</c:v>
                </c:pt>
                <c:pt idx="653">
                  <c:v>0.77580728364497586</c:v>
                </c:pt>
                <c:pt idx="654">
                  <c:v>1.9497407087062151</c:v>
                </c:pt>
                <c:pt idx="655">
                  <c:v>1.4722019877245767</c:v>
                </c:pt>
                <c:pt idx="656">
                  <c:v>1.1234134202682493</c:v>
                </c:pt>
                <c:pt idx="657">
                  <c:v>1.1733308340540594</c:v>
                </c:pt>
                <c:pt idx="658">
                  <c:v>-0.19242009082148342</c:v>
                </c:pt>
                <c:pt idx="659">
                  <c:v>0.26748967540558483</c:v>
                </c:pt>
                <c:pt idx="660">
                  <c:v>1.8631189835980702</c:v>
                </c:pt>
                <c:pt idx="661">
                  <c:v>2.156524291226503</c:v>
                </c:pt>
                <c:pt idx="662">
                  <c:v>1.0128656882150853</c:v>
                </c:pt>
                <c:pt idx="663">
                  <c:v>0.44631665143594734</c:v>
                </c:pt>
                <c:pt idx="664">
                  <c:v>2.151533413189652</c:v>
                </c:pt>
                <c:pt idx="665">
                  <c:v>1.2259814688786075</c:v>
                </c:pt>
                <c:pt idx="666">
                  <c:v>2.0535971233064063</c:v>
                </c:pt>
                <c:pt idx="667">
                  <c:v>1.0987685391503192</c:v>
                </c:pt>
                <c:pt idx="668">
                  <c:v>0.48126943659711802</c:v>
                </c:pt>
                <c:pt idx="669">
                  <c:v>0.19186241333169196</c:v>
                </c:pt>
                <c:pt idx="670">
                  <c:v>1.4985698515200849</c:v>
                </c:pt>
                <c:pt idx="671">
                  <c:v>0.89801111331715944</c:v>
                </c:pt>
                <c:pt idx="672">
                  <c:v>1.3709090629261005</c:v>
                </c:pt>
                <c:pt idx="673">
                  <c:v>1.0091792197194811</c:v>
                </c:pt>
                <c:pt idx="674">
                  <c:v>0.84836177944835167</c:v>
                </c:pt>
                <c:pt idx="675">
                  <c:v>0.95238142406173565</c:v>
                </c:pt>
                <c:pt idx="676">
                  <c:v>1.3846616779511915</c:v>
                </c:pt>
                <c:pt idx="677">
                  <c:v>0.34662587639353259</c:v>
                </c:pt>
                <c:pt idx="678">
                  <c:v>1.1435404446754369</c:v>
                </c:pt>
                <c:pt idx="679">
                  <c:v>0.55290846852520315</c:v>
                </c:pt>
                <c:pt idx="680">
                  <c:v>0.93490101708194384</c:v>
                </c:pt>
                <c:pt idx="681">
                  <c:v>0.46417815783593619</c:v>
                </c:pt>
                <c:pt idx="682">
                  <c:v>5.1782163604266351E-2</c:v>
                </c:pt>
                <c:pt idx="683">
                  <c:v>1.1636095541931357</c:v>
                </c:pt>
                <c:pt idx="684">
                  <c:v>1.2082284598502708</c:v>
                </c:pt>
                <c:pt idx="685">
                  <c:v>1.2546965002774737</c:v>
                </c:pt>
                <c:pt idx="686">
                  <c:v>0.32991100206404317</c:v>
                </c:pt>
                <c:pt idx="687">
                  <c:v>0.70917121632715774</c:v>
                </c:pt>
                <c:pt idx="688">
                  <c:v>1.7350551991783361</c:v>
                </c:pt>
                <c:pt idx="689">
                  <c:v>0.39407717870155301</c:v>
                </c:pt>
                <c:pt idx="690">
                  <c:v>1.7122734667887656</c:v>
                </c:pt>
                <c:pt idx="691">
                  <c:v>1.8547692243612732</c:v>
                </c:pt>
                <c:pt idx="692">
                  <c:v>1.0192477586980964</c:v>
                </c:pt>
                <c:pt idx="693">
                  <c:v>1.563049679277646</c:v>
                </c:pt>
                <c:pt idx="694">
                  <c:v>1.4414479404091156</c:v>
                </c:pt>
                <c:pt idx="695">
                  <c:v>1.4784181126881579</c:v>
                </c:pt>
                <c:pt idx="696">
                  <c:v>-2.2609432607402669E-2</c:v>
                </c:pt>
                <c:pt idx="697">
                  <c:v>0.57676765874118929</c:v>
                </c:pt>
                <c:pt idx="698">
                  <c:v>0.20628881500078128</c:v>
                </c:pt>
                <c:pt idx="699">
                  <c:v>0.16502618486886589</c:v>
                </c:pt>
                <c:pt idx="700">
                  <c:v>0.62225117771109739</c:v>
                </c:pt>
                <c:pt idx="701">
                  <c:v>0.84523302171514403</c:v>
                </c:pt>
                <c:pt idx="702">
                  <c:v>0.98436031531738322</c:v>
                </c:pt>
                <c:pt idx="703">
                  <c:v>1.4061656366861295</c:v>
                </c:pt>
                <c:pt idx="704">
                  <c:v>0.56509955483037777</c:v>
                </c:pt>
                <c:pt idx="705">
                  <c:v>1.0479209349886565</c:v>
                </c:pt>
                <c:pt idx="706">
                  <c:v>0.21634885320009056</c:v>
                </c:pt>
                <c:pt idx="707">
                  <c:v>1.6315077300998597</c:v>
                </c:pt>
                <c:pt idx="708">
                  <c:v>0.35039820167922753</c:v>
                </c:pt>
                <c:pt idx="709">
                  <c:v>1.3625444939391105</c:v>
                </c:pt>
                <c:pt idx="710">
                  <c:v>1.6578484061863612</c:v>
                </c:pt>
                <c:pt idx="711">
                  <c:v>-1.9356958788662171E-2</c:v>
                </c:pt>
                <c:pt idx="712">
                  <c:v>1.9995748227419829</c:v>
                </c:pt>
                <c:pt idx="713">
                  <c:v>1.176163363794372</c:v>
                </c:pt>
                <c:pt idx="714">
                  <c:v>1.0708290333130577</c:v>
                </c:pt>
                <c:pt idx="715">
                  <c:v>0.9337916047025232</c:v>
                </c:pt>
                <c:pt idx="716">
                  <c:v>0.52342878406471871</c:v>
                </c:pt>
                <c:pt idx="717">
                  <c:v>1.2796591079829436</c:v>
                </c:pt>
                <c:pt idx="718">
                  <c:v>0.69910186880031611</c:v>
                </c:pt>
                <c:pt idx="719">
                  <c:v>1.0333729351900396</c:v>
                </c:pt>
                <c:pt idx="720">
                  <c:v>4.0992471731038926E-2</c:v>
                </c:pt>
                <c:pt idx="721">
                  <c:v>0.54500372704218214</c:v>
                </c:pt>
                <c:pt idx="722">
                  <c:v>1.1060469778547868</c:v>
                </c:pt>
                <c:pt idx="723">
                  <c:v>0.78064232740356565</c:v>
                </c:pt>
                <c:pt idx="724">
                  <c:v>0.92303454120759532</c:v>
                </c:pt>
                <c:pt idx="725">
                  <c:v>1.220421207441778</c:v>
                </c:pt>
                <c:pt idx="726">
                  <c:v>0.4036013158700551</c:v>
                </c:pt>
                <c:pt idx="727">
                  <c:v>2.5247590066157675</c:v>
                </c:pt>
                <c:pt idx="728">
                  <c:v>0.6478846202425762</c:v>
                </c:pt>
                <c:pt idx="729">
                  <c:v>1.2265851635029001</c:v>
                </c:pt>
                <c:pt idx="730">
                  <c:v>0.48585725802169583</c:v>
                </c:pt>
                <c:pt idx="731">
                  <c:v>1.0991782908420185</c:v>
                </c:pt>
                <c:pt idx="732">
                  <c:v>0.27386429622061415</c:v>
                </c:pt>
                <c:pt idx="733">
                  <c:v>8.3125991151244971E-2</c:v>
                </c:pt>
                <c:pt idx="734">
                  <c:v>1.2035251511595897</c:v>
                </c:pt>
                <c:pt idx="735">
                  <c:v>1.8703307203677402</c:v>
                </c:pt>
                <c:pt idx="736">
                  <c:v>0.52472933276567613</c:v>
                </c:pt>
                <c:pt idx="737">
                  <c:v>1.3452007019536891</c:v>
                </c:pt>
                <c:pt idx="738">
                  <c:v>1.4503063736640545</c:v>
                </c:pt>
                <c:pt idx="739">
                  <c:v>1.3259238040347037</c:v>
                </c:pt>
                <c:pt idx="740">
                  <c:v>0.81080355783569091</c:v>
                </c:pt>
                <c:pt idx="741">
                  <c:v>2.6198451213690044</c:v>
                </c:pt>
                <c:pt idx="742">
                  <c:v>0.39431630557671093</c:v>
                </c:pt>
                <c:pt idx="743">
                  <c:v>0.31516453875788514</c:v>
                </c:pt>
                <c:pt idx="744">
                  <c:v>0.42262468907683148</c:v>
                </c:pt>
                <c:pt idx="745">
                  <c:v>0.86815156488017453</c:v>
                </c:pt>
                <c:pt idx="746">
                  <c:v>-0.32625554116660849</c:v>
                </c:pt>
                <c:pt idx="747">
                  <c:v>0.70013954303600268</c:v>
                </c:pt>
                <c:pt idx="748">
                  <c:v>0.76058909871939973</c:v>
                </c:pt>
                <c:pt idx="749">
                  <c:v>0.35670877252236477</c:v>
                </c:pt>
                <c:pt idx="750">
                  <c:v>1.0175046106421115</c:v>
                </c:pt>
                <c:pt idx="751">
                  <c:v>0.81630692487662493</c:v>
                </c:pt>
                <c:pt idx="752">
                  <c:v>1.607009577547033</c:v>
                </c:pt>
                <c:pt idx="753">
                  <c:v>2.6287646983744728</c:v>
                </c:pt>
                <c:pt idx="754">
                  <c:v>2.7413944172639928</c:v>
                </c:pt>
                <c:pt idx="755">
                  <c:v>1.532720508892867</c:v>
                </c:pt>
                <c:pt idx="756">
                  <c:v>0.95489348136263308</c:v>
                </c:pt>
                <c:pt idx="757">
                  <c:v>1.2247089396124633</c:v>
                </c:pt>
                <c:pt idx="758">
                  <c:v>0.37460887066478193</c:v>
                </c:pt>
                <c:pt idx="759">
                  <c:v>0.62912779078054382</c:v>
                </c:pt>
                <c:pt idx="760">
                  <c:v>0.51607037894042118</c:v>
                </c:pt>
                <c:pt idx="761">
                  <c:v>0.71615414981979031</c:v>
                </c:pt>
                <c:pt idx="762">
                  <c:v>0.3452478064443727</c:v>
                </c:pt>
                <c:pt idx="763">
                  <c:v>0.64044295162777742</c:v>
                </c:pt>
                <c:pt idx="764">
                  <c:v>0.65755997425783463</c:v>
                </c:pt>
                <c:pt idx="765">
                  <c:v>0.31120784227705073</c:v>
                </c:pt>
                <c:pt idx="766">
                  <c:v>0.84742538129538603</c:v>
                </c:pt>
                <c:pt idx="767">
                  <c:v>1.1179611675292196</c:v>
                </c:pt>
                <c:pt idx="768">
                  <c:v>1.3072320958942785</c:v>
                </c:pt>
                <c:pt idx="769">
                  <c:v>0.79088919683355452</c:v>
                </c:pt>
                <c:pt idx="770">
                  <c:v>0.12511980330488176</c:v>
                </c:pt>
                <c:pt idx="771">
                  <c:v>0.66272696219847949</c:v>
                </c:pt>
                <c:pt idx="772">
                  <c:v>1.1783500575760808</c:v>
                </c:pt>
                <c:pt idx="773">
                  <c:v>0.50252590439956291</c:v>
                </c:pt>
                <c:pt idx="774">
                  <c:v>0.97351590095070428</c:v>
                </c:pt>
                <c:pt idx="775">
                  <c:v>0.70726457222803818</c:v>
                </c:pt>
                <c:pt idx="776">
                  <c:v>1.1500785792455392</c:v>
                </c:pt>
                <c:pt idx="777">
                  <c:v>-9.6207868721889522E-2</c:v>
                </c:pt>
                <c:pt idx="778">
                  <c:v>0.80693768596876492</c:v>
                </c:pt>
                <c:pt idx="779">
                  <c:v>1.2389896567205418</c:v>
                </c:pt>
                <c:pt idx="780">
                  <c:v>6.082188970386182E-2</c:v>
                </c:pt>
                <c:pt idx="781">
                  <c:v>1.5444187618862781</c:v>
                </c:pt>
                <c:pt idx="782">
                  <c:v>1.7870700443327452</c:v>
                </c:pt>
                <c:pt idx="783">
                  <c:v>0.41328883917221132</c:v>
                </c:pt>
                <c:pt idx="784">
                  <c:v>6.5606219334651772E-2</c:v>
                </c:pt>
                <c:pt idx="785">
                  <c:v>1.1592207314496974</c:v>
                </c:pt>
                <c:pt idx="786">
                  <c:v>1.0068543004672144</c:v>
                </c:pt>
                <c:pt idx="787">
                  <c:v>0.18890453263350959</c:v>
                </c:pt>
                <c:pt idx="788">
                  <c:v>0.6128301738428541</c:v>
                </c:pt>
                <c:pt idx="789">
                  <c:v>1.0563804764602256</c:v>
                </c:pt>
                <c:pt idx="790">
                  <c:v>1.0671367196746697</c:v>
                </c:pt>
                <c:pt idx="791">
                  <c:v>1.6390281843962542</c:v>
                </c:pt>
                <c:pt idx="792">
                  <c:v>1.2138289668478155</c:v>
                </c:pt>
                <c:pt idx="793">
                  <c:v>0.34977594618480773</c:v>
                </c:pt>
                <c:pt idx="794">
                  <c:v>0.55123167649617022</c:v>
                </c:pt>
                <c:pt idx="795">
                  <c:v>0.5034987696769242</c:v>
                </c:pt>
                <c:pt idx="796">
                  <c:v>2.0823880627827949</c:v>
                </c:pt>
                <c:pt idx="797">
                  <c:v>0.97357429534228335</c:v>
                </c:pt>
                <c:pt idx="798">
                  <c:v>0.90701911091223353</c:v>
                </c:pt>
                <c:pt idx="799">
                  <c:v>1.2806848593466729</c:v>
                </c:pt>
                <c:pt idx="800">
                  <c:v>1.2647358585356059</c:v>
                </c:pt>
                <c:pt idx="801">
                  <c:v>2.4443190951496385</c:v>
                </c:pt>
                <c:pt idx="802">
                  <c:v>0.40932806005833888</c:v>
                </c:pt>
                <c:pt idx="803">
                  <c:v>0.30429944893415017</c:v>
                </c:pt>
                <c:pt idx="804">
                  <c:v>1.5336174894562604</c:v>
                </c:pt>
                <c:pt idx="805">
                  <c:v>0.3833544884500093</c:v>
                </c:pt>
                <c:pt idx="806">
                  <c:v>2.2389244471279244</c:v>
                </c:pt>
                <c:pt idx="807">
                  <c:v>0.7417534028307402</c:v>
                </c:pt>
                <c:pt idx="808">
                  <c:v>0.50664328187084928</c:v>
                </c:pt>
                <c:pt idx="809">
                  <c:v>1.3240571707023183</c:v>
                </c:pt>
                <c:pt idx="810">
                  <c:v>0.98019126009264368</c:v>
                </c:pt>
                <c:pt idx="811">
                  <c:v>0.73800052654068116</c:v>
                </c:pt>
                <c:pt idx="812">
                  <c:v>0.84128427785842275</c:v>
                </c:pt>
                <c:pt idx="813">
                  <c:v>0.7281128144053457</c:v>
                </c:pt>
                <c:pt idx="814">
                  <c:v>0.9119022472356344</c:v>
                </c:pt>
                <c:pt idx="815">
                  <c:v>1.2288662270562827</c:v>
                </c:pt>
                <c:pt idx="816">
                  <c:v>0.95249660970790639</c:v>
                </c:pt>
                <c:pt idx="817">
                  <c:v>1.0421587069995064</c:v>
                </c:pt>
                <c:pt idx="818">
                  <c:v>1.1389128326894642</c:v>
                </c:pt>
                <c:pt idx="819">
                  <c:v>0.89533178189933837</c:v>
                </c:pt>
                <c:pt idx="820">
                  <c:v>0.5501232659481915</c:v>
                </c:pt>
                <c:pt idx="821">
                  <c:v>1.2356787315020972</c:v>
                </c:pt>
                <c:pt idx="822">
                  <c:v>0.33865252960732345</c:v>
                </c:pt>
                <c:pt idx="823">
                  <c:v>2.1510685702895538</c:v>
                </c:pt>
                <c:pt idx="824">
                  <c:v>1.0768044290611338</c:v>
                </c:pt>
                <c:pt idx="825">
                  <c:v>2.0529730071891028</c:v>
                </c:pt>
                <c:pt idx="826">
                  <c:v>-5.3402027232818949E-2</c:v>
                </c:pt>
                <c:pt idx="827">
                  <c:v>0.41918347467406947</c:v>
                </c:pt>
                <c:pt idx="828">
                  <c:v>1.2178620082237053</c:v>
                </c:pt>
                <c:pt idx="829">
                  <c:v>0.17743137926455554</c:v>
                </c:pt>
                <c:pt idx="830">
                  <c:v>1.1595934656125446</c:v>
                </c:pt>
                <c:pt idx="831">
                  <c:v>0.47027944692989315</c:v>
                </c:pt>
                <c:pt idx="832">
                  <c:v>1.4834616463205765</c:v>
                </c:pt>
                <c:pt idx="833">
                  <c:v>0.7153859265034539</c:v>
                </c:pt>
                <c:pt idx="834">
                  <c:v>1.1455355022399851</c:v>
                </c:pt>
                <c:pt idx="835">
                  <c:v>1.3821910009802409</c:v>
                </c:pt>
                <c:pt idx="836">
                  <c:v>0.25924956467800242</c:v>
                </c:pt>
                <c:pt idx="837">
                  <c:v>2.6153700249702698</c:v>
                </c:pt>
                <c:pt idx="838">
                  <c:v>0.59906223748905618</c:v>
                </c:pt>
                <c:pt idx="839">
                  <c:v>1.7276271236142315</c:v>
                </c:pt>
                <c:pt idx="840">
                  <c:v>0.76511109506566188</c:v>
                </c:pt>
                <c:pt idx="841">
                  <c:v>1.313246936472044</c:v>
                </c:pt>
                <c:pt idx="842">
                  <c:v>0.78883489316515698</c:v>
                </c:pt>
                <c:pt idx="843">
                  <c:v>1.2847641559445833</c:v>
                </c:pt>
                <c:pt idx="844">
                  <c:v>0.44383561170975966</c:v>
                </c:pt>
                <c:pt idx="845">
                  <c:v>0.56860317075754852</c:v>
                </c:pt>
                <c:pt idx="846">
                  <c:v>1.5320226148752134</c:v>
                </c:pt>
                <c:pt idx="847">
                  <c:v>1.2104431544949468</c:v>
                </c:pt>
                <c:pt idx="848">
                  <c:v>1.4396639879113975</c:v>
                </c:pt>
                <c:pt idx="849">
                  <c:v>0.72709450367177952</c:v>
                </c:pt>
                <c:pt idx="850">
                  <c:v>0.1380555404681002</c:v>
                </c:pt>
                <c:pt idx="851">
                  <c:v>1.31070623305096</c:v>
                </c:pt>
                <c:pt idx="852">
                  <c:v>0.52649172418247148</c:v>
                </c:pt>
                <c:pt idx="853">
                  <c:v>1.2116317940713184</c:v>
                </c:pt>
                <c:pt idx="854">
                  <c:v>1.2782968871606419</c:v>
                </c:pt>
                <c:pt idx="855">
                  <c:v>0.55395458161639444</c:v>
                </c:pt>
                <c:pt idx="856">
                  <c:v>1.1229100620246313</c:v>
                </c:pt>
                <c:pt idx="857">
                  <c:v>0.49262988127109963</c:v>
                </c:pt>
                <c:pt idx="858">
                  <c:v>0.4615539184624658</c:v>
                </c:pt>
                <c:pt idx="859">
                  <c:v>0.94170594379213735</c:v>
                </c:pt>
                <c:pt idx="860">
                  <c:v>0.29677141533621476</c:v>
                </c:pt>
                <c:pt idx="861">
                  <c:v>1.8151654891002009</c:v>
                </c:pt>
                <c:pt idx="862">
                  <c:v>0.19826889491085725</c:v>
                </c:pt>
                <c:pt idx="863">
                  <c:v>0.18999635390949443</c:v>
                </c:pt>
                <c:pt idx="864">
                  <c:v>1.6113310077010199</c:v>
                </c:pt>
                <c:pt idx="865">
                  <c:v>0.9601014532662443</c:v>
                </c:pt>
                <c:pt idx="866">
                  <c:v>0.31305336772253833</c:v>
                </c:pt>
                <c:pt idx="867">
                  <c:v>1.1159911003443737</c:v>
                </c:pt>
                <c:pt idx="868">
                  <c:v>1.1865201902976337</c:v>
                </c:pt>
                <c:pt idx="869">
                  <c:v>0.72064469620948501</c:v>
                </c:pt>
                <c:pt idx="870">
                  <c:v>1.7248341646274308</c:v>
                </c:pt>
                <c:pt idx="871">
                  <c:v>1.570478905311848</c:v>
                </c:pt>
                <c:pt idx="872">
                  <c:v>0.67500861871046824</c:v>
                </c:pt>
                <c:pt idx="873">
                  <c:v>0.65410834843916166</c:v>
                </c:pt>
                <c:pt idx="874">
                  <c:v>0.82740554697255297</c:v>
                </c:pt>
                <c:pt idx="875">
                  <c:v>0.83833580270742392</c:v>
                </c:pt>
                <c:pt idx="876">
                  <c:v>1.4116856227551371</c:v>
                </c:pt>
                <c:pt idx="877">
                  <c:v>1.3858608153166787</c:v>
                </c:pt>
                <c:pt idx="878">
                  <c:v>1.5200017965571346</c:v>
                </c:pt>
                <c:pt idx="879">
                  <c:v>1.0049525313468806</c:v>
                </c:pt>
                <c:pt idx="880">
                  <c:v>0.28659050471042591</c:v>
                </c:pt>
                <c:pt idx="881">
                  <c:v>1.4483587921844161</c:v>
                </c:pt>
                <c:pt idx="882">
                  <c:v>0.78767732700946369</c:v>
                </c:pt>
                <c:pt idx="883">
                  <c:v>1.6030992716767125</c:v>
                </c:pt>
                <c:pt idx="884">
                  <c:v>1.2272353587009095</c:v>
                </c:pt>
                <c:pt idx="885">
                  <c:v>0.7987661042339278</c:v>
                </c:pt>
                <c:pt idx="886">
                  <c:v>1.6630778970995148</c:v>
                </c:pt>
                <c:pt idx="887">
                  <c:v>0.49845677280926715</c:v>
                </c:pt>
                <c:pt idx="888">
                  <c:v>1.0823592232260655</c:v>
                </c:pt>
                <c:pt idx="889">
                  <c:v>1.1872651101568259</c:v>
                </c:pt>
                <c:pt idx="890">
                  <c:v>1.3876526029070781</c:v>
                </c:pt>
                <c:pt idx="891">
                  <c:v>0.69633889286718476</c:v>
                </c:pt>
                <c:pt idx="892">
                  <c:v>0.68213770844653054</c:v>
                </c:pt>
                <c:pt idx="893">
                  <c:v>1.2244535887138976</c:v>
                </c:pt>
                <c:pt idx="894">
                  <c:v>0.97663511758998434</c:v>
                </c:pt>
                <c:pt idx="895">
                  <c:v>2.0543888022815047</c:v>
                </c:pt>
                <c:pt idx="896">
                  <c:v>0.71725185371526945</c:v>
                </c:pt>
                <c:pt idx="897">
                  <c:v>0.82903520707371214</c:v>
                </c:pt>
                <c:pt idx="898">
                  <c:v>0.90180986033457589</c:v>
                </c:pt>
                <c:pt idx="899">
                  <c:v>0.57918000469884912</c:v>
                </c:pt>
                <c:pt idx="900">
                  <c:v>1.367412347257388</c:v>
                </c:pt>
                <c:pt idx="901">
                  <c:v>1.0121541373739884</c:v>
                </c:pt>
                <c:pt idx="902">
                  <c:v>0.7916070245815916</c:v>
                </c:pt>
                <c:pt idx="903">
                  <c:v>0.86225129067858342</c:v>
                </c:pt>
                <c:pt idx="904">
                  <c:v>2.0366012122408592</c:v>
                </c:pt>
                <c:pt idx="905">
                  <c:v>0.53703615400399152</c:v>
                </c:pt>
                <c:pt idx="906">
                  <c:v>1.9175038771065016</c:v>
                </c:pt>
                <c:pt idx="907">
                  <c:v>0.72320176984941442</c:v>
                </c:pt>
                <c:pt idx="908">
                  <c:v>1.9267209866142416</c:v>
                </c:pt>
                <c:pt idx="909">
                  <c:v>0.44974883143293898</c:v>
                </c:pt>
                <c:pt idx="910">
                  <c:v>-1.5258733045803274E-2</c:v>
                </c:pt>
                <c:pt idx="911">
                  <c:v>1.0299104627356026</c:v>
                </c:pt>
                <c:pt idx="912">
                  <c:v>1.5198721470710825</c:v>
                </c:pt>
                <c:pt idx="913">
                  <c:v>1.0689960046165128</c:v>
                </c:pt>
                <c:pt idx="914">
                  <c:v>2.2012450652223112</c:v>
                </c:pt>
                <c:pt idx="915">
                  <c:v>0.59429917366556884</c:v>
                </c:pt>
                <c:pt idx="916">
                  <c:v>2.043659801178463</c:v>
                </c:pt>
                <c:pt idx="917">
                  <c:v>1.203428600760458</c:v>
                </c:pt>
                <c:pt idx="918">
                  <c:v>0.8915401852664836</c:v>
                </c:pt>
                <c:pt idx="919">
                  <c:v>1.3917251714199863</c:v>
                </c:pt>
                <c:pt idx="920">
                  <c:v>0.89860287595866395</c:v>
                </c:pt>
                <c:pt idx="921">
                  <c:v>2.0569335553821295</c:v>
                </c:pt>
                <c:pt idx="922">
                  <c:v>-0.16169152895624994</c:v>
                </c:pt>
                <c:pt idx="923">
                  <c:v>-4.886300840757718E-2</c:v>
                </c:pt>
                <c:pt idx="924">
                  <c:v>0.43582632877784516</c:v>
                </c:pt>
                <c:pt idx="925">
                  <c:v>1.9275877770716443</c:v>
                </c:pt>
                <c:pt idx="926">
                  <c:v>1.2290192002122549</c:v>
                </c:pt>
                <c:pt idx="927">
                  <c:v>1.1584253683743637</c:v>
                </c:pt>
                <c:pt idx="928">
                  <c:v>0.52396339931378866</c:v>
                </c:pt>
                <c:pt idx="929">
                  <c:v>1.8262160600790864</c:v>
                </c:pt>
                <c:pt idx="930">
                  <c:v>1.3091920479212196</c:v>
                </c:pt>
                <c:pt idx="931">
                  <c:v>1.2309547421935709</c:v>
                </c:pt>
                <c:pt idx="932">
                  <c:v>0.38651862532715464</c:v>
                </c:pt>
                <c:pt idx="933">
                  <c:v>0.73432222468336916</c:v>
                </c:pt>
                <c:pt idx="934">
                  <c:v>0.69023735461891089</c:v>
                </c:pt>
                <c:pt idx="935">
                  <c:v>0.88531419636334552</c:v>
                </c:pt>
                <c:pt idx="936">
                  <c:v>0.73757543597583997</c:v>
                </c:pt>
                <c:pt idx="937">
                  <c:v>0.61530752872641681</c:v>
                </c:pt>
                <c:pt idx="938">
                  <c:v>0.38365237556934062</c:v>
                </c:pt>
                <c:pt idx="939">
                  <c:v>2.4248540743002289</c:v>
                </c:pt>
                <c:pt idx="940">
                  <c:v>0.78259082813073699</c:v>
                </c:pt>
                <c:pt idx="941">
                  <c:v>0.1891094235879538</c:v>
                </c:pt>
                <c:pt idx="942">
                  <c:v>1.7925712475531266</c:v>
                </c:pt>
                <c:pt idx="943">
                  <c:v>0.93895274009830154</c:v>
                </c:pt>
                <c:pt idx="944">
                  <c:v>2.6407851400176967</c:v>
                </c:pt>
                <c:pt idx="945">
                  <c:v>0.91274315620737434</c:v>
                </c:pt>
                <c:pt idx="946">
                  <c:v>0.71907625497481387</c:v>
                </c:pt>
                <c:pt idx="947">
                  <c:v>0.9652035231040581</c:v>
                </c:pt>
                <c:pt idx="948">
                  <c:v>2.0088921379189033</c:v>
                </c:pt>
                <c:pt idx="949">
                  <c:v>1.2355597254091155</c:v>
                </c:pt>
                <c:pt idx="950">
                  <c:v>8.6539254225423468E-2</c:v>
                </c:pt>
                <c:pt idx="951">
                  <c:v>0.37785118646449756</c:v>
                </c:pt>
                <c:pt idx="952">
                  <c:v>0.22414872149569279</c:v>
                </c:pt>
                <c:pt idx="953">
                  <c:v>0.54103412985777133</c:v>
                </c:pt>
                <c:pt idx="954">
                  <c:v>0.72150566358499979</c:v>
                </c:pt>
                <c:pt idx="955">
                  <c:v>6.2838859461154944E-2</c:v>
                </c:pt>
                <c:pt idx="956">
                  <c:v>0.5749457100407539</c:v>
                </c:pt>
                <c:pt idx="957">
                  <c:v>0.72289207425122126</c:v>
                </c:pt>
                <c:pt idx="958">
                  <c:v>1.3886373551147826</c:v>
                </c:pt>
                <c:pt idx="959">
                  <c:v>1.7768433515991315</c:v>
                </c:pt>
                <c:pt idx="960">
                  <c:v>1.0056927861340419</c:v>
                </c:pt>
                <c:pt idx="961">
                  <c:v>0.36747288162367564</c:v>
                </c:pt>
                <c:pt idx="962">
                  <c:v>1.6204127674333773</c:v>
                </c:pt>
                <c:pt idx="963">
                  <c:v>1.05647277944049</c:v>
                </c:pt>
                <c:pt idx="964">
                  <c:v>0.41921888882344516</c:v>
                </c:pt>
                <c:pt idx="965">
                  <c:v>1.1739493236419385</c:v>
                </c:pt>
                <c:pt idx="966">
                  <c:v>1.2744964079591061</c:v>
                </c:pt>
                <c:pt idx="967">
                  <c:v>1.5587655548576049</c:v>
                </c:pt>
                <c:pt idx="968">
                  <c:v>0.54566776664478511</c:v>
                </c:pt>
                <c:pt idx="969">
                  <c:v>0.34615740301832337</c:v>
                </c:pt>
                <c:pt idx="970">
                  <c:v>7.3873225376831081E-2</c:v>
                </c:pt>
                <c:pt idx="971">
                  <c:v>1.4515791916865823</c:v>
                </c:pt>
                <c:pt idx="972">
                  <c:v>0.86729685525552924</c:v>
                </c:pt>
                <c:pt idx="973">
                  <c:v>0.44026969495377632</c:v>
                </c:pt>
                <c:pt idx="974">
                  <c:v>1.3768392124297471</c:v>
                </c:pt>
                <c:pt idx="975">
                  <c:v>0.54966147158066347</c:v>
                </c:pt>
                <c:pt idx="976">
                  <c:v>-0.13231161367348909</c:v>
                </c:pt>
                <c:pt idx="977">
                  <c:v>0.90570940496517105</c:v>
                </c:pt>
                <c:pt idx="978">
                  <c:v>1.016382223673451</c:v>
                </c:pt>
                <c:pt idx="979">
                  <c:v>1.9726982523447152</c:v>
                </c:pt>
                <c:pt idx="980">
                  <c:v>0.30039822725146381</c:v>
                </c:pt>
                <c:pt idx="981">
                  <c:v>1.2187027931243988</c:v>
                </c:pt>
                <c:pt idx="982">
                  <c:v>2.82720506871183E-2</c:v>
                </c:pt>
                <c:pt idx="983">
                  <c:v>1.7759409450943204</c:v>
                </c:pt>
                <c:pt idx="984">
                  <c:v>0.42748913304363395</c:v>
                </c:pt>
                <c:pt idx="985">
                  <c:v>0.64319093450899056</c:v>
                </c:pt>
                <c:pt idx="986">
                  <c:v>0.55918950152170377</c:v>
                </c:pt>
                <c:pt idx="987">
                  <c:v>1.8641294173738419</c:v>
                </c:pt>
                <c:pt idx="988">
                  <c:v>0.80855620489449187</c:v>
                </c:pt>
                <c:pt idx="989">
                  <c:v>0.90997261792969697</c:v>
                </c:pt>
                <c:pt idx="990">
                  <c:v>1.5211205190713191</c:v>
                </c:pt>
                <c:pt idx="991">
                  <c:v>0.83209409122240729</c:v>
                </c:pt>
                <c:pt idx="992">
                  <c:v>0.89657733821142582</c:v>
                </c:pt>
                <c:pt idx="993">
                  <c:v>0.65704714668868258</c:v>
                </c:pt>
                <c:pt idx="994">
                  <c:v>0.7498970834592088</c:v>
                </c:pt>
                <c:pt idx="995">
                  <c:v>0.51870063604229988</c:v>
                </c:pt>
                <c:pt idx="996">
                  <c:v>0.47747446387798875</c:v>
                </c:pt>
                <c:pt idx="997">
                  <c:v>0.59850156727038339</c:v>
                </c:pt>
                <c:pt idx="998">
                  <c:v>0.3477289092313916</c:v>
                </c:pt>
                <c:pt idx="999">
                  <c:v>0.29714581173566401</c:v>
                </c:pt>
              </c:numCache>
            </c:numRef>
          </c:yVal>
          <c:smooth val="0"/>
          <c:extLst>
            <c:ext xmlns:c16="http://schemas.microsoft.com/office/drawing/2014/chart" uri="{C3380CC4-5D6E-409C-BE32-E72D297353CC}">
              <c16:uniqueId val="{00000006-D472-4B65-AD82-0D81CABE73D5}"/>
            </c:ext>
          </c:extLst>
        </c:ser>
        <c:dLbls>
          <c:showLegendKey val="0"/>
          <c:showVal val="0"/>
          <c:showCatName val="0"/>
          <c:showSerName val="0"/>
          <c:showPercent val="0"/>
          <c:showBubbleSize val="0"/>
        </c:dLbls>
        <c:axId val="1283949200"/>
        <c:axId val="1283953520"/>
      </c:scatterChart>
      <c:valAx>
        <c:axId val="12839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53520"/>
        <c:crosses val="autoZero"/>
        <c:crossBetween val="midCat"/>
      </c:valAx>
      <c:valAx>
        <c:axId val="1283953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49200"/>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Probability of Conformance</c:v>
          </c:tx>
          <c:spPr>
            <a:ln w="19050" cap="rnd">
              <a:solidFill>
                <a:schemeClr val="accent1"/>
              </a:solidFill>
              <a:round/>
            </a:ln>
            <a:effectLst/>
          </c:spPr>
          <c:marker>
            <c:symbol val="none"/>
          </c:marker>
          <c:xVal>
            <c:numRef>
              <c:f>'Specific Risk'!$M$5:$M$104</c:f>
              <c:numCache>
                <c:formatCode>General</c:formatCode>
                <c:ptCount val="100"/>
                <c:pt idx="0">
                  <c:v>-16</c:v>
                </c:pt>
                <c:pt idx="1">
                  <c:v>-15.676767676767676</c:v>
                </c:pt>
                <c:pt idx="2">
                  <c:v>-15.353535353535353</c:v>
                </c:pt>
                <c:pt idx="3">
                  <c:v>-15.030303030303029</c:v>
                </c:pt>
                <c:pt idx="4">
                  <c:v>-14.707070707070706</c:v>
                </c:pt>
                <c:pt idx="5">
                  <c:v>-14.383838383838382</c:v>
                </c:pt>
                <c:pt idx="6">
                  <c:v>-14.060606060606059</c:v>
                </c:pt>
                <c:pt idx="7">
                  <c:v>-13.737373737373735</c:v>
                </c:pt>
                <c:pt idx="8">
                  <c:v>-13.414141414141412</c:v>
                </c:pt>
                <c:pt idx="9">
                  <c:v>-13.090909090909088</c:v>
                </c:pt>
                <c:pt idx="10">
                  <c:v>-12.767676767676765</c:v>
                </c:pt>
                <c:pt idx="11">
                  <c:v>-12.444444444444441</c:v>
                </c:pt>
                <c:pt idx="12">
                  <c:v>-12.121212121212118</c:v>
                </c:pt>
                <c:pt idx="13">
                  <c:v>-11.797979797979794</c:v>
                </c:pt>
                <c:pt idx="14">
                  <c:v>-11.47474747474747</c:v>
                </c:pt>
                <c:pt idx="15">
                  <c:v>-11.151515151515147</c:v>
                </c:pt>
                <c:pt idx="16">
                  <c:v>-10.828282828282823</c:v>
                </c:pt>
                <c:pt idx="17">
                  <c:v>-10.5050505050505</c:v>
                </c:pt>
                <c:pt idx="18">
                  <c:v>-10.181818181818176</c:v>
                </c:pt>
                <c:pt idx="19">
                  <c:v>-9.8585858585858528</c:v>
                </c:pt>
                <c:pt idx="20">
                  <c:v>-9.5353535353535293</c:v>
                </c:pt>
                <c:pt idx="21">
                  <c:v>-9.2121212121212057</c:v>
                </c:pt>
                <c:pt idx="22">
                  <c:v>-8.8888888888888822</c:v>
                </c:pt>
                <c:pt idx="23">
                  <c:v>-8.5656565656565586</c:v>
                </c:pt>
                <c:pt idx="24">
                  <c:v>-8.2424242424242351</c:v>
                </c:pt>
                <c:pt idx="25">
                  <c:v>-7.9191919191919116</c:v>
                </c:pt>
                <c:pt idx="26">
                  <c:v>-7.595959595959588</c:v>
                </c:pt>
                <c:pt idx="27">
                  <c:v>-7.2727272727272645</c:v>
                </c:pt>
                <c:pt idx="28">
                  <c:v>-6.949494949494941</c:v>
                </c:pt>
                <c:pt idx="29">
                  <c:v>-6.6262626262626174</c:v>
                </c:pt>
                <c:pt idx="30">
                  <c:v>-6.3030303030302939</c:v>
                </c:pt>
                <c:pt idx="31">
                  <c:v>-5.9797979797979703</c:v>
                </c:pt>
                <c:pt idx="32">
                  <c:v>-5.6565656565656468</c:v>
                </c:pt>
                <c:pt idx="33">
                  <c:v>-5.3333333333333233</c:v>
                </c:pt>
                <c:pt idx="34">
                  <c:v>-5.0101010101009997</c:v>
                </c:pt>
                <c:pt idx="35">
                  <c:v>-4.6868686868686762</c:v>
                </c:pt>
                <c:pt idx="36">
                  <c:v>-4.3636363636363527</c:v>
                </c:pt>
                <c:pt idx="37">
                  <c:v>-4.0404040404040291</c:v>
                </c:pt>
                <c:pt idx="38">
                  <c:v>-3.717171717171706</c:v>
                </c:pt>
                <c:pt idx="39">
                  <c:v>-3.3939393939393829</c:v>
                </c:pt>
                <c:pt idx="40">
                  <c:v>-3.0707070707070598</c:v>
                </c:pt>
                <c:pt idx="41">
                  <c:v>-2.7474747474747367</c:v>
                </c:pt>
                <c:pt idx="42">
                  <c:v>-2.4242424242424137</c:v>
                </c:pt>
                <c:pt idx="43">
                  <c:v>-2.1010101010100906</c:v>
                </c:pt>
                <c:pt idx="44">
                  <c:v>-1.7777777777777672</c:v>
                </c:pt>
                <c:pt idx="45">
                  <c:v>-1.4545454545454439</c:v>
                </c:pt>
                <c:pt idx="46">
                  <c:v>-1.1313131313131206</c:v>
                </c:pt>
                <c:pt idx="47">
                  <c:v>-0.8080808080807973</c:v>
                </c:pt>
                <c:pt idx="48">
                  <c:v>-0.48484848484847404</c:v>
                </c:pt>
                <c:pt idx="49">
                  <c:v>-0.16161616161615078</c:v>
                </c:pt>
                <c:pt idx="50">
                  <c:v>0.16161616161617248</c:v>
                </c:pt>
                <c:pt idx="51">
                  <c:v>0.48484848484849574</c:v>
                </c:pt>
                <c:pt idx="52">
                  <c:v>0.80808080808081906</c:v>
                </c:pt>
                <c:pt idx="53">
                  <c:v>1.1313131313131424</c:v>
                </c:pt>
                <c:pt idx="54">
                  <c:v>1.4545454545454657</c:v>
                </c:pt>
                <c:pt idx="55">
                  <c:v>1.777777777777789</c:v>
                </c:pt>
                <c:pt idx="56">
                  <c:v>2.1010101010101123</c:v>
                </c:pt>
                <c:pt idx="57">
                  <c:v>2.4242424242424354</c:v>
                </c:pt>
                <c:pt idx="58">
                  <c:v>2.7474747474747585</c:v>
                </c:pt>
                <c:pt idx="59">
                  <c:v>3.0707070707070816</c:v>
                </c:pt>
                <c:pt idx="60">
                  <c:v>3.3939393939394047</c:v>
                </c:pt>
                <c:pt idx="61">
                  <c:v>3.7171717171717278</c:v>
                </c:pt>
                <c:pt idx="62">
                  <c:v>4.0404040404040513</c:v>
                </c:pt>
                <c:pt idx="63">
                  <c:v>4.3636363636363749</c:v>
                </c:pt>
                <c:pt idx="64">
                  <c:v>4.6868686868686984</c:v>
                </c:pt>
                <c:pt idx="65">
                  <c:v>5.0101010101010219</c:v>
                </c:pt>
                <c:pt idx="66">
                  <c:v>5.3333333333333455</c:v>
                </c:pt>
                <c:pt idx="67">
                  <c:v>5.656565656565669</c:v>
                </c:pt>
                <c:pt idx="68">
                  <c:v>5.9797979797979925</c:v>
                </c:pt>
                <c:pt idx="69">
                  <c:v>6.3030303030303161</c:v>
                </c:pt>
                <c:pt idx="70">
                  <c:v>6.6262626262626396</c:v>
                </c:pt>
                <c:pt idx="71">
                  <c:v>6.9494949494949632</c:v>
                </c:pt>
                <c:pt idx="72">
                  <c:v>7.2727272727272867</c:v>
                </c:pt>
                <c:pt idx="73">
                  <c:v>7.5959595959596102</c:v>
                </c:pt>
                <c:pt idx="74">
                  <c:v>7.9191919191919338</c:v>
                </c:pt>
                <c:pt idx="75">
                  <c:v>8.2424242424242564</c:v>
                </c:pt>
                <c:pt idx="76">
                  <c:v>8.56565656565658</c:v>
                </c:pt>
                <c:pt idx="77">
                  <c:v>8.8888888888889035</c:v>
                </c:pt>
                <c:pt idx="78">
                  <c:v>9.212121212121227</c:v>
                </c:pt>
                <c:pt idx="79">
                  <c:v>9.5353535353535506</c:v>
                </c:pt>
                <c:pt idx="80">
                  <c:v>9.8585858585858741</c:v>
                </c:pt>
                <c:pt idx="81">
                  <c:v>10.181818181818198</c:v>
                </c:pt>
                <c:pt idx="82">
                  <c:v>10.505050505050521</c:v>
                </c:pt>
                <c:pt idx="83">
                  <c:v>10.828282828282845</c:v>
                </c:pt>
                <c:pt idx="84">
                  <c:v>11.151515151515168</c:v>
                </c:pt>
                <c:pt idx="85">
                  <c:v>11.474747474747492</c:v>
                </c:pt>
                <c:pt idx="86">
                  <c:v>11.797979797979815</c:v>
                </c:pt>
                <c:pt idx="87">
                  <c:v>12.121212121212139</c:v>
                </c:pt>
                <c:pt idx="88">
                  <c:v>12.444444444444462</c:v>
                </c:pt>
                <c:pt idx="89">
                  <c:v>12.767676767676786</c:v>
                </c:pt>
                <c:pt idx="90">
                  <c:v>13.090909090909109</c:v>
                </c:pt>
                <c:pt idx="91">
                  <c:v>13.414141414141433</c:v>
                </c:pt>
                <c:pt idx="92">
                  <c:v>13.737373737373757</c:v>
                </c:pt>
                <c:pt idx="93">
                  <c:v>14.06060606060608</c:v>
                </c:pt>
                <c:pt idx="94">
                  <c:v>14.383838383838404</c:v>
                </c:pt>
                <c:pt idx="95">
                  <c:v>14.707070707070727</c:v>
                </c:pt>
                <c:pt idx="96">
                  <c:v>15.030303030303051</c:v>
                </c:pt>
                <c:pt idx="97">
                  <c:v>15.353535353535374</c:v>
                </c:pt>
                <c:pt idx="98">
                  <c:v>15.676767676767698</c:v>
                </c:pt>
                <c:pt idx="99">
                  <c:v>16.000000000000021</c:v>
                </c:pt>
              </c:numCache>
            </c:numRef>
          </c:xVal>
          <c:yVal>
            <c:numRef>
              <c:f>'Specific Risk'!$P$5:$P$104</c:f>
              <c:numCache>
                <c:formatCode>General</c:formatCode>
                <c:ptCount val="100"/>
                <c:pt idx="0">
                  <c:v>4.8213033676525185E-8</c:v>
                </c:pt>
                <c:pt idx="1">
                  <c:v>1.545231090860355E-7</c:v>
                </c:pt>
                <c:pt idx="2">
                  <c:v>4.7346795573055545E-7</c:v>
                </c:pt>
                <c:pt idx="3">
                  <c:v>1.387084175630271E-6</c:v>
                </c:pt>
                <c:pt idx="4">
                  <c:v>3.8858146382825254E-6</c:v>
                </c:pt>
                <c:pt idx="5">
                  <c:v>1.0410848297226494E-5</c:v>
                </c:pt>
                <c:pt idx="6">
                  <c:v>2.6679597308287839E-5</c:v>
                </c:pt>
                <c:pt idx="7">
                  <c:v>6.5408387385001987E-5</c:v>
                </c:pt>
                <c:pt idx="8">
                  <c:v>1.5343669722167608E-4</c:v>
                </c:pt>
                <c:pt idx="9">
                  <c:v>3.4447468841680706E-4</c:v>
                </c:pt>
                <c:pt idx="10">
                  <c:v>7.4032075620455995E-4</c:v>
                </c:pt>
                <c:pt idx="11">
                  <c:v>1.5234661419998297E-3</c:v>
                </c:pt>
                <c:pt idx="12">
                  <c:v>3.00280667160302E-3</c:v>
                </c:pt>
                <c:pt idx="13">
                  <c:v>5.6709173761134712E-3</c:v>
                </c:pt>
                <c:pt idx="14">
                  <c:v>1.0265538125181828E-2</c:v>
                </c:pt>
                <c:pt idx="15">
                  <c:v>1.782003978280533E-2</c:v>
                </c:pt>
                <c:pt idx="16">
                  <c:v>2.9679706260117733E-2</c:v>
                </c:pt>
                <c:pt idx="17">
                  <c:v>4.745635107266033E-2</c:v>
                </c:pt>
                <c:pt idx="18">
                  <c:v>7.2897570475988549E-2</c:v>
                </c:pt>
                <c:pt idx="19">
                  <c:v>0.10766215064440521</c:v>
                </c:pt>
                <c:pt idx="20">
                  <c:v>0.15301944126193201</c:v>
                </c:pt>
                <c:pt idx="21">
                  <c:v>0.20952203249819534</c:v>
                </c:pt>
                <c:pt idx="22">
                  <c:v>0.27672691880780076</c:v>
                </c:pt>
                <c:pt idx="23">
                  <c:v>0.35304801923839224</c:v>
                </c:pt>
                <c:pt idx="24">
                  <c:v>0.43580406475279665</c:v>
                </c:pt>
                <c:pt idx="25">
                  <c:v>0.5214814489490478</c:v>
                </c:pt>
                <c:pt idx="26">
                  <c:v>0.60617377147080587</c:v>
                </c:pt>
                <c:pt idx="27">
                  <c:v>0.68610808650510757</c:v>
                </c:pt>
                <c:pt idx="28">
                  <c:v>0.75814147139065169</c:v>
                </c:pt>
                <c:pt idx="29">
                  <c:v>0.82012063347657149</c:v>
                </c:pt>
                <c:pt idx="30">
                  <c:v>0.87103834031953098</c:v>
                </c:pt>
                <c:pt idx="31">
                  <c:v>0.91097788956456049</c:v>
                </c:pt>
                <c:pt idx="32">
                  <c:v>0.94089010510555082</c:v>
                </c:pt>
                <c:pt idx="33">
                  <c:v>0.9622798201866003</c:v>
                </c:pt>
                <c:pt idx="34">
                  <c:v>0.97688383594694184</c:v>
                </c:pt>
                <c:pt idx="35">
                  <c:v>0.98640412917360132</c:v>
                </c:pt>
                <c:pt idx="36">
                  <c:v>0.99232981937925924</c:v>
                </c:pt>
                <c:pt idx="37">
                  <c:v>0.99585140278004913</c:v>
                </c:pt>
                <c:pt idx="38">
                  <c:v>0.9978496409305645</c:v>
                </c:pt>
                <c:pt idx="39">
                  <c:v>0.99893223725266211</c:v>
                </c:pt>
                <c:pt idx="40">
                  <c:v>0.99949224710254958</c:v>
                </c:pt>
                <c:pt idx="41">
                  <c:v>0.99976883576281794</c:v>
                </c:pt>
                <c:pt idx="42">
                  <c:v>0.99989926724005629</c:v>
                </c:pt>
                <c:pt idx="43">
                  <c:v>0.99995799446751088</c:v>
                </c:pt>
                <c:pt idx="44">
                  <c:v>0.99998324119025539</c:v>
                </c:pt>
                <c:pt idx="45">
                  <c:v>0.99999360394697034</c:v>
                </c:pt>
                <c:pt idx="46">
                  <c:v>0.99999766479648389</c:v>
                </c:pt>
                <c:pt idx="47">
                  <c:v>0.99999918290116829</c:v>
                </c:pt>
                <c:pt idx="48">
                  <c:v>0.99999972027103312</c:v>
                </c:pt>
                <c:pt idx="49">
                  <c:v>0.99999988671966789</c:v>
                </c:pt>
                <c:pt idx="50">
                  <c:v>0.99999988671966789</c:v>
                </c:pt>
                <c:pt idx="51">
                  <c:v>0.99999972027103312</c:v>
                </c:pt>
                <c:pt idx="52">
                  <c:v>0.99999918290116829</c:v>
                </c:pt>
                <c:pt idx="53">
                  <c:v>0.99999766479648389</c:v>
                </c:pt>
                <c:pt idx="54">
                  <c:v>0.99999360394697034</c:v>
                </c:pt>
                <c:pt idx="55">
                  <c:v>0.99998324119025539</c:v>
                </c:pt>
                <c:pt idx="56">
                  <c:v>0.99995799446751088</c:v>
                </c:pt>
                <c:pt idx="57">
                  <c:v>0.99989926724005629</c:v>
                </c:pt>
                <c:pt idx="58">
                  <c:v>0.99976883576281794</c:v>
                </c:pt>
                <c:pt idx="59">
                  <c:v>0.99949224710254947</c:v>
                </c:pt>
                <c:pt idx="60">
                  <c:v>0.998932237252662</c:v>
                </c:pt>
                <c:pt idx="61">
                  <c:v>0.99784964093056439</c:v>
                </c:pt>
                <c:pt idx="62">
                  <c:v>0.99585140278004847</c:v>
                </c:pt>
                <c:pt idx="63">
                  <c:v>0.99232981937925879</c:v>
                </c:pt>
                <c:pt idx="64">
                  <c:v>0.98640412917360076</c:v>
                </c:pt>
                <c:pt idx="65">
                  <c:v>0.97688383594694106</c:v>
                </c:pt>
                <c:pt idx="66">
                  <c:v>0.96227982018659908</c:v>
                </c:pt>
                <c:pt idx="67">
                  <c:v>0.94089010510554905</c:v>
                </c:pt>
                <c:pt idx="68">
                  <c:v>0.91097788956455816</c:v>
                </c:pt>
                <c:pt idx="69">
                  <c:v>0.87103834031952787</c:v>
                </c:pt>
                <c:pt idx="70">
                  <c:v>0.82012063347656761</c:v>
                </c:pt>
                <c:pt idx="71">
                  <c:v>0.75814147139064714</c:v>
                </c:pt>
                <c:pt idx="72">
                  <c:v>0.68610808650510235</c:v>
                </c:pt>
                <c:pt idx="73">
                  <c:v>0.6061737714708002</c:v>
                </c:pt>
                <c:pt idx="74">
                  <c:v>0.52148144894904191</c:v>
                </c:pt>
                <c:pt idx="75">
                  <c:v>0.43580406475279099</c:v>
                </c:pt>
                <c:pt idx="76">
                  <c:v>0.35304801923838691</c:v>
                </c:pt>
                <c:pt idx="77">
                  <c:v>0.27672691880779599</c:v>
                </c:pt>
                <c:pt idx="78">
                  <c:v>0.20952203249819124</c:v>
                </c:pt>
                <c:pt idx="79">
                  <c:v>0.15301944126192868</c:v>
                </c:pt>
                <c:pt idx="80">
                  <c:v>0.10766215064440265</c:v>
                </c:pt>
                <c:pt idx="81">
                  <c:v>7.2897570475986551E-2</c:v>
                </c:pt>
                <c:pt idx="82">
                  <c:v>4.7456351072658998E-2</c:v>
                </c:pt>
                <c:pt idx="83">
                  <c:v>2.9679706260116734E-2</c:v>
                </c:pt>
                <c:pt idx="84">
                  <c:v>1.7820039782804664E-2</c:v>
                </c:pt>
                <c:pt idx="85">
                  <c:v>1.0265538125181495E-2</c:v>
                </c:pt>
                <c:pt idx="86">
                  <c:v>5.6709173761132492E-3</c:v>
                </c:pt>
                <c:pt idx="87">
                  <c:v>3.0028066716029089E-3</c:v>
                </c:pt>
                <c:pt idx="88">
                  <c:v>1.5234661419998297E-3</c:v>
                </c:pt>
                <c:pt idx="89">
                  <c:v>7.4032075620455995E-4</c:v>
                </c:pt>
                <c:pt idx="90">
                  <c:v>3.4447468841680706E-4</c:v>
                </c:pt>
                <c:pt idx="91">
                  <c:v>1.5343669722167608E-4</c:v>
                </c:pt>
                <c:pt idx="92">
                  <c:v>6.5408387385001987E-5</c:v>
                </c:pt>
                <c:pt idx="93">
                  <c:v>2.6679597308287839E-5</c:v>
                </c:pt>
                <c:pt idx="94">
                  <c:v>1.0410848297226494E-5</c:v>
                </c:pt>
                <c:pt idx="95">
                  <c:v>3.8858146382825254E-6</c:v>
                </c:pt>
                <c:pt idx="96">
                  <c:v>1.387084175630271E-6</c:v>
                </c:pt>
                <c:pt idx="97">
                  <c:v>4.7346795573055545E-7</c:v>
                </c:pt>
                <c:pt idx="98">
                  <c:v>1.545231090860355E-7</c:v>
                </c:pt>
                <c:pt idx="99">
                  <c:v>4.8213033676525185E-8</c:v>
                </c:pt>
              </c:numCache>
            </c:numRef>
          </c:yVal>
          <c:smooth val="1"/>
          <c:extLst>
            <c:ext xmlns:c16="http://schemas.microsoft.com/office/drawing/2014/chart" uri="{C3380CC4-5D6E-409C-BE32-E72D297353CC}">
              <c16:uniqueId val="{00000000-8EB9-4D81-888B-FC46FBB22B9A}"/>
            </c:ext>
          </c:extLst>
        </c:ser>
        <c:ser>
          <c:idx val="1"/>
          <c:order val="1"/>
          <c:tx>
            <c:v>ToleranceLow</c:v>
          </c:tx>
          <c:spPr>
            <a:ln w="19050" cap="rnd">
              <a:solidFill>
                <a:schemeClr val="accent2"/>
              </a:solidFill>
              <a:round/>
            </a:ln>
            <a:effectLst/>
          </c:spPr>
          <c:marker>
            <c:symbol val="none"/>
          </c:marker>
          <c:xVal>
            <c:numRef>
              <c:f>'Specific Risk'!$K$22:$K$23</c:f>
              <c:numCache>
                <c:formatCode>0.0</c:formatCode>
                <c:ptCount val="2"/>
                <c:pt idx="0">
                  <c:v>-8</c:v>
                </c:pt>
                <c:pt idx="1">
                  <c:v>-8</c:v>
                </c:pt>
              </c:numCache>
            </c:numRef>
          </c:xVal>
          <c:yVal>
            <c:numRef>
              <c:f>'Specific Risk'!$J$22:$J$23</c:f>
              <c:numCache>
                <c:formatCode>General</c:formatCode>
                <c:ptCount val="2"/>
                <c:pt idx="0">
                  <c:v>0</c:v>
                </c:pt>
                <c:pt idx="1">
                  <c:v>1.2</c:v>
                </c:pt>
              </c:numCache>
            </c:numRef>
          </c:yVal>
          <c:smooth val="1"/>
          <c:extLst>
            <c:ext xmlns:c16="http://schemas.microsoft.com/office/drawing/2014/chart" uri="{C3380CC4-5D6E-409C-BE32-E72D297353CC}">
              <c16:uniqueId val="{00000001-8EB9-4D81-888B-FC46FBB22B9A}"/>
            </c:ext>
          </c:extLst>
        </c:ser>
        <c:ser>
          <c:idx val="2"/>
          <c:order val="2"/>
          <c:tx>
            <c:v>ToleranceHi</c:v>
          </c:tx>
          <c:spPr>
            <a:ln w="19050" cap="rnd">
              <a:solidFill>
                <a:schemeClr val="accent2"/>
              </a:solidFill>
              <a:round/>
            </a:ln>
            <a:effectLst/>
          </c:spPr>
          <c:marker>
            <c:symbol val="none"/>
          </c:marker>
          <c:xVal>
            <c:numRef>
              <c:f>'Specific Risk'!$K$25:$K$26</c:f>
              <c:numCache>
                <c:formatCode>0.0</c:formatCode>
                <c:ptCount val="2"/>
                <c:pt idx="0">
                  <c:v>8</c:v>
                </c:pt>
                <c:pt idx="1">
                  <c:v>8</c:v>
                </c:pt>
              </c:numCache>
            </c:numRef>
          </c:xVal>
          <c:yVal>
            <c:numRef>
              <c:f>'Specific Risk'!$J$25:$J$26</c:f>
              <c:numCache>
                <c:formatCode>General</c:formatCode>
                <c:ptCount val="2"/>
                <c:pt idx="0">
                  <c:v>0</c:v>
                </c:pt>
                <c:pt idx="1">
                  <c:v>1.2</c:v>
                </c:pt>
              </c:numCache>
            </c:numRef>
          </c:yVal>
          <c:smooth val="1"/>
          <c:extLst>
            <c:ext xmlns:c16="http://schemas.microsoft.com/office/drawing/2014/chart" uri="{C3380CC4-5D6E-409C-BE32-E72D297353CC}">
              <c16:uniqueId val="{00000002-8EB9-4D81-888B-FC46FBB22B9A}"/>
            </c:ext>
          </c:extLst>
        </c:ser>
        <c:ser>
          <c:idx val="3"/>
          <c:order val="3"/>
          <c:tx>
            <c:v>AcceptLo</c:v>
          </c:tx>
          <c:spPr>
            <a:ln w="19050" cap="rnd">
              <a:solidFill>
                <a:schemeClr val="accent5"/>
              </a:solidFill>
              <a:prstDash val="dash"/>
              <a:round/>
            </a:ln>
            <a:effectLst/>
          </c:spPr>
          <c:marker>
            <c:symbol val="none"/>
          </c:marker>
          <c:xVal>
            <c:numRef>
              <c:f>'Specific Risk'!$K$28:$K$29</c:f>
              <c:numCache>
                <c:formatCode>0.0</c:formatCode>
                <c:ptCount val="2"/>
                <c:pt idx="0">
                  <c:v>-6.9882653747058772</c:v>
                </c:pt>
                <c:pt idx="1">
                  <c:v>-6.9882653747058772</c:v>
                </c:pt>
              </c:numCache>
            </c:numRef>
          </c:xVal>
          <c:yVal>
            <c:numRef>
              <c:f>'Specific Risk'!$J$28:$J$29</c:f>
              <c:numCache>
                <c:formatCode>General</c:formatCode>
                <c:ptCount val="2"/>
                <c:pt idx="0">
                  <c:v>0</c:v>
                </c:pt>
                <c:pt idx="1">
                  <c:v>1.2</c:v>
                </c:pt>
              </c:numCache>
            </c:numRef>
          </c:yVal>
          <c:smooth val="1"/>
          <c:extLst>
            <c:ext xmlns:c16="http://schemas.microsoft.com/office/drawing/2014/chart" uri="{C3380CC4-5D6E-409C-BE32-E72D297353CC}">
              <c16:uniqueId val="{00000003-8EB9-4D81-888B-FC46FBB22B9A}"/>
            </c:ext>
          </c:extLst>
        </c:ser>
        <c:ser>
          <c:idx val="4"/>
          <c:order val="4"/>
          <c:tx>
            <c:v>AcceptHi</c:v>
          </c:tx>
          <c:spPr>
            <a:ln w="19050" cap="rnd">
              <a:solidFill>
                <a:schemeClr val="accent5"/>
              </a:solidFill>
              <a:prstDash val="dash"/>
              <a:round/>
            </a:ln>
            <a:effectLst/>
          </c:spPr>
          <c:marker>
            <c:symbol val="none"/>
          </c:marker>
          <c:xVal>
            <c:numRef>
              <c:f>'Specific Risk'!$K$31:$K$32</c:f>
              <c:numCache>
                <c:formatCode>0.0</c:formatCode>
                <c:ptCount val="2"/>
                <c:pt idx="0">
                  <c:v>6.9882653747058772</c:v>
                </c:pt>
                <c:pt idx="1">
                  <c:v>6.9882653747058772</c:v>
                </c:pt>
              </c:numCache>
            </c:numRef>
          </c:xVal>
          <c:yVal>
            <c:numRef>
              <c:f>'Specific Risk'!$J$31:$J$32</c:f>
              <c:numCache>
                <c:formatCode>General</c:formatCode>
                <c:ptCount val="2"/>
                <c:pt idx="0">
                  <c:v>0</c:v>
                </c:pt>
                <c:pt idx="1">
                  <c:v>1.2</c:v>
                </c:pt>
              </c:numCache>
            </c:numRef>
          </c:yVal>
          <c:smooth val="1"/>
          <c:extLst>
            <c:ext xmlns:c16="http://schemas.microsoft.com/office/drawing/2014/chart" uri="{C3380CC4-5D6E-409C-BE32-E72D297353CC}">
              <c16:uniqueId val="{00000004-8EB9-4D81-888B-FC46FBB22B9A}"/>
            </c:ext>
          </c:extLst>
        </c:ser>
        <c:dLbls>
          <c:showLegendKey val="0"/>
          <c:showVal val="0"/>
          <c:showCatName val="0"/>
          <c:showSerName val="0"/>
          <c:showPercent val="0"/>
          <c:showBubbleSize val="0"/>
        </c:dLbls>
        <c:axId val="431000687"/>
        <c:axId val="430990607"/>
      </c:scatterChart>
      <c:valAx>
        <c:axId val="431000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Measured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0607"/>
        <c:crosses val="autoZero"/>
        <c:crossBetween val="midCat"/>
      </c:valAx>
      <c:valAx>
        <c:axId val="43099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Conformance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00687"/>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PFA</c:v>
          </c:tx>
          <c:spPr>
            <a:ln w="19050" cap="rnd">
              <a:solidFill>
                <a:schemeClr val="accent1"/>
              </a:solidFill>
              <a:round/>
            </a:ln>
            <a:effectLst/>
          </c:spPr>
          <c:marker>
            <c:symbol val="none"/>
          </c:marker>
          <c:xVal>
            <c:numRef>
              <c:f>'Guardband Calculator'!$V$4:$V$103</c:f>
              <c:numCache>
                <c:formatCode>General</c:formatCode>
                <c:ptCount val="100"/>
                <c:pt idx="0">
                  <c:v>0</c:v>
                </c:pt>
                <c:pt idx="1">
                  <c:v>4.0404040404040407E-2</c:v>
                </c:pt>
                <c:pt idx="2">
                  <c:v>8.0808080808080815E-2</c:v>
                </c:pt>
                <c:pt idx="3">
                  <c:v>0.12121212121212122</c:v>
                </c:pt>
                <c:pt idx="4">
                  <c:v>0.16161616161616163</c:v>
                </c:pt>
                <c:pt idx="5">
                  <c:v>0.20202020202020204</c:v>
                </c:pt>
                <c:pt idx="6">
                  <c:v>0.24242424242424246</c:v>
                </c:pt>
                <c:pt idx="7">
                  <c:v>0.28282828282828287</c:v>
                </c:pt>
                <c:pt idx="8">
                  <c:v>0.32323232323232326</c:v>
                </c:pt>
                <c:pt idx="9">
                  <c:v>0.36363636363636365</c:v>
                </c:pt>
                <c:pt idx="10">
                  <c:v>0.40404040404040403</c:v>
                </c:pt>
                <c:pt idx="11">
                  <c:v>0.44444444444444442</c:v>
                </c:pt>
                <c:pt idx="12">
                  <c:v>0.48484848484848481</c:v>
                </c:pt>
                <c:pt idx="13">
                  <c:v>0.52525252525252519</c:v>
                </c:pt>
                <c:pt idx="14">
                  <c:v>0.56565656565656564</c:v>
                </c:pt>
                <c:pt idx="15">
                  <c:v>0.60606060606060608</c:v>
                </c:pt>
                <c:pt idx="16">
                  <c:v>0.64646464646464652</c:v>
                </c:pt>
                <c:pt idx="17">
                  <c:v>0.68686868686868696</c:v>
                </c:pt>
                <c:pt idx="18">
                  <c:v>0.7272727272727274</c:v>
                </c:pt>
                <c:pt idx="19">
                  <c:v>0.76767676767676785</c:v>
                </c:pt>
                <c:pt idx="20">
                  <c:v>0.80808080808080829</c:v>
                </c:pt>
                <c:pt idx="21">
                  <c:v>0.84848484848484873</c:v>
                </c:pt>
                <c:pt idx="22">
                  <c:v>0.88888888888888917</c:v>
                </c:pt>
                <c:pt idx="23">
                  <c:v>0.92929292929292961</c:v>
                </c:pt>
                <c:pt idx="24">
                  <c:v>0.96969696969697006</c:v>
                </c:pt>
                <c:pt idx="25">
                  <c:v>1.0101010101010104</c:v>
                </c:pt>
                <c:pt idx="26">
                  <c:v>1.0505050505050508</c:v>
                </c:pt>
                <c:pt idx="27">
                  <c:v>1.0909090909090913</c:v>
                </c:pt>
                <c:pt idx="28">
                  <c:v>1.1313131313131317</c:v>
                </c:pt>
                <c:pt idx="29">
                  <c:v>1.1717171717171722</c:v>
                </c:pt>
                <c:pt idx="30">
                  <c:v>1.2121212121212126</c:v>
                </c:pt>
                <c:pt idx="31">
                  <c:v>1.252525252525253</c:v>
                </c:pt>
                <c:pt idx="32">
                  <c:v>1.2929292929292935</c:v>
                </c:pt>
                <c:pt idx="33">
                  <c:v>1.3333333333333339</c:v>
                </c:pt>
                <c:pt idx="34">
                  <c:v>1.3737373737373744</c:v>
                </c:pt>
                <c:pt idx="35">
                  <c:v>1.4141414141414148</c:v>
                </c:pt>
                <c:pt idx="36">
                  <c:v>1.4545454545454553</c:v>
                </c:pt>
                <c:pt idx="37">
                  <c:v>1.4949494949494957</c:v>
                </c:pt>
                <c:pt idx="38">
                  <c:v>1.5353535353535361</c:v>
                </c:pt>
                <c:pt idx="39">
                  <c:v>1.5757575757575766</c:v>
                </c:pt>
                <c:pt idx="40">
                  <c:v>1.616161616161617</c:v>
                </c:pt>
                <c:pt idx="41">
                  <c:v>1.6565656565656575</c:v>
                </c:pt>
                <c:pt idx="42">
                  <c:v>1.6969696969696979</c:v>
                </c:pt>
                <c:pt idx="43">
                  <c:v>1.7373737373737383</c:v>
                </c:pt>
                <c:pt idx="44">
                  <c:v>1.7777777777777788</c:v>
                </c:pt>
                <c:pt idx="45">
                  <c:v>1.8181818181818192</c:v>
                </c:pt>
                <c:pt idx="46">
                  <c:v>1.8585858585858597</c:v>
                </c:pt>
                <c:pt idx="47">
                  <c:v>1.8989898989899001</c:v>
                </c:pt>
                <c:pt idx="48">
                  <c:v>1.9393939393939406</c:v>
                </c:pt>
                <c:pt idx="49">
                  <c:v>1.979797979797981</c:v>
                </c:pt>
                <c:pt idx="50">
                  <c:v>2.0202020202020212</c:v>
                </c:pt>
                <c:pt idx="51">
                  <c:v>2.0606060606060614</c:v>
                </c:pt>
                <c:pt idx="52">
                  <c:v>2.1010101010101017</c:v>
                </c:pt>
                <c:pt idx="53">
                  <c:v>2.1414141414141419</c:v>
                </c:pt>
                <c:pt idx="54">
                  <c:v>2.1818181818181821</c:v>
                </c:pt>
                <c:pt idx="55">
                  <c:v>2.2222222222222223</c:v>
                </c:pt>
                <c:pt idx="56">
                  <c:v>2.2626262626262625</c:v>
                </c:pt>
                <c:pt idx="57">
                  <c:v>2.3030303030303028</c:v>
                </c:pt>
                <c:pt idx="58">
                  <c:v>2.343434343434343</c:v>
                </c:pt>
                <c:pt idx="59">
                  <c:v>2.3838383838383832</c:v>
                </c:pt>
                <c:pt idx="60">
                  <c:v>2.4242424242424234</c:v>
                </c:pt>
                <c:pt idx="61">
                  <c:v>2.4646464646464636</c:v>
                </c:pt>
                <c:pt idx="62">
                  <c:v>2.5050505050505039</c:v>
                </c:pt>
                <c:pt idx="63">
                  <c:v>2.5454545454545441</c:v>
                </c:pt>
                <c:pt idx="64">
                  <c:v>2.5858585858585843</c:v>
                </c:pt>
                <c:pt idx="65">
                  <c:v>2.6262626262626245</c:v>
                </c:pt>
                <c:pt idx="66">
                  <c:v>2.6666666666666647</c:v>
                </c:pt>
                <c:pt idx="67">
                  <c:v>2.707070707070705</c:v>
                </c:pt>
                <c:pt idx="68">
                  <c:v>2.7474747474747452</c:v>
                </c:pt>
                <c:pt idx="69">
                  <c:v>2.7878787878787854</c:v>
                </c:pt>
                <c:pt idx="70">
                  <c:v>2.8282828282828256</c:v>
                </c:pt>
                <c:pt idx="71">
                  <c:v>2.8686868686868658</c:v>
                </c:pt>
                <c:pt idx="72">
                  <c:v>2.9090909090909061</c:v>
                </c:pt>
                <c:pt idx="73">
                  <c:v>2.9494949494949463</c:v>
                </c:pt>
                <c:pt idx="74">
                  <c:v>2.9898989898989865</c:v>
                </c:pt>
                <c:pt idx="75">
                  <c:v>3.0303030303030267</c:v>
                </c:pt>
                <c:pt idx="76">
                  <c:v>3.0707070707070669</c:v>
                </c:pt>
                <c:pt idx="77">
                  <c:v>3.1111111111111072</c:v>
                </c:pt>
                <c:pt idx="78">
                  <c:v>3.1515151515151474</c:v>
                </c:pt>
                <c:pt idx="79">
                  <c:v>3.1919191919191876</c:v>
                </c:pt>
                <c:pt idx="80">
                  <c:v>3.2323232323232278</c:v>
                </c:pt>
                <c:pt idx="81">
                  <c:v>3.272727272727268</c:v>
                </c:pt>
                <c:pt idx="82">
                  <c:v>3.3131313131313083</c:v>
                </c:pt>
                <c:pt idx="83">
                  <c:v>3.3535353535353485</c:v>
                </c:pt>
                <c:pt idx="84">
                  <c:v>3.3939393939393887</c:v>
                </c:pt>
                <c:pt idx="85">
                  <c:v>3.4343434343434289</c:v>
                </c:pt>
                <c:pt idx="86">
                  <c:v>3.4747474747474691</c:v>
                </c:pt>
                <c:pt idx="87">
                  <c:v>3.5151515151515094</c:v>
                </c:pt>
                <c:pt idx="88">
                  <c:v>3.5555555555555496</c:v>
                </c:pt>
                <c:pt idx="89">
                  <c:v>3.5959595959595898</c:v>
                </c:pt>
                <c:pt idx="90">
                  <c:v>3.63636363636363</c:v>
                </c:pt>
                <c:pt idx="91">
                  <c:v>3.6767676767676702</c:v>
                </c:pt>
                <c:pt idx="92">
                  <c:v>3.7171717171717105</c:v>
                </c:pt>
                <c:pt idx="93">
                  <c:v>3.7575757575757507</c:v>
                </c:pt>
                <c:pt idx="94">
                  <c:v>3.7979797979797909</c:v>
                </c:pt>
                <c:pt idx="95">
                  <c:v>3.8383838383838311</c:v>
                </c:pt>
                <c:pt idx="96">
                  <c:v>3.8787878787878713</c:v>
                </c:pt>
                <c:pt idx="97">
                  <c:v>3.9191919191919116</c:v>
                </c:pt>
                <c:pt idx="98">
                  <c:v>3.9595959595959518</c:v>
                </c:pt>
                <c:pt idx="99">
                  <c:v>3.999999999999992</c:v>
                </c:pt>
              </c:numCache>
            </c:numRef>
          </c:xVal>
          <c:yVal>
            <c:numRef>
              <c:f>'Guardband Calculator'!$W$4:$W$103</c:f>
              <c:numCache>
                <c:formatCode>General</c:formatCode>
                <c:ptCount val="100"/>
                <c:pt idx="0">
                  <c:v>2.9552833572350847</c:v>
                </c:pt>
                <c:pt idx="1">
                  <c:v>2.8204388185124536</c:v>
                </c:pt>
                <c:pt idx="2">
                  <c:v>2.688871788096761</c:v>
                </c:pt>
                <c:pt idx="3">
                  <c:v>2.5606961998570821</c:v>
                </c:pt>
                <c:pt idx="4">
                  <c:v>2.4360112793257116</c:v>
                </c:pt>
                <c:pt idx="5">
                  <c:v>2.3149017337785542</c:v>
                </c:pt>
                <c:pt idx="6">
                  <c:v>2.1974380097536912</c:v>
                </c:pt>
                <c:pt idx="7">
                  <c:v>2.0836766137217468</c:v>
                </c:pt>
                <c:pt idx="8">
                  <c:v>1.97366049131886</c:v>
                </c:pt>
                <c:pt idx="9">
                  <c:v>1.8674194603020582</c:v>
                </c:pt>
                <c:pt idx="10">
                  <c:v>1.7649706921878505</c:v>
                </c:pt>
                <c:pt idx="11">
                  <c:v>1.6663192373872815</c:v>
                </c:pt>
                <c:pt idx="12">
                  <c:v>1.5714585885549166</c:v>
                </c:pt>
                <c:pt idx="13">
                  <c:v>1.4803712768226451</c:v>
                </c:pt>
                <c:pt idx="14">
                  <c:v>1.3930294955911999</c:v>
                </c:pt>
                <c:pt idx="15">
                  <c:v>1.3093957465997481</c:v>
                </c:pt>
                <c:pt idx="16">
                  <c:v>1.2294235030850502</c:v>
                </c:pt>
                <c:pt idx="17">
                  <c:v>1.1530578849727942</c:v>
                </c:pt>
                <c:pt idx="18">
                  <c:v>1.0802363412121569</c:v>
                </c:pt>
                <c:pt idx="19">
                  <c:v>1.0108893345663255</c:v>
                </c:pt>
                <c:pt idx="20">
                  <c:v>0.94494102440360606</c:v>
                </c:pt>
                <c:pt idx="21">
                  <c:v>0.88230994329128176</c:v>
                </c:pt>
                <c:pt idx="22">
                  <c:v>0.82290966347428329</c:v>
                </c:pt>
                <c:pt idx="23">
                  <c:v>0.76664944961866155</c:v>
                </c:pt>
                <c:pt idx="24">
                  <c:v>0.71343489451198561</c:v>
                </c:pt>
                <c:pt idx="25">
                  <c:v>0.66316853473535331</c:v>
                </c:pt>
                <c:pt idx="26">
                  <c:v>0.61575044365071996</c:v>
                </c:pt>
                <c:pt idx="27">
                  <c:v>0.57107879937946249</c:v>
                </c:pt>
                <c:pt idx="28">
                  <c:v>0.52905042577970907</c:v>
                </c:pt>
                <c:pt idx="29">
                  <c:v>0.48956130475790172</c:v>
                </c:pt>
                <c:pt idx="30">
                  <c:v>0.45250705857161899</c:v>
                </c:pt>
                <c:pt idx="31">
                  <c:v>0.41778340109259737</c:v>
                </c:pt>
                <c:pt idx="32">
                  <c:v>0.38528655729924699</c:v>
                </c:pt>
                <c:pt idx="33">
                  <c:v>0.35491365055435875</c:v>
                </c:pt>
                <c:pt idx="34">
                  <c:v>0.32656305749428072</c:v>
                </c:pt>
                <c:pt idx="35">
                  <c:v>0.30013473060908347</c:v>
                </c:pt>
                <c:pt idx="36">
                  <c:v>0.27553048882806019</c:v>
                </c:pt>
                <c:pt idx="37">
                  <c:v>0.25265427663989926</c:v>
                </c:pt>
                <c:pt idx="38">
                  <c:v>0.23141239247193301</c:v>
                </c:pt>
                <c:pt idx="39">
                  <c:v>0.21171368722703032</c:v>
                </c:pt>
                <c:pt idx="40">
                  <c:v>0.19346973403010503</c:v>
                </c:pt>
                <c:pt idx="41">
                  <c:v>0.17659497036911775</c:v>
                </c:pt>
                <c:pt idx="42">
                  <c:v>0.16100681392742511</c:v>
                </c:pt>
                <c:pt idx="43">
                  <c:v>0.14662575349693174</c:v>
                </c:pt>
                <c:pt idx="44">
                  <c:v>0.13337541643436146</c:v>
                </c:pt>
                <c:pt idx="45">
                  <c:v>0.12118261417768117</c:v>
                </c:pt>
                <c:pt idx="46">
                  <c:v>0.1099773673768456</c:v>
                </c:pt>
                <c:pt idx="47">
                  <c:v>9.9692912213755758E-2</c:v>
                </c:pt>
                <c:pt idx="48">
                  <c:v>9.026568949187519E-2</c:v>
                </c:pt>
                <c:pt idx="49">
                  <c:v>8.1635318067441176E-2</c:v>
                </c:pt>
                <c:pt idx="50">
                  <c:v>7.3744554173066357E-2</c:v>
                </c:pt>
                <c:pt idx="51">
                  <c:v>6.6539238151852587E-2</c:v>
                </c:pt>
                <c:pt idx="52">
                  <c:v>5.9968230077464546E-2</c:v>
                </c:pt>
                <c:pt idx="53">
                  <c:v>5.398333568419067E-2</c:v>
                </c:pt>
                <c:pt idx="54">
                  <c:v>4.8539223971932888E-2</c:v>
                </c:pt>
                <c:pt idx="55">
                  <c:v>4.3593337785929887E-2</c:v>
                </c:pt>
                <c:pt idx="56">
                  <c:v>3.9105798600772013E-2</c:v>
                </c:pt>
                <c:pt idx="57">
                  <c:v>3.5039306664078063E-2</c:v>
                </c:pt>
                <c:pt idx="58">
                  <c:v>3.1359037578329585E-2</c:v>
                </c:pt>
                <c:pt idx="59">
                  <c:v>2.8032536320513057E-2</c:v>
                </c:pt>
                <c:pt idx="60">
                  <c:v>2.5029609619864335E-2</c:v>
                </c:pt>
                <c:pt idx="61">
                  <c:v>2.2322217534040401E-2</c:v>
                </c:pt>
                <c:pt idx="62">
                  <c:v>1.9884364985586767E-2</c:v>
                </c:pt>
                <c:pt idx="63">
                  <c:v>1.7691993942853257E-2</c:v>
                </c:pt>
                <c:pt idx="64">
                  <c:v>1.5722876854259993E-2</c:v>
                </c:pt>
                <c:pt idx="65">
                  <c:v>1.3956511872062483E-2</c:v>
                </c:pt>
                <c:pt idx="66">
                  <c:v>1.2374020331690216E-2</c:v>
                </c:pt>
                <c:pt idx="67">
                  <c:v>1.0958046886477835E-2</c:v>
                </c:pt>
                <c:pt idx="68">
                  <c:v>9.6926626345472666E-3</c:v>
                </c:pt>
                <c:pt idx="69">
                  <c:v>8.5632715156130912E-3</c:v>
                </c:pt>
                <c:pt idx="70">
                  <c:v>7.556520200333039E-3</c:v>
                </c:pt>
                <c:pt idx="71">
                  <c:v>6.660211643932934E-3</c:v>
                </c:pt>
                <c:pt idx="72">
                  <c:v>5.8632224287175072E-3</c:v>
                </c:pt>
                <c:pt idx="73">
                  <c:v>5.1554239774376232E-3</c:v>
                </c:pt>
                <c:pt idx="74">
                  <c:v>4.5276076804878773E-3</c:v>
                </c:pt>
                <c:pt idx="75">
                  <c:v>3.9714139451196839E-3</c:v>
                </c:pt>
                <c:pt idx="76">
                  <c:v>3.4792651436466038E-3</c:v>
                </c:pt>
                <c:pt idx="77">
                  <c:v>3.0443024101961536E-3</c:v>
                </c:pt>
                <c:pt idx="78">
                  <c:v>2.6603262114621717E-3</c:v>
                </c:pt>
                <c:pt idx="79">
                  <c:v>2.3217405961950544E-3</c:v>
                </c:pt>
                <c:pt idx="80">
                  <c:v>2.0235010102870321E-3</c:v>
                </c:pt>
                <c:pt idx="81">
                  <c:v>1.7610655495131633E-3</c:v>
                </c:pt>
                <c:pt idx="82">
                  <c:v>1.5303495094709518E-3</c:v>
                </c:pt>
                <c:pt idx="83">
                  <c:v>1.3276830823277797E-3</c:v>
                </c:pt>
                <c:pt idx="84">
                  <c:v>1.1497720420999835E-3</c:v>
                </c:pt>
                <c:pt idx="85">
                  <c:v>9.9366125403399508E-4</c:v>
                </c:pt>
                <c:pt idx="86">
                  <c:v>8.5670083951050469E-4</c:v>
                </c:pt>
                <c:pt idx="87">
                  <c:v>7.3651482476455588E-4</c:v>
                </c:pt>
                <c:pt idx="88">
                  <c:v>6.3097210019069649E-4</c:v>
                </c:pt>
                <c:pt idx="89">
                  <c:v>5.3815951626678959E-4</c:v>
                </c:pt>
                <c:pt idx="90">
                  <c:v>4.5635694234658075E-4</c:v>
                </c:pt>
                <c:pt idx="91">
                  <c:v>3.840141154703991E-4</c:v>
                </c:pt>
                <c:pt idx="92">
                  <c:v>3.1972910769506591E-4</c:v>
                </c:pt>
                <c:pt idx="93">
                  <c:v>2.6222824213995022E-4</c:v>
                </c:pt>
                <c:pt idx="94">
                  <c:v>2.1034728990843021E-4</c:v>
                </c:pt>
                <c:pt idx="95">
                  <c:v>1.6301378220895391E-4</c:v>
                </c:pt>
                <c:pt idx="96">
                  <c:v>1.1923027370408512E-4</c:v>
                </c:pt>
                <c:pt idx="97">
                  <c:v>7.805839545571569E-5</c:v>
                </c:pt>
                <c:pt idx="98">
                  <c:v>3.860353713913689E-5</c:v>
                </c:pt>
                <c:pt idx="99">
                  <c:v>0</c:v>
                </c:pt>
              </c:numCache>
            </c:numRef>
          </c:yVal>
          <c:smooth val="1"/>
          <c:extLst>
            <c:ext xmlns:c16="http://schemas.microsoft.com/office/drawing/2014/chart" uri="{C3380CC4-5D6E-409C-BE32-E72D297353CC}">
              <c16:uniqueId val="{00000000-DED5-4679-9C05-5A365B0D3134}"/>
            </c:ext>
          </c:extLst>
        </c:ser>
        <c:dLbls>
          <c:showLegendKey val="0"/>
          <c:showVal val="0"/>
          <c:showCatName val="0"/>
          <c:showSerName val="0"/>
          <c:showPercent val="0"/>
          <c:showBubbleSize val="0"/>
        </c:dLbls>
        <c:axId val="1214030063"/>
        <c:axId val="1214029583"/>
      </c:scatterChart>
      <c:valAx>
        <c:axId val="121403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Guardband Width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29583"/>
        <c:crosses val="autoZero"/>
        <c:crossBetween val="midCat"/>
      </c:valAx>
      <c:valAx>
        <c:axId val="121402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0063"/>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PFR</c:v>
          </c:tx>
          <c:spPr>
            <a:ln w="19050" cap="rnd">
              <a:solidFill>
                <a:schemeClr val="accent1"/>
              </a:solidFill>
              <a:round/>
            </a:ln>
            <a:effectLst/>
          </c:spPr>
          <c:marker>
            <c:symbol val="none"/>
          </c:marker>
          <c:xVal>
            <c:numRef>
              <c:f>'Guardband Calculator'!$V$4:$V$103</c:f>
              <c:numCache>
                <c:formatCode>General</c:formatCode>
                <c:ptCount val="100"/>
                <c:pt idx="0">
                  <c:v>0</c:v>
                </c:pt>
                <c:pt idx="1">
                  <c:v>4.0404040404040407E-2</c:v>
                </c:pt>
                <c:pt idx="2">
                  <c:v>8.0808080808080815E-2</c:v>
                </c:pt>
                <c:pt idx="3">
                  <c:v>0.12121212121212122</c:v>
                </c:pt>
                <c:pt idx="4">
                  <c:v>0.16161616161616163</c:v>
                </c:pt>
                <c:pt idx="5">
                  <c:v>0.20202020202020204</c:v>
                </c:pt>
                <c:pt idx="6">
                  <c:v>0.24242424242424246</c:v>
                </c:pt>
                <c:pt idx="7">
                  <c:v>0.28282828282828287</c:v>
                </c:pt>
                <c:pt idx="8">
                  <c:v>0.32323232323232326</c:v>
                </c:pt>
                <c:pt idx="9">
                  <c:v>0.36363636363636365</c:v>
                </c:pt>
                <c:pt idx="10">
                  <c:v>0.40404040404040403</c:v>
                </c:pt>
                <c:pt idx="11">
                  <c:v>0.44444444444444442</c:v>
                </c:pt>
                <c:pt idx="12">
                  <c:v>0.48484848484848481</c:v>
                </c:pt>
                <c:pt idx="13">
                  <c:v>0.52525252525252519</c:v>
                </c:pt>
                <c:pt idx="14">
                  <c:v>0.56565656565656564</c:v>
                </c:pt>
                <c:pt idx="15">
                  <c:v>0.60606060606060608</c:v>
                </c:pt>
                <c:pt idx="16">
                  <c:v>0.64646464646464652</c:v>
                </c:pt>
                <c:pt idx="17">
                  <c:v>0.68686868686868696</c:v>
                </c:pt>
                <c:pt idx="18">
                  <c:v>0.7272727272727274</c:v>
                </c:pt>
                <c:pt idx="19">
                  <c:v>0.76767676767676785</c:v>
                </c:pt>
                <c:pt idx="20">
                  <c:v>0.80808080808080829</c:v>
                </c:pt>
                <c:pt idx="21">
                  <c:v>0.84848484848484873</c:v>
                </c:pt>
                <c:pt idx="22">
                  <c:v>0.88888888888888917</c:v>
                </c:pt>
                <c:pt idx="23">
                  <c:v>0.92929292929292961</c:v>
                </c:pt>
                <c:pt idx="24">
                  <c:v>0.96969696969697006</c:v>
                </c:pt>
                <c:pt idx="25">
                  <c:v>1.0101010101010104</c:v>
                </c:pt>
                <c:pt idx="26">
                  <c:v>1.0505050505050508</c:v>
                </c:pt>
                <c:pt idx="27">
                  <c:v>1.0909090909090913</c:v>
                </c:pt>
                <c:pt idx="28">
                  <c:v>1.1313131313131317</c:v>
                </c:pt>
                <c:pt idx="29">
                  <c:v>1.1717171717171722</c:v>
                </c:pt>
                <c:pt idx="30">
                  <c:v>1.2121212121212126</c:v>
                </c:pt>
                <c:pt idx="31">
                  <c:v>1.252525252525253</c:v>
                </c:pt>
                <c:pt idx="32">
                  <c:v>1.2929292929292935</c:v>
                </c:pt>
                <c:pt idx="33">
                  <c:v>1.3333333333333339</c:v>
                </c:pt>
                <c:pt idx="34">
                  <c:v>1.3737373737373744</c:v>
                </c:pt>
                <c:pt idx="35">
                  <c:v>1.4141414141414148</c:v>
                </c:pt>
                <c:pt idx="36">
                  <c:v>1.4545454545454553</c:v>
                </c:pt>
                <c:pt idx="37">
                  <c:v>1.4949494949494957</c:v>
                </c:pt>
                <c:pt idx="38">
                  <c:v>1.5353535353535361</c:v>
                </c:pt>
                <c:pt idx="39">
                  <c:v>1.5757575757575766</c:v>
                </c:pt>
                <c:pt idx="40">
                  <c:v>1.616161616161617</c:v>
                </c:pt>
                <c:pt idx="41">
                  <c:v>1.6565656565656575</c:v>
                </c:pt>
                <c:pt idx="42">
                  <c:v>1.6969696969696979</c:v>
                </c:pt>
                <c:pt idx="43">
                  <c:v>1.7373737373737383</c:v>
                </c:pt>
                <c:pt idx="44">
                  <c:v>1.7777777777777788</c:v>
                </c:pt>
                <c:pt idx="45">
                  <c:v>1.8181818181818192</c:v>
                </c:pt>
                <c:pt idx="46">
                  <c:v>1.8585858585858597</c:v>
                </c:pt>
                <c:pt idx="47">
                  <c:v>1.8989898989899001</c:v>
                </c:pt>
                <c:pt idx="48">
                  <c:v>1.9393939393939406</c:v>
                </c:pt>
                <c:pt idx="49">
                  <c:v>1.979797979797981</c:v>
                </c:pt>
                <c:pt idx="50">
                  <c:v>2.0202020202020212</c:v>
                </c:pt>
                <c:pt idx="51">
                  <c:v>2.0606060606060614</c:v>
                </c:pt>
                <c:pt idx="52">
                  <c:v>2.1010101010101017</c:v>
                </c:pt>
                <c:pt idx="53">
                  <c:v>2.1414141414141419</c:v>
                </c:pt>
                <c:pt idx="54">
                  <c:v>2.1818181818181821</c:v>
                </c:pt>
                <c:pt idx="55">
                  <c:v>2.2222222222222223</c:v>
                </c:pt>
                <c:pt idx="56">
                  <c:v>2.2626262626262625</c:v>
                </c:pt>
                <c:pt idx="57">
                  <c:v>2.3030303030303028</c:v>
                </c:pt>
                <c:pt idx="58">
                  <c:v>2.343434343434343</c:v>
                </c:pt>
                <c:pt idx="59">
                  <c:v>2.3838383838383832</c:v>
                </c:pt>
                <c:pt idx="60">
                  <c:v>2.4242424242424234</c:v>
                </c:pt>
                <c:pt idx="61">
                  <c:v>2.4646464646464636</c:v>
                </c:pt>
                <c:pt idx="62">
                  <c:v>2.5050505050505039</c:v>
                </c:pt>
                <c:pt idx="63">
                  <c:v>2.5454545454545441</c:v>
                </c:pt>
                <c:pt idx="64">
                  <c:v>2.5858585858585843</c:v>
                </c:pt>
                <c:pt idx="65">
                  <c:v>2.6262626262626245</c:v>
                </c:pt>
                <c:pt idx="66">
                  <c:v>2.6666666666666647</c:v>
                </c:pt>
                <c:pt idx="67">
                  <c:v>2.707070707070705</c:v>
                </c:pt>
                <c:pt idx="68">
                  <c:v>2.7474747474747452</c:v>
                </c:pt>
                <c:pt idx="69">
                  <c:v>2.7878787878787854</c:v>
                </c:pt>
                <c:pt idx="70">
                  <c:v>2.8282828282828256</c:v>
                </c:pt>
                <c:pt idx="71">
                  <c:v>2.8686868686868658</c:v>
                </c:pt>
                <c:pt idx="72">
                  <c:v>2.9090909090909061</c:v>
                </c:pt>
                <c:pt idx="73">
                  <c:v>2.9494949494949463</c:v>
                </c:pt>
                <c:pt idx="74">
                  <c:v>2.9898989898989865</c:v>
                </c:pt>
                <c:pt idx="75">
                  <c:v>3.0303030303030267</c:v>
                </c:pt>
                <c:pt idx="76">
                  <c:v>3.0707070707070669</c:v>
                </c:pt>
                <c:pt idx="77">
                  <c:v>3.1111111111111072</c:v>
                </c:pt>
                <c:pt idx="78">
                  <c:v>3.1515151515151474</c:v>
                </c:pt>
                <c:pt idx="79">
                  <c:v>3.1919191919191876</c:v>
                </c:pt>
                <c:pt idx="80">
                  <c:v>3.2323232323232278</c:v>
                </c:pt>
                <c:pt idx="81">
                  <c:v>3.272727272727268</c:v>
                </c:pt>
                <c:pt idx="82">
                  <c:v>3.3131313131313083</c:v>
                </c:pt>
                <c:pt idx="83">
                  <c:v>3.3535353535353485</c:v>
                </c:pt>
                <c:pt idx="84">
                  <c:v>3.3939393939393887</c:v>
                </c:pt>
                <c:pt idx="85">
                  <c:v>3.4343434343434289</c:v>
                </c:pt>
                <c:pt idx="86">
                  <c:v>3.4747474747474691</c:v>
                </c:pt>
                <c:pt idx="87">
                  <c:v>3.5151515151515094</c:v>
                </c:pt>
                <c:pt idx="88">
                  <c:v>3.5555555555555496</c:v>
                </c:pt>
                <c:pt idx="89">
                  <c:v>3.5959595959595898</c:v>
                </c:pt>
                <c:pt idx="90">
                  <c:v>3.63636363636363</c:v>
                </c:pt>
                <c:pt idx="91">
                  <c:v>3.6767676767676702</c:v>
                </c:pt>
                <c:pt idx="92">
                  <c:v>3.7171717171717105</c:v>
                </c:pt>
                <c:pt idx="93">
                  <c:v>3.7575757575757507</c:v>
                </c:pt>
                <c:pt idx="94">
                  <c:v>3.7979797979797909</c:v>
                </c:pt>
                <c:pt idx="95">
                  <c:v>3.8383838383838311</c:v>
                </c:pt>
                <c:pt idx="96">
                  <c:v>3.8787878787878713</c:v>
                </c:pt>
                <c:pt idx="97">
                  <c:v>3.9191919191919116</c:v>
                </c:pt>
                <c:pt idx="98">
                  <c:v>3.9595959595959518</c:v>
                </c:pt>
                <c:pt idx="99">
                  <c:v>3.999999999999992</c:v>
                </c:pt>
              </c:numCache>
            </c:numRef>
          </c:xVal>
          <c:yVal>
            <c:numRef>
              <c:f>'Guardband Calculator'!$X$4:$X$103</c:f>
              <c:numCache>
                <c:formatCode>General</c:formatCode>
                <c:ptCount val="100"/>
                <c:pt idx="0">
                  <c:v>5.5289150940412517</c:v>
                </c:pt>
                <c:pt idx="1">
                  <c:v>5.834404711799217</c:v>
                </c:pt>
                <c:pt idx="2">
                  <c:v>6.1513187711534858</c:v>
                </c:pt>
                <c:pt idx="3">
                  <c:v>6.4798365394764215</c:v>
                </c:pt>
                <c:pt idx="4">
                  <c:v>6.8201206719938403</c:v>
                </c:pt>
                <c:pt idx="5">
                  <c:v>7.1723173312312039</c:v>
                </c:pt>
                <c:pt idx="6">
                  <c:v>7.5365563741081472</c:v>
                </c:pt>
                <c:pt idx="7">
                  <c:v>7.9129516024648572</c:v>
                </c:pt>
                <c:pt idx="8">
                  <c:v>8.3016010725026348</c:v>
                </c:pt>
                <c:pt idx="9">
                  <c:v>8.7025874583702443</c:v>
                </c:pt>
                <c:pt idx="10">
                  <c:v>9.1159784649300768</c:v>
                </c:pt>
                <c:pt idx="11">
                  <c:v>9.5418272845905836</c:v>
                </c:pt>
                <c:pt idx="12">
                  <c:v>9.9801730929969459</c:v>
                </c:pt>
                <c:pt idx="13">
                  <c:v>10.431041578325528</c:v>
                </c:pt>
                <c:pt idx="14">
                  <c:v>10.894445498929997</c:v>
                </c:pt>
                <c:pt idx="15">
                  <c:v>11.370385264135313</c:v>
                </c:pt>
                <c:pt idx="16">
                  <c:v>11.858849533066651</c:v>
                </c:pt>
                <c:pt idx="17">
                  <c:v>12.359815826531761</c:v>
                </c:pt>
                <c:pt idx="18">
                  <c:v>12.873251147144169</c:v>
                </c:pt>
                <c:pt idx="19">
                  <c:v>13.399112603075396</c:v>
                </c:pt>
                <c:pt idx="20">
                  <c:v>13.937348031057162</c:v>
                </c:pt>
                <c:pt idx="21">
                  <c:v>14.487896614510953</c:v>
                </c:pt>
                <c:pt idx="22">
                  <c:v>15.050689492962654</c:v>
                </c:pt>
                <c:pt idx="23">
                  <c:v>15.625650359196419</c:v>
                </c:pt>
                <c:pt idx="24">
                  <c:v>16.212696040914995</c:v>
                </c:pt>
                <c:pt idx="25">
                  <c:v>16.811737063993998</c:v>
                </c:pt>
                <c:pt idx="26">
                  <c:v>17.422678194747107</c:v>
                </c:pt>
                <c:pt idx="27">
                  <c:v>18.045418958950055</c:v>
                </c:pt>
                <c:pt idx="28">
                  <c:v>18.679854135701547</c:v>
                </c:pt>
                <c:pt idx="29">
                  <c:v>19.325874224526967</c:v>
                </c:pt>
                <c:pt idx="30">
                  <c:v>19.98336588445007</c:v>
                </c:pt>
                <c:pt idx="31">
                  <c:v>20.652212344069561</c:v>
                </c:pt>
                <c:pt idx="32">
                  <c:v>21.33229378197526</c:v>
                </c:pt>
                <c:pt idx="33">
                  <c:v>22.023487677124248</c:v>
                </c:pt>
                <c:pt idx="34">
                  <c:v>22.725669129066404</c:v>
                </c:pt>
                <c:pt idx="35">
                  <c:v>23.438711148159229</c:v>
                </c:pt>
                <c:pt idx="36">
                  <c:v>24.162484916146827</c:v>
                </c:pt>
                <c:pt idx="37">
                  <c:v>24.896860017687921</c:v>
                </c:pt>
                <c:pt idx="38">
                  <c:v>25.641704643614705</c:v>
                </c:pt>
                <c:pt idx="39">
                  <c:v>26.396885766872725</c:v>
                </c:pt>
                <c:pt idx="40">
                  <c:v>27.162269292245533</c:v>
                </c:pt>
                <c:pt idx="41">
                  <c:v>27.937720181097536</c:v>
                </c:pt>
                <c:pt idx="42">
                  <c:v>28.723102552477965</c:v>
                </c:pt>
                <c:pt idx="43">
                  <c:v>29.518279762019418</c:v>
                </c:pt>
                <c:pt idx="44">
                  <c:v>30.323114460134803</c:v>
                </c:pt>
                <c:pt idx="45">
                  <c:v>31.137468631067112</c:v>
                </c:pt>
                <c:pt idx="46">
                  <c:v>31.961203614383638</c:v>
                </c:pt>
                <c:pt idx="47">
                  <c:v>32.794180110521168</c:v>
                </c:pt>
                <c:pt idx="48">
                  <c:v>33.636258171993362</c:v>
                </c:pt>
                <c:pt idx="49">
                  <c:v>34.487297181859248</c:v>
                </c:pt>
                <c:pt idx="50">
                  <c:v>35.347155821027634</c:v>
                </c:pt>
                <c:pt idx="51">
                  <c:v>36.215692025936882</c:v>
                </c:pt>
                <c:pt idx="52">
                  <c:v>37.092762938102986</c:v>
                </c:pt>
                <c:pt idx="53">
                  <c:v>37.978224846975017</c:v>
                </c:pt>
                <c:pt idx="54">
                  <c:v>38.871933127474122</c:v>
                </c:pt>
                <c:pt idx="55">
                  <c:v>39.773742173524099</c:v>
                </c:pt>
                <c:pt idx="56">
                  <c:v>40.683505328807847</c:v>
                </c:pt>
                <c:pt idx="57">
                  <c:v>41.601074815906827</c:v>
                </c:pt>
                <c:pt idx="58">
                  <c:v>42.52630166489952</c:v>
                </c:pt>
                <c:pt idx="59">
                  <c:v>43.459035642413802</c:v>
                </c:pt>
                <c:pt idx="60">
                  <c:v>44.399125182044145</c:v>
                </c:pt>
                <c:pt idx="61">
                  <c:v>45.346417316962203</c:v>
                </c:pt>
                <c:pt idx="62">
                  <c:v>46.30075761546658</c:v>
                </c:pt>
                <c:pt idx="63">
                  <c:v>47.261990120136765</c:v>
                </c:pt>
                <c:pt idx="64">
                  <c:v>48.229957291177492</c:v>
                </c:pt>
                <c:pt idx="65">
                  <c:v>49.204499954463657</c:v>
                </c:pt>
                <c:pt idx="66">
                  <c:v>50.185457254721911</c:v>
                </c:pt>
                <c:pt idx="67">
                  <c:v>51.172666614215778</c:v>
                </c:pt>
                <c:pt idx="68">
                  <c:v>52.165963697234893</c:v>
                </c:pt>
                <c:pt idx="69">
                  <c:v>53.165182380625673</c:v>
                </c:pt>
                <c:pt idx="70">
                  <c:v>54.170154730543111</c:v>
                </c:pt>
                <c:pt idx="71">
                  <c:v>55.180710985548799</c:v>
                </c:pt>
                <c:pt idx="72">
                  <c:v>56.196679546129758</c:v>
                </c:pt>
                <c:pt idx="73">
                  <c:v>57.217886970666918</c:v>
                </c:pt>
                <c:pt idx="74">
                  <c:v>58.244157977840082</c:v>
                </c:pt>
                <c:pt idx="75">
                  <c:v>59.275315455417669</c:v>
                </c:pt>
                <c:pt idx="76">
                  <c:v>60.311180475346163</c:v>
                </c:pt>
                <c:pt idx="77">
                  <c:v>61.351572315022793</c:v>
                </c:pt>
                <c:pt idx="78">
                  <c:v>62.39630848460871</c:v>
                </c:pt>
                <c:pt idx="79">
                  <c:v>63.445204760215901</c:v>
                </c:pt>
                <c:pt idx="80">
                  <c:v>64.498075222780557</c:v>
                </c:pt>
                <c:pt idx="81">
                  <c:v>65.554732302418245</c:v>
                </c:pt>
                <c:pt idx="82">
                  <c:v>66.614986828040685</c:v>
                </c:pt>
                <c:pt idx="83">
                  <c:v>67.678648082002297</c:v>
                </c:pt>
                <c:pt idx="84">
                  <c:v>68.745523859533407</c:v>
                </c:pt>
                <c:pt idx="85">
                  <c:v>69.815420532709155</c:v>
                </c:pt>
                <c:pt idx="86">
                  <c:v>70.888143118696931</c:v>
                </c:pt>
                <c:pt idx="87">
                  <c:v>71.963495352019194</c:v>
                </c:pt>
                <c:pt idx="88">
                  <c:v>73.041279760565985</c:v>
                </c:pt>
                <c:pt idx="89">
                  <c:v>74.121297745088015</c:v>
                </c:pt>
                <c:pt idx="90">
                  <c:v>75.203349661900162</c:v>
                </c:pt>
                <c:pt idx="91">
                  <c:v>76.287234908524511</c:v>
                </c:pt>
                <c:pt idx="92">
                  <c:v>77.372752012001385</c:v>
                </c:pt>
                <c:pt idx="93">
                  <c:v>78.45969871959808</c:v>
                </c:pt>
                <c:pt idx="94">
                  <c:v>79.547872091644663</c:v>
                </c:pt>
                <c:pt idx="95">
                  <c:v>80.637068596228232</c:v>
                </c:pt>
                <c:pt idx="96">
                  <c:v>81.727084205476956</c:v>
                </c:pt>
                <c:pt idx="97">
                  <c:v>82.817714493167472</c:v>
                </c:pt>
                <c:pt idx="98">
                  <c:v>83.908754733389017</c:v>
                </c:pt>
                <c:pt idx="99">
                  <c:v>84.999999999999801</c:v>
                </c:pt>
              </c:numCache>
            </c:numRef>
          </c:yVal>
          <c:smooth val="1"/>
          <c:extLst>
            <c:ext xmlns:c16="http://schemas.microsoft.com/office/drawing/2014/chart" uri="{C3380CC4-5D6E-409C-BE32-E72D297353CC}">
              <c16:uniqueId val="{00000000-6DE7-4D67-BBB4-E15ACD87D16A}"/>
            </c:ext>
          </c:extLst>
        </c:ser>
        <c:dLbls>
          <c:showLegendKey val="0"/>
          <c:showVal val="0"/>
          <c:showCatName val="0"/>
          <c:showSerName val="0"/>
          <c:showPercent val="0"/>
          <c:showBubbleSize val="0"/>
        </c:dLbls>
        <c:axId val="1214030063"/>
        <c:axId val="1214029583"/>
      </c:scatterChart>
      <c:valAx>
        <c:axId val="121403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Guardband Width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29583"/>
        <c:crosses val="autoZero"/>
        <c:crossBetween val="midCat"/>
      </c:valAx>
      <c:valAx>
        <c:axId val="121402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0063"/>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PFA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'Risk Curves'!$C$5</c:f>
              <c:strCache>
                <c:ptCount val="1"/>
                <c:pt idx="0">
                  <c:v>1.5</c:v>
                </c:pt>
              </c:strCache>
            </c:strRef>
          </c:tx>
          <c:spPr>
            <a:ln w="19050" cap="rnd">
              <a:solidFill>
                <a:schemeClr val="accent1"/>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Curves'!$C$11:$C$110</c:f>
              <c:numCache>
                <c:formatCode>General</c:formatCode>
                <c:ptCount val="100"/>
                <c:pt idx="0">
                  <c:v>4.8823042891965702</c:v>
                </c:pt>
                <c:pt idx="1">
                  <c:v>4.9114759678914819</c:v>
                </c:pt>
                <c:pt idx="2">
                  <c:v>4.9397794083042683</c:v>
                </c:pt>
                <c:pt idx="3">
                  <c:v>4.9672042609576197</c:v>
                </c:pt>
                <c:pt idx="4">
                  <c:v>4.9937401400323713</c:v>
                </c:pt>
                <c:pt idx="5">
                  <c:v>5.0193766220646747</c:v>
                </c:pt>
                <c:pt idx="6">
                  <c:v>5.0441032445929128</c:v>
                </c:pt>
                <c:pt idx="7">
                  <c:v>5.067909504752544</c:v>
                </c:pt>
                <c:pt idx="8">
                  <c:v>5.09078485781595</c:v>
                </c:pt>
                <c:pt idx="9">
                  <c:v>5.1127187156752569</c:v>
                </c:pt>
                <c:pt idx="10">
                  <c:v>5.1337004452650712</c:v>
                </c:pt>
                <c:pt idx="11">
                  <c:v>5.1537193669227657</c:v>
                </c:pt>
                <c:pt idx="12">
                  <c:v>5.1727647526828955</c:v>
                </c:pt>
                <c:pt idx="13">
                  <c:v>5.1908258245026264</c:v>
                </c:pt>
                <c:pt idx="14">
                  <c:v>5.2078917524154384</c:v>
                </c:pt>
                <c:pt idx="15">
                  <c:v>5.2239516526087275</c:v>
                </c:pt>
                <c:pt idx="16">
                  <c:v>5.2389945854222191</c:v>
                </c:pt>
                <c:pt idx="17">
                  <c:v>5.253009553262916</c:v>
                </c:pt>
                <c:pt idx="18">
                  <c:v>5.2659854984324799</c:v>
                </c:pt>
                <c:pt idx="19">
                  <c:v>5.2779113008625149</c:v>
                </c:pt>
                <c:pt idx="20">
                  <c:v>5.2887757757530967</c:v>
                </c:pt>
                <c:pt idx="21">
                  <c:v>5.2985676711094944</c:v>
                </c:pt>
                <c:pt idx="22">
                  <c:v>5.3072756651715789</c:v>
                </c:pt>
                <c:pt idx="23">
                  <c:v>5.3148883637304687</c:v>
                </c:pt>
                <c:pt idx="24">
                  <c:v>5.3213942973259485</c:v>
                </c:pt>
                <c:pt idx="25">
                  <c:v>5.3267819183187513</c:v>
                </c:pt>
                <c:pt idx="26">
                  <c:v>5.3310395978299949</c:v>
                </c:pt>
                <c:pt idx="27">
                  <c:v>5.334155622541231</c:v>
                </c:pt>
                <c:pt idx="28">
                  <c:v>5.3361181913464728</c:v>
                </c:pt>
                <c:pt idx="29">
                  <c:v>5.3369154118482527</c:v>
                </c:pt>
                <c:pt idx="30">
                  <c:v>5.3365352966884663</c:v>
                </c:pt>
                <c:pt idx="31">
                  <c:v>5.3349657597042075</c:v>
                </c:pt>
                <c:pt idx="32">
                  <c:v>5.3321946118985668</c:v>
                </c:pt>
                <c:pt idx="33">
                  <c:v>5.3282095572147803</c:v>
                </c:pt>
                <c:pt idx="34">
                  <c:v>5.3229981881021295</c:v>
                </c:pt>
                <c:pt idx="35">
                  <c:v>5.3165479808605474</c:v>
                </c:pt>
                <c:pt idx="36">
                  <c:v>5.3088462907501297</c:v>
                </c:pt>
                <c:pt idx="37">
                  <c:v>5.2998803468505713</c:v>
                </c:pt>
                <c:pt idx="38">
                  <c:v>5.2896372466544941</c:v>
                </c:pt>
                <c:pt idx="39">
                  <c:v>5.2781039503773659</c:v>
                </c:pt>
                <c:pt idx="40">
                  <c:v>5.2652672749650691</c:v>
                </c:pt>
                <c:pt idx="41">
                  <c:v>5.251113887778935</c:v>
                </c:pt>
                <c:pt idx="42">
                  <c:v>5.2356302999363225</c:v>
                </c:pt>
                <c:pt idx="43">
                  <c:v>5.2188028592827891</c:v>
                </c:pt>
                <c:pt idx="44">
                  <c:v>5.2006177429700262</c:v>
                </c:pt>
                <c:pt idx="45">
                  <c:v>5.1810609496115099</c:v>
                </c:pt>
                <c:pt idx="46">
                  <c:v>5.1601182909853049</c:v>
                </c:pt>
                <c:pt idx="47">
                  <c:v>5.1377753832504647</c:v>
                </c:pt>
                <c:pt idx="48">
                  <c:v>5.1140176376410054</c:v>
                </c:pt>
                <c:pt idx="49">
                  <c:v>5.0888302505976366</c:v>
                </c:pt>
                <c:pt idx="50">
                  <c:v>5.062198193293602</c:v>
                </c:pt>
                <c:pt idx="51">
                  <c:v>5.0341062005072548</c:v>
                </c:pt>
                <c:pt idx="52">
                  <c:v>5.0045387587892565</c:v>
                </c:pt>
                <c:pt idx="53">
                  <c:v>4.9734800938665478</c:v>
                </c:pt>
                <c:pt idx="54">
                  <c:v>4.940914157220444</c:v>
                </c:pt>
                <c:pt idx="55">
                  <c:v>4.9068246117688901</c:v>
                </c:pt>
                <c:pt idx="56">
                  <c:v>4.8711948165760219</c:v>
                </c:pt>
                <c:pt idx="57">
                  <c:v>4.8340078105038931</c:v>
                </c:pt>
                <c:pt idx="58">
                  <c:v>4.7952462947121051</c:v>
                </c:pt>
                <c:pt idx="59">
                  <c:v>4.7548926139004744</c:v>
                </c:pt>
                <c:pt idx="60">
                  <c:v>4.7129287361780543</c:v>
                </c:pt>
                <c:pt idx="61">
                  <c:v>4.669336231428586</c:v>
                </c:pt>
                <c:pt idx="62">
                  <c:v>4.6240962480270129</c:v>
                </c:pt>
                <c:pt idx="63">
                  <c:v>4.5771894877441071</c:v>
                </c:pt>
                <c:pt idx="64">
                  <c:v>4.5285961786566213</c:v>
                </c:pt>
                <c:pt idx="65">
                  <c:v>4.4782960458571299</c:v>
                </c:pt>
                <c:pt idx="66">
                  <c:v>4.4262682797315742</c:v>
                </c:pt>
                <c:pt idx="67">
                  <c:v>4.3724915015416785</c:v>
                </c:pt>
                <c:pt idx="68">
                  <c:v>4.3169437260146495</c:v>
                </c:pt>
                <c:pt idx="69">
                  <c:v>4.2596023206010605</c:v>
                </c:pt>
                <c:pt idx="70">
                  <c:v>4.2004439610140665</c:v>
                </c:pt>
                <c:pt idx="71">
                  <c:v>4.1394445826073794</c:v>
                </c:pt>
                <c:pt idx="72">
                  <c:v>4.0765793270830377</c:v>
                </c:pt>
                <c:pt idx="73">
                  <c:v>4.0118224839429697</c:v>
                </c:pt>
                <c:pt idx="74">
                  <c:v>3.945147426005807</c:v>
                </c:pt>
                <c:pt idx="75">
                  <c:v>3.8765265382010887</c:v>
                </c:pt>
                <c:pt idx="76">
                  <c:v>3.8059311387220545</c:v>
                </c:pt>
                <c:pt idx="77">
                  <c:v>3.7333313914606867</c:v>
                </c:pt>
                <c:pt idx="78">
                  <c:v>3.6586962084586894</c:v>
                </c:pt>
                <c:pt idx="79">
                  <c:v>3.5819931408767216</c:v>
                </c:pt>
                <c:pt idx="80">
                  <c:v>3.5031882567023498</c:v>
                </c:pt>
                <c:pt idx="81">
                  <c:v>3.4222460030698123</c:v>
                </c:pt>
                <c:pt idx="82">
                  <c:v>3.3391290506347051</c:v>
                </c:pt>
                <c:pt idx="83">
                  <c:v>3.2537981169111747</c:v>
                </c:pt>
                <c:pt idx="84">
                  <c:v>3.1662117648059791</c:v>
                </c:pt>
                <c:pt idx="85">
                  <c:v>3.0763261717305426</c:v>
                </c:pt>
                <c:pt idx="86">
                  <c:v>2.984094863582873</c:v>
                </c:pt>
                <c:pt idx="87">
                  <c:v>2.8894684064853431</c:v>
                </c:pt>
                <c:pt idx="88">
                  <c:v>2.7923940473315882</c:v>
                </c:pt>
                <c:pt idx="89">
                  <c:v>2.6928152917820274</c:v>
                </c:pt>
                <c:pt idx="90">
                  <c:v>2.5906714051262658</c:v>
                </c:pt>
                <c:pt idx="91">
                  <c:v>2.4858968170778581</c:v>
                </c:pt>
                <c:pt idx="92">
                  <c:v>2.3784204055980975</c:v>
                </c:pt>
                <c:pt idx="93">
                  <c:v>2.2681646265287037</c:v>
                </c:pt>
                <c:pt idx="94">
                  <c:v>2.155044444019985</c:v>
                </c:pt>
                <c:pt idx="95">
                  <c:v>2.038965999683688</c:v>
                </c:pt>
                <c:pt idx="96">
                  <c:v>1.9198249331813355</c:v>
                </c:pt>
                <c:pt idx="97">
                  <c:v>1.797504228731269</c:v>
                </c:pt>
                <c:pt idx="98">
                  <c:v>1.6718714024064045</c:v>
                </c:pt>
                <c:pt idx="99">
                  <c:v>1.5427747490534751</c:v>
                </c:pt>
              </c:numCache>
            </c:numRef>
          </c:yVal>
          <c:smooth val="1"/>
          <c:extLst>
            <c:ext xmlns:c16="http://schemas.microsoft.com/office/drawing/2014/chart" uri="{C3380CC4-5D6E-409C-BE32-E72D297353CC}">
              <c16:uniqueId val="{00000000-6151-4C82-9C60-F486CFF1CEBA}"/>
            </c:ext>
          </c:extLst>
        </c:ser>
        <c:ser>
          <c:idx val="1"/>
          <c:order val="1"/>
          <c:tx>
            <c:strRef>
              <c:f>'Risk Curves'!$D$5</c:f>
              <c:strCache>
                <c:ptCount val="1"/>
                <c:pt idx="0">
                  <c:v>2</c:v>
                </c:pt>
              </c:strCache>
            </c:strRef>
          </c:tx>
          <c:spPr>
            <a:ln w="19050" cap="rnd">
              <a:solidFill>
                <a:schemeClr val="accent2"/>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Curves'!$D$11:$D$110</c:f>
              <c:numCache>
                <c:formatCode>General</c:formatCode>
                <c:ptCount val="100"/>
                <c:pt idx="0">
                  <c:v>3.7467805606700932</c:v>
                </c:pt>
                <c:pt idx="1">
                  <c:v>3.7712239835742234</c:v>
                </c:pt>
                <c:pt idx="2">
                  <c:v>3.7950543361112588</c:v>
                </c:pt>
                <c:pt idx="3">
                  <c:v>3.8182633433293645</c:v>
                </c:pt>
                <c:pt idx="4">
                  <c:v>3.840842666720218</c:v>
                </c:pt>
                <c:pt idx="5">
                  <c:v>3.8627839024624189</c:v>
                </c:pt>
                <c:pt idx="6">
                  <c:v>3.8840785796064536</c:v>
                </c:pt>
                <c:pt idx="7">
                  <c:v>3.9047181581979453</c:v>
                </c:pt>
                <c:pt idx="8">
                  <c:v>3.9246940273365007</c:v>
                </c:pt>
                <c:pt idx="9">
                  <c:v>3.9439975031673735</c:v>
                </c:pt>
                <c:pt idx="10">
                  <c:v>3.9626198268026158</c:v>
                </c:pt>
                <c:pt idx="11">
                  <c:v>3.980552162168455</c:v>
                </c:pt>
                <c:pt idx="12">
                  <c:v>3.9977855937753715</c:v>
                </c:pt>
                <c:pt idx="13">
                  <c:v>4.0143111244072047</c:v>
                </c:pt>
                <c:pt idx="14">
                  <c:v>4.0301196727253021</c:v>
                </c:pt>
                <c:pt idx="15">
                  <c:v>4.0452020707838097</c:v>
                </c:pt>
                <c:pt idx="16">
                  <c:v>4.0595490614511567</c:v>
                </c:pt>
                <c:pt idx="17">
                  <c:v>4.0731512957335623</c:v>
                </c:pt>
                <c:pt idx="18">
                  <c:v>4.0859993299955768</c:v>
                </c:pt>
                <c:pt idx="19">
                  <c:v>4.098083623072041</c:v>
                </c:pt>
                <c:pt idx="20">
                  <c:v>4.1093945332660811</c:v>
                </c:pt>
                <c:pt idx="21">
                  <c:v>4.1199223152275426</c:v>
                </c:pt>
                <c:pt idx="22">
                  <c:v>4.1296571167047045</c:v>
                </c:pt>
                <c:pt idx="23">
                  <c:v>4.1385889751635041</c:v>
                </c:pt>
                <c:pt idx="24">
                  <c:v>4.1467078142663709</c:v>
                </c:pt>
                <c:pt idx="25">
                  <c:v>4.1540034402033967</c:v>
                </c:pt>
                <c:pt idx="26">
                  <c:v>4.1604655378675526</c:v>
                </c:pt>
                <c:pt idx="27">
                  <c:v>4.1660836668653003</c:v>
                </c:pt>
                <c:pt idx="28">
                  <c:v>4.1708472573532829</c:v>
                </c:pt>
                <c:pt idx="29">
                  <c:v>4.1747456056911325</c:v>
                </c:pt>
                <c:pt idx="30">
                  <c:v>4.1777678698996956</c:v>
                </c:pt>
                <c:pt idx="31">
                  <c:v>4.1799030649132982</c:v>
                </c:pt>
                <c:pt idx="32">
                  <c:v>4.1811400576139137</c:v>
                </c:pt>
                <c:pt idx="33">
                  <c:v>4.1814675616339834</c:v>
                </c:pt>
                <c:pt idx="34">
                  <c:v>4.1808741319137361</c:v>
                </c:pt>
                <c:pt idx="35">
                  <c:v>4.1793481589980477</c:v>
                </c:pt>
                <c:pt idx="36">
                  <c:v>4.1768778630562995</c:v>
                </c:pt>
                <c:pt idx="37">
                  <c:v>4.1734512876079322</c:v>
                </c:pt>
                <c:pt idx="38">
                  <c:v>4.1690562929343864</c:v>
                </c:pt>
                <c:pt idx="39">
                  <c:v>4.163680549157295</c:v>
                </c:pt>
                <c:pt idx="40">
                  <c:v>4.157311528960733</c:v>
                </c:pt>
                <c:pt idx="41">
                  <c:v>4.1499364999334656</c:v>
                </c:pt>
                <c:pt idx="42">
                  <c:v>4.1415425165056474</c:v>
                </c:pt>
                <c:pt idx="43">
                  <c:v>4.1321164114514914</c:v>
                </c:pt>
                <c:pt idx="44">
                  <c:v>4.1216447869277975</c:v>
                </c:pt>
                <c:pt idx="45">
                  <c:v>4.1101140050150757</c:v>
                </c:pt>
                <c:pt idx="46">
                  <c:v>4.0975101777252778</c:v>
                </c:pt>
                <c:pt idx="47">
                  <c:v>4.0838191564368129</c:v>
                </c:pt>
                <c:pt idx="48">
                  <c:v>4.0690265207142309</c:v>
                </c:pt>
                <c:pt idx="49">
                  <c:v>4.0531175664655752</c:v>
                </c:pt>
                <c:pt idx="50">
                  <c:v>4.0360772933864091</c:v>
                </c:pt>
                <c:pt idx="51">
                  <c:v>4.0178903916343378</c:v>
                </c:pt>
                <c:pt idx="52">
                  <c:v>3.998541227672578</c:v>
                </c:pt>
                <c:pt idx="53">
                  <c:v>3.9780138292148242</c:v>
                </c:pt>
                <c:pt idx="54">
                  <c:v>3.9562918691972064</c:v>
                </c:pt>
                <c:pt idx="55">
                  <c:v>3.933358648695187</c:v>
                </c:pt>
                <c:pt idx="56">
                  <c:v>3.9091970786945263</c:v>
                </c:pt>
                <c:pt idx="57">
                  <c:v>3.8837896606163129</c:v>
                </c:pt>
                <c:pt idx="58">
                  <c:v>3.8571184654846546</c:v>
                </c:pt>
                <c:pt idx="59">
                  <c:v>3.8291651116138108</c:v>
                </c:pt>
                <c:pt idx="60">
                  <c:v>3.7999107406766401</c:v>
                </c:pt>
                <c:pt idx="61">
                  <c:v>3.7693359920018654</c:v>
                </c:pt>
                <c:pt idx="62">
                  <c:v>3.7374209749280101</c:v>
                </c:pt>
                <c:pt idx="63">
                  <c:v>3.7041452390226217</c:v>
                </c:pt>
                <c:pt idx="64">
                  <c:v>3.6694877419506806</c:v>
                </c:pt>
                <c:pt idx="65">
                  <c:v>3.6334268147499293</c:v>
                </c:pt>
                <c:pt idx="66">
                  <c:v>3.5959401242389415</c:v>
                </c:pt>
                <c:pt idx="67">
                  <c:v>3.5570046322483009</c:v>
                </c:pt>
                <c:pt idx="68">
                  <c:v>3.5165965513230231</c:v>
                </c:pt>
                <c:pt idx="69">
                  <c:v>3.47469129649626</c:v>
                </c:pt>
                <c:pt idx="70">
                  <c:v>3.4312634326775253</c:v>
                </c:pt>
                <c:pt idx="71">
                  <c:v>3.3862866171323476</c:v>
                </c:pt>
                <c:pt idx="72">
                  <c:v>3.3397335364524383</c:v>
                </c:pt>
                <c:pt idx="73">
                  <c:v>3.2915758373236406</c:v>
                </c:pt>
                <c:pt idx="74">
                  <c:v>3.2417840502895841</c:v>
                </c:pt>
                <c:pt idx="75">
                  <c:v>3.1903275055796767</c:v>
                </c:pt>
                <c:pt idx="76">
                  <c:v>3.1371742399145446</c:v>
                </c:pt>
                <c:pt idx="77">
                  <c:v>3.0822908930154824</c:v>
                </c:pt>
                <c:pt idx="78">
                  <c:v>3.0256425923191834</c:v>
                </c:pt>
                <c:pt idx="79">
                  <c:v>2.9671928241246688</c:v>
                </c:pt>
                <c:pt idx="80">
                  <c:v>2.9069032890645814</c:v>
                </c:pt>
                <c:pt idx="81">
                  <c:v>2.8447337393806977</c:v>
                </c:pt>
                <c:pt idx="82">
                  <c:v>2.7806417949727589</c:v>
                </c:pt>
                <c:pt idx="83">
                  <c:v>2.7145827345535833</c:v>
                </c:pt>
                <c:pt idx="84">
                  <c:v>2.6465092574420717</c:v>
                </c:pt>
                <c:pt idx="85">
                  <c:v>2.5763712105119381</c:v>
                </c:pt>
                <c:pt idx="86">
                  <c:v>2.5041152735162981</c:v>
                </c:pt>
                <c:pt idx="87">
                  <c:v>2.4296845943344731</c:v>
                </c:pt>
                <c:pt idx="88">
                  <c:v>2.3530183635034203</c:v>
                </c:pt>
                <c:pt idx="89">
                  <c:v>2.274051314517163</c:v>
                </c:pt>
                <c:pt idx="90">
                  <c:v>2.1927131325344282</c:v>
                </c:pt>
                <c:pt idx="91">
                  <c:v>2.1089277489366438</c:v>
                </c:pt>
                <c:pt idx="92">
                  <c:v>2.0226124920452366</c:v>
                </c:pt>
                <c:pt idx="93">
                  <c:v>1.9336770543610333</c:v>
                </c:pt>
                <c:pt idx="94">
                  <c:v>1.8420222225712601</c:v>
                </c:pt>
                <c:pt idx="95">
                  <c:v>1.7475382961342509</c:v>
                </c:pt>
                <c:pt idx="96">
                  <c:v>1.650103090008842</c:v>
                </c:pt>
                <c:pt idx="97">
                  <c:v>1.5495793712053632</c:v>
                </c:pt>
                <c:pt idx="98">
                  <c:v>1.4458115071947517</c:v>
                </c:pt>
                <c:pt idx="99">
                  <c:v>1.3386209886551945</c:v>
                </c:pt>
              </c:numCache>
            </c:numRef>
          </c:yVal>
          <c:smooth val="1"/>
          <c:extLst>
            <c:ext xmlns:c16="http://schemas.microsoft.com/office/drawing/2014/chart" uri="{C3380CC4-5D6E-409C-BE32-E72D297353CC}">
              <c16:uniqueId val="{00000001-6151-4C82-9C60-F486CFF1CEBA}"/>
            </c:ext>
          </c:extLst>
        </c:ser>
        <c:ser>
          <c:idx val="2"/>
          <c:order val="2"/>
          <c:tx>
            <c:strRef>
              <c:f>'Risk Curves'!$E$5</c:f>
              <c:strCache>
                <c:ptCount val="1"/>
                <c:pt idx="0">
                  <c:v>3</c:v>
                </c:pt>
              </c:strCache>
            </c:strRef>
          </c:tx>
          <c:spPr>
            <a:ln w="19050" cap="rnd">
              <a:solidFill>
                <a:schemeClr val="accent3"/>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Curves'!$E$11:$E$110</c:f>
              <c:numCache>
                <c:formatCode>General</c:formatCode>
                <c:ptCount val="100"/>
                <c:pt idx="0">
                  <c:v>2.5532333128011842</c:v>
                </c:pt>
                <c:pt idx="1">
                  <c:v>2.5712637878222866</c:v>
                </c:pt>
                <c:pt idx="2">
                  <c:v>2.5889152724618003</c:v>
                </c:pt>
                <c:pt idx="3">
                  <c:v>2.6061821058207535</c:v>
                </c:pt>
                <c:pt idx="4">
                  <c:v>2.6230585639420045</c:v>
                </c:pt>
                <c:pt idx="5">
                  <c:v>2.639538858051671</c:v>
                </c:pt>
                <c:pt idx="6">
                  <c:v>2.6556171327402458</c:v>
                </c:pt>
                <c:pt idx="7">
                  <c:v>2.6712874640815452</c:v>
                </c:pt>
                <c:pt idx="8">
                  <c:v>2.6865438576860079</c:v>
                </c:pt>
                <c:pt idx="9">
                  <c:v>2.701380246685364</c:v>
                </c:pt>
                <c:pt idx="10">
                  <c:v>2.715790489645725</c:v>
                </c:pt>
                <c:pt idx="11">
                  <c:v>2.7297683684052498</c:v>
                </c:pt>
                <c:pt idx="12">
                  <c:v>2.7433075858331324</c:v>
                </c:pt>
                <c:pt idx="13">
                  <c:v>2.7564017635056559</c:v>
                </c:pt>
                <c:pt idx="14">
                  <c:v>2.7690444392959312</c:v>
                </c:pt>
                <c:pt idx="15">
                  <c:v>2.7812290648720928</c:v>
                </c:pt>
                <c:pt idx="16">
                  <c:v>2.792949003100337</c:v>
                </c:pt>
                <c:pt idx="17">
                  <c:v>2.8041975253471407</c:v>
                </c:pt>
                <c:pt idx="18">
                  <c:v>2.8149678086760055</c:v>
                </c:pt>
                <c:pt idx="19">
                  <c:v>2.8252529329332363</c:v>
                </c:pt>
                <c:pt idx="20">
                  <c:v>2.8350458777167242</c:v>
                </c:pt>
                <c:pt idx="21">
                  <c:v>2.8443395192216112</c:v>
                </c:pt>
                <c:pt idx="22">
                  <c:v>2.8531266269563926</c:v>
                </c:pt>
                <c:pt idx="23">
                  <c:v>2.8613998603224333</c:v>
                </c:pt>
                <c:pt idx="24">
                  <c:v>2.8691517650491716</c:v>
                </c:pt>
                <c:pt idx="25">
                  <c:v>2.8763747694773412</c:v>
                </c:pt>
                <c:pt idx="26">
                  <c:v>2.883061180681473</c:v>
                </c:pt>
                <c:pt idx="27">
                  <c:v>2.8892031804228169</c:v>
                </c:pt>
                <c:pt idx="28">
                  <c:v>2.8947928209226204</c:v>
                </c:pt>
                <c:pt idx="29">
                  <c:v>2.8998220204456917</c:v>
                </c:pt>
                <c:pt idx="30">
                  <c:v>2.9042825586828691</c:v>
                </c:pt>
                <c:pt idx="31">
                  <c:v>2.9081660719203484</c:v>
                </c:pt>
                <c:pt idx="32">
                  <c:v>2.911464047983614</c:v>
                </c:pt>
                <c:pt idx="33">
                  <c:v>2.9141678209411825</c:v>
                </c:pt>
                <c:pt idx="34">
                  <c:v>2.916268565554442</c:v>
                </c:pt>
                <c:pt idx="35">
                  <c:v>2.9177572914567351</c:v>
                </c:pt>
                <c:pt idx="36">
                  <c:v>2.9186248370451917</c:v>
                </c:pt>
                <c:pt idx="37">
                  <c:v>2.9188618630662964</c:v>
                </c:pt>
                <c:pt idx="38">
                  <c:v>2.9184588458756542</c:v>
                </c:pt>
                <c:pt idx="39">
                  <c:v>2.9174060703499816</c:v>
                </c:pt>
                <c:pt idx="40">
                  <c:v>2.9156936224282006</c:v>
                </c:pt>
                <c:pt idx="41">
                  <c:v>2.9133113812563947</c:v>
                </c:pt>
                <c:pt idx="42">
                  <c:v>2.9102490109092605</c:v>
                </c:pt>
                <c:pt idx="43">
                  <c:v>2.9064959516580338</c:v>
                </c:pt>
                <c:pt idx="44">
                  <c:v>2.9020414107531423</c:v>
                </c:pt>
                <c:pt idx="45">
                  <c:v>2.8968743526860132</c:v>
                </c:pt>
                <c:pt idx="46">
                  <c:v>2.8909834888920241</c:v>
                </c:pt>
                <c:pt idx="47">
                  <c:v>2.8843572668528661</c:v>
                </c:pt>
                <c:pt idx="48">
                  <c:v>2.8769838585527117</c:v>
                </c:pt>
                <c:pt idx="49">
                  <c:v>2.8688511482386216</c:v>
                </c:pt>
                <c:pt idx="50">
                  <c:v>2.8599467194301842</c:v>
                </c:pt>
                <c:pt idx="51">
                  <c:v>2.8502578411192303</c:v>
                </c:pt>
                <c:pt idx="52">
                  <c:v>2.8397714530932703</c:v>
                </c:pt>
                <c:pt idx="53">
                  <c:v>2.828474150311</c:v>
                </c:pt>
                <c:pt idx="54">
                  <c:v>2.8163521662496556</c:v>
                </c:pt>
                <c:pt idx="55">
                  <c:v>2.8033913551369913</c:v>
                </c:pt>
                <c:pt idx="56">
                  <c:v>2.7895771729697927</c:v>
                </c:pt>
                <c:pt idx="57">
                  <c:v>2.7748946572123208</c:v>
                </c:pt>
                <c:pt idx="58">
                  <c:v>2.7593284050542843</c:v>
                </c:pt>
                <c:pt idx="59">
                  <c:v>2.7428625500960147</c:v>
                </c:pt>
                <c:pt idx="60">
                  <c:v>2.7254807373125631</c:v>
                </c:pt>
                <c:pt idx="61">
                  <c:v>2.7071660961315414</c:v>
                </c:pt>
                <c:pt idx="62">
                  <c:v>2.6879012114396028</c:v>
                </c:pt>
                <c:pt idx="63">
                  <c:v>2.6676680923101963</c:v>
                </c:pt>
                <c:pt idx="64">
                  <c:v>2.6464481382193177</c:v>
                </c:pt>
                <c:pt idx="65">
                  <c:v>2.6242221024863346</c:v>
                </c:pt>
                <c:pt idx="66">
                  <c:v>2.6009700526429951</c:v>
                </c:pt>
                <c:pt idx="67">
                  <c:v>2.5766713273939592</c:v>
                </c:pt>
                <c:pt idx="68">
                  <c:v>2.5513044897867321</c:v>
                </c:pt>
                <c:pt idx="69">
                  <c:v>2.5248472761551675</c:v>
                </c:pt>
                <c:pt idx="70">
                  <c:v>2.4972765403388051</c:v>
                </c:pt>
                <c:pt idx="71">
                  <c:v>2.4685681926070124</c:v>
                </c:pt>
                <c:pt idx="72">
                  <c:v>2.4386971326310016</c:v>
                </c:pt>
                <c:pt idx="73">
                  <c:v>2.4076371757455082</c:v>
                </c:pt>
                <c:pt idx="74">
                  <c:v>2.3753609716207906</c:v>
                </c:pt>
                <c:pt idx="75">
                  <c:v>2.3418399143223549</c:v>
                </c:pt>
                <c:pt idx="76">
                  <c:v>2.3070440425636134</c:v>
                </c:pt>
                <c:pt idx="77">
                  <c:v>2.2709419287489068</c:v>
                </c:pt>
                <c:pt idx="78">
                  <c:v>2.2335005551541833</c:v>
                </c:pt>
                <c:pt idx="79">
                  <c:v>2.1946851752862679</c:v>
                </c:pt>
                <c:pt idx="80">
                  <c:v>2.1544591580886592</c:v>
                </c:pt>
                <c:pt idx="81">
                  <c:v>2.1127838122002323</c:v>
                </c:pt>
                <c:pt idx="82">
                  <c:v>2.0696181869019643</c:v>
                </c:pt>
                <c:pt idx="83">
                  <c:v>2.0249188456721563</c:v>
                </c:pt>
                <c:pt idx="84">
                  <c:v>1.9786396073713881</c:v>
                </c:pt>
                <c:pt idx="85">
                  <c:v>1.9307312489361197</c:v>
                </c:pt>
                <c:pt idx="86">
                  <c:v>1.8811411619969174</c:v>
                </c:pt>
                <c:pt idx="87">
                  <c:v>1.8298129539454173</c:v>
                </c:pt>
                <c:pt idx="88">
                  <c:v>1.7766859815018576</c:v>
                </c:pt>
                <c:pt idx="89">
                  <c:v>1.7216948015681632</c:v>
                </c:pt>
                <c:pt idx="90">
                  <c:v>1.6647685197821338</c:v>
                </c:pt>
                <c:pt idx="91">
                  <c:v>1.6058300112652093</c:v>
                </c:pt>
                <c:pt idx="92">
                  <c:v>1.5447949799097582</c:v>
                </c:pt>
                <c:pt idx="93">
                  <c:v>1.4815708111650698</c:v>
                </c:pt>
                <c:pt idx="94">
                  <c:v>1.4160551570800386</c:v>
                </c:pt>
                <c:pt idx="95">
                  <c:v>1.3481341688465209</c:v>
                </c:pt>
                <c:pt idx="96">
                  <c:v>1.2776802571938319</c:v>
                </c:pt>
                <c:pt idx="97">
                  <c:v>1.2045492078855933</c:v>
                </c:pt>
                <c:pt idx="98">
                  <c:v>1.1285763964242836</c:v>
                </c:pt>
                <c:pt idx="99">
                  <c:v>1.0495717115190657</c:v>
                </c:pt>
              </c:numCache>
            </c:numRef>
          </c:yVal>
          <c:smooth val="1"/>
          <c:extLst>
            <c:ext xmlns:c16="http://schemas.microsoft.com/office/drawing/2014/chart" uri="{C3380CC4-5D6E-409C-BE32-E72D297353CC}">
              <c16:uniqueId val="{00000002-6151-4C82-9C60-F486CFF1CEBA}"/>
            </c:ext>
          </c:extLst>
        </c:ser>
        <c:ser>
          <c:idx val="3"/>
          <c:order val="3"/>
          <c:tx>
            <c:strRef>
              <c:f>'Risk Curves'!$F$5</c:f>
              <c:strCache>
                <c:ptCount val="1"/>
                <c:pt idx="0">
                  <c:v>4</c:v>
                </c:pt>
              </c:strCache>
            </c:strRef>
          </c:tx>
          <c:spPr>
            <a:ln w="19050" cap="rnd">
              <a:solidFill>
                <a:schemeClr val="accent4"/>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Curves'!$F$11:$F$110</c:f>
              <c:numCache>
                <c:formatCode>General</c:formatCode>
                <c:ptCount val="100"/>
                <c:pt idx="0">
                  <c:v>1.9352008800529785</c:v>
                </c:pt>
                <c:pt idx="1">
                  <c:v>1.9493756575431731</c:v>
                </c:pt>
                <c:pt idx="2">
                  <c:v>1.963278389794032</c:v>
                </c:pt>
                <c:pt idx="3">
                  <c:v>1.9769048339810302</c:v>
                </c:pt>
                <c:pt idx="4">
                  <c:v>1.9902506936625319</c:v>
                </c:pt>
                <c:pt idx="5">
                  <c:v>2.0033116172469612</c:v>
                </c:pt>
                <c:pt idx="6">
                  <c:v>2.0160831964066261</c:v>
                </c:pt>
                <c:pt idx="7">
                  <c:v>2.0285609644354663</c:v>
                </c:pt>
                <c:pt idx="8">
                  <c:v>2.0407403945481239</c:v>
                </c:pt>
                <c:pt idx="9">
                  <c:v>2.0526168981176096</c:v>
                </c:pt>
                <c:pt idx="10">
                  <c:v>2.0641858228487853</c:v>
                </c:pt>
                <c:pt idx="11">
                  <c:v>2.075442450884224</c:v>
                </c:pt>
                <c:pt idx="12">
                  <c:v>2.0863819968390929</c:v>
                </c:pt>
                <c:pt idx="13">
                  <c:v>2.0969996057622287</c:v>
                </c:pt>
                <c:pt idx="14">
                  <c:v>2.10729035101892</c:v>
                </c:pt>
                <c:pt idx="15">
                  <c:v>2.1172492320917891</c:v>
                </c:pt>
                <c:pt idx="16">
                  <c:v>2.1268711722955413</c:v>
                </c:pt>
                <c:pt idx="17">
                  <c:v>2.1361510164015551</c:v>
                </c:pt>
                <c:pt idx="18">
                  <c:v>2.1450835281667802</c:v>
                </c:pt>
                <c:pt idx="19">
                  <c:v>2.1536633877627831</c:v>
                </c:pt>
                <c:pt idx="20">
                  <c:v>2.1618851890989941</c:v>
                </c:pt>
                <c:pt idx="21">
                  <c:v>2.1697434370349877</c:v>
                </c:pt>
                <c:pt idx="22">
                  <c:v>2.1772325444753826</c:v>
                </c:pt>
                <c:pt idx="23">
                  <c:v>2.1843468293408828</c:v>
                </c:pt>
                <c:pt idx="24">
                  <c:v>2.1910805114093268</c:v>
                </c:pt>
                <c:pt idx="25">
                  <c:v>2.1974277090182071</c:v>
                </c:pt>
                <c:pt idx="26">
                  <c:v>2.2033824356217813</c:v>
                </c:pt>
                <c:pt idx="27">
                  <c:v>2.2089385961943373</c:v>
                </c:pt>
                <c:pt idx="28">
                  <c:v>2.214089983469858</c:v>
                </c:pt>
                <c:pt idx="29">
                  <c:v>2.2188302740094201</c:v>
                </c:pt>
                <c:pt idx="30">
                  <c:v>2.2231530240855779</c:v>
                </c:pt>
                <c:pt idx="31">
                  <c:v>2.2270516653725481</c:v>
                </c:pt>
                <c:pt idx="32">
                  <c:v>2.2305195004307885</c:v>
                </c:pt>
                <c:pt idx="33">
                  <c:v>2.2335496979727809</c:v>
                </c:pt>
                <c:pt idx="34">
                  <c:v>2.2361352878965288</c:v>
                </c:pt>
                <c:pt idx="35">
                  <c:v>2.2382691560719428</c:v>
                </c:pt>
                <c:pt idx="36">
                  <c:v>2.2399440388642109</c:v>
                </c:pt>
                <c:pt idx="37">
                  <c:v>2.2411525173770097</c:v>
                </c:pt>
                <c:pt idx="38">
                  <c:v>2.241887011396809</c:v>
                </c:pt>
                <c:pt idx="39">
                  <c:v>2.2421397730185144</c:v>
                </c:pt>
                <c:pt idx="40">
                  <c:v>2.2419028799305019</c:v>
                </c:pt>
                <c:pt idx="41">
                  <c:v>2.2411682283356269</c:v>
                </c:pt>
                <c:pt idx="42">
                  <c:v>2.2399275254825488</c:v>
                </c:pt>
                <c:pt idx="43">
                  <c:v>2.2381722817799323</c:v>
                </c:pt>
                <c:pt idx="44">
                  <c:v>2.23589380246319</c:v>
                </c:pt>
                <c:pt idx="45">
                  <c:v>2.233083178780626</c:v>
                </c:pt>
                <c:pt idx="46">
                  <c:v>2.2297312786642154</c:v>
                </c:pt>
                <c:pt idx="47">
                  <c:v>2.2258287368446816</c:v>
                </c:pt>
                <c:pt idx="48">
                  <c:v>2.2213659443691469</c:v>
                </c:pt>
                <c:pt idx="49">
                  <c:v>2.216333037474433</c:v>
                </c:pt>
                <c:pt idx="50">
                  <c:v>2.2107198857643784</c:v>
                </c:pt>
                <c:pt idx="51">
                  <c:v>2.2045160796354715</c:v>
                </c:pt>
                <c:pt idx="52">
                  <c:v>2.1977109168889006</c:v>
                </c:pt>
                <c:pt idx="53">
                  <c:v>2.1902933884607956</c:v>
                </c:pt>
                <c:pt idx="54">
                  <c:v>2.1822521631953693</c:v>
                </c:pt>
                <c:pt idx="55">
                  <c:v>2.1735755715789784</c:v>
                </c:pt>
                <c:pt idx="56">
                  <c:v>2.1642515883419309</c:v>
                </c:pt>
                <c:pt idx="57">
                  <c:v>2.1542678138273708</c:v>
                </c:pt>
                <c:pt idx="58">
                  <c:v>2.1436114540133806</c:v>
                </c:pt>
                <c:pt idx="59">
                  <c:v>2.1322692990629664</c:v>
                </c:pt>
                <c:pt idx="60">
                  <c:v>2.120227700261021</c:v>
                </c:pt>
                <c:pt idx="61">
                  <c:v>2.1074725451814298</c:v>
                </c:pt>
                <c:pt idx="62">
                  <c:v>2.093989230908516</c:v>
                </c:pt>
                <c:pt idx="63">
                  <c:v>2.0797626351152454</c:v>
                </c:pt>
                <c:pt idx="64">
                  <c:v>2.0647770847759706</c:v>
                </c:pt>
                <c:pt idx="65">
                  <c:v>2.0490163222628062</c:v>
                </c:pt>
                <c:pt idx="66">
                  <c:v>2.032463468542006</c:v>
                </c:pt>
                <c:pt idx="67">
                  <c:v>2.0151009831485904</c:v>
                </c:pt>
                <c:pt idx="68">
                  <c:v>1.996910620572792</c:v>
                </c:pt>
                <c:pt idx="69">
                  <c:v>1.9778733826411321</c:v>
                </c:pt>
                <c:pt idx="70">
                  <c:v>1.9579694664137031</c:v>
                </c:pt>
                <c:pt idx="71">
                  <c:v>1.9371782070490147</c:v>
                </c:pt>
                <c:pt idx="72">
                  <c:v>1.9154780150042434</c:v>
                </c:pt>
                <c:pt idx="73">
                  <c:v>1.892846306839477</c:v>
                </c:pt>
                <c:pt idx="74">
                  <c:v>1.869259428778161</c:v>
                </c:pt>
                <c:pt idx="75">
                  <c:v>1.8446925720344871</c:v>
                </c:pt>
                <c:pt idx="76">
                  <c:v>1.8191196787518709</c:v>
                </c:pt>
                <c:pt idx="77">
                  <c:v>1.7925133371927138</c:v>
                </c:pt>
                <c:pt idx="78">
                  <c:v>1.7648446645750355</c:v>
                </c:pt>
                <c:pt idx="79">
                  <c:v>1.7360831756513539</c:v>
                </c:pt>
                <c:pt idx="80">
                  <c:v>1.7061966347587387</c:v>
                </c:pt>
                <c:pt idx="81">
                  <c:v>1.6751508886154023</c:v>
                </c:pt>
                <c:pt idx="82">
                  <c:v>1.6429096765761737</c:v>
                </c:pt>
                <c:pt idx="83">
                  <c:v>1.6094344143549766</c:v>
                </c:pt>
                <c:pt idx="84">
                  <c:v>1.5746839463331579</c:v>
                </c:pt>
                <c:pt idx="85">
                  <c:v>1.5386142604425403</c:v>
                </c:pt>
                <c:pt idx="86">
                  <c:v>1.5011781581615036</c:v>
                </c:pt>
                <c:pt idx="87">
                  <c:v>1.4623248702832825</c:v>
                </c:pt>
                <c:pt idx="88">
                  <c:v>1.4219996066557856</c:v>
                </c:pt>
                <c:pt idx="89">
                  <c:v>1.3801430248351176</c:v>
                </c:pt>
                <c:pt idx="90">
                  <c:v>1.3366905982306332</c:v>
                </c:pt>
                <c:pt idx="91">
                  <c:v>1.2915718583899116</c:v>
                </c:pt>
                <c:pt idx="92">
                  <c:v>1.2447094779003325</c:v>
                </c:pt>
                <c:pt idx="93">
                  <c:v>1.1960181489363508</c:v>
                </c:pt>
                <c:pt idx="94">
                  <c:v>1.1454031961557531</c:v>
                </c:pt>
                <c:pt idx="95">
                  <c:v>1.0927588388960734</c:v>
                </c:pt>
                <c:pt idx="96">
                  <c:v>1.0379659822864034</c:v>
                </c:pt>
                <c:pt idx="97">
                  <c:v>0.98088936297328622</c:v>
                </c:pt>
                <c:pt idx="98">
                  <c:v>0.92137379049431545</c:v>
                </c:pt>
                <c:pt idx="99">
                  <c:v>0.85923908791711723</c:v>
                </c:pt>
              </c:numCache>
            </c:numRef>
          </c:yVal>
          <c:smooth val="1"/>
          <c:extLst>
            <c:ext xmlns:c16="http://schemas.microsoft.com/office/drawing/2014/chart" uri="{C3380CC4-5D6E-409C-BE32-E72D297353CC}">
              <c16:uniqueId val="{00000003-6151-4C82-9C60-F486CFF1CEBA}"/>
            </c:ext>
          </c:extLst>
        </c:ser>
        <c:dLbls>
          <c:showLegendKey val="0"/>
          <c:showVal val="0"/>
          <c:showCatName val="0"/>
          <c:showSerName val="0"/>
          <c:showPercent val="0"/>
          <c:showBubbleSize val="0"/>
        </c:dLbls>
        <c:axId val="1076210607"/>
        <c:axId val="1076189007"/>
      </c:scatterChart>
      <c:valAx>
        <c:axId val="1076210607"/>
        <c:scaling>
          <c:orientation val="minMax"/>
          <c:max val="95"/>
          <c:min val="4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In-Tolerance</a:t>
                </a:r>
                <a:r>
                  <a:rPr lang="en-US" baseline="0"/>
                  <a:t> Probability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89007"/>
        <c:crosses val="autoZero"/>
        <c:crossBetween val="midCat"/>
      </c:valAx>
      <c:valAx>
        <c:axId val="107618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False Accept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10607"/>
        <c:crosses val="autoZero"/>
        <c:crossBetween val="midCat"/>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PFR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'Risk Curves'!$C$5</c:f>
              <c:strCache>
                <c:ptCount val="1"/>
                <c:pt idx="0">
                  <c:v>1.5</c:v>
                </c:pt>
              </c:strCache>
            </c:strRef>
          </c:tx>
          <c:spPr>
            <a:ln w="19050" cap="rnd">
              <a:solidFill>
                <a:schemeClr val="accent1"/>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Curves'!$H$11:$H$110</c:f>
              <c:numCache>
                <c:formatCode>General</c:formatCode>
                <c:ptCount val="100"/>
                <c:pt idx="0">
                  <c:v>5.6588500791239671</c:v>
                </c:pt>
                <c:pt idx="1">
                  <c:v>5.7138281107320834</c:v>
                </c:pt>
                <c:pt idx="2">
                  <c:v>5.7684775157996189</c:v>
                </c:pt>
                <c:pt idx="3">
                  <c:v>5.8227918103427703</c:v>
                </c:pt>
                <c:pt idx="4">
                  <c:v>5.8767643736811257</c:v>
                </c:pt>
                <c:pt idx="5">
                  <c:v>5.9303884436604832</c:v>
                </c:pt>
                <c:pt idx="6">
                  <c:v>5.983657111670615</c:v>
                </c:pt>
                <c:pt idx="7">
                  <c:v>6.0365633174471967</c:v>
                </c:pt>
                <c:pt idx="8">
                  <c:v>6.0890998436456565</c:v>
                </c:pt>
                <c:pt idx="9">
                  <c:v>6.1412593101749069</c:v>
                </c:pt>
                <c:pt idx="10">
                  <c:v>6.1930341682770891</c:v>
                </c:pt>
                <c:pt idx="11">
                  <c:v>6.2444166943395718</c:v>
                </c:pt>
                <c:pt idx="12">
                  <c:v>6.2953989834234223</c:v>
                </c:pt>
                <c:pt idx="13">
                  <c:v>6.3459729424925779</c:v>
                </c:pt>
                <c:pt idx="14">
                  <c:v>6.3961302833263733</c:v>
                </c:pt>
                <c:pt idx="15">
                  <c:v>6.4458625150962456</c:v>
                </c:pt>
                <c:pt idx="16">
                  <c:v>6.4951609365879461</c:v>
                </c:pt>
                <c:pt idx="17">
                  <c:v>6.5440166280466618</c:v>
                </c:pt>
                <c:pt idx="18">
                  <c:v>6.5924204426234203</c:v>
                </c:pt>
                <c:pt idx="19">
                  <c:v>6.6403629973978919</c:v>
                </c:pt>
                <c:pt idx="20">
                  <c:v>6.6878346639514419</c:v>
                </c:pt>
                <c:pt idx="21">
                  <c:v>6.7348255584624814</c:v>
                </c:pt>
                <c:pt idx="22">
                  <c:v>6.7813255312938914</c:v>
                </c:pt>
                <c:pt idx="23">
                  <c:v>6.827324156040171</c:v>
                </c:pt>
                <c:pt idx="24">
                  <c:v>6.8728107179990783</c:v>
                </c:pt>
                <c:pt idx="25">
                  <c:v>6.917774202030758</c:v>
                </c:pt>
                <c:pt idx="26">
                  <c:v>6.9622032797631022</c:v>
                </c:pt>
                <c:pt idx="27">
                  <c:v>7.0060862961000332</c:v>
                </c:pt>
                <c:pt idx="28">
                  <c:v>7.0494112549855323</c:v>
                </c:pt>
                <c:pt idx="29">
                  <c:v>7.0921658043718416</c:v>
                </c:pt>
                <c:pt idx="30">
                  <c:v>7.1343372203372448</c:v>
                </c:pt>
                <c:pt idx="31">
                  <c:v>7.1759123902929769</c:v>
                </c:pt>
                <c:pt idx="32">
                  <c:v>7.2168777952146215</c:v>
                </c:pt>
                <c:pt idx="33">
                  <c:v>7.2572194908276542</c:v>
                </c:pt>
                <c:pt idx="34">
                  <c:v>7.2969230876704483</c:v>
                </c:pt>
                <c:pt idx="35">
                  <c:v>7.3359737299515277</c:v>
                </c:pt>
                <c:pt idx="36">
                  <c:v>7.3743560731106665</c:v>
                </c:pt>
                <c:pt idx="37">
                  <c:v>7.4120542599847461</c:v>
                </c:pt>
                <c:pt idx="38">
                  <c:v>7.4490518954709151</c:v>
                </c:pt>
                <c:pt idx="39">
                  <c:v>7.4853320195691522</c:v>
                </c:pt>
                <c:pt idx="40">
                  <c:v>7.5208770786754533</c:v>
                </c:pt>
                <c:pt idx="41">
                  <c:v>7.5556688949843913</c:v>
                </c:pt>
                <c:pt idx="42">
                  <c:v>7.5896886338468805</c:v>
                </c:pt>
                <c:pt idx="43">
                  <c:v>7.6229167689124964</c:v>
                </c:pt>
                <c:pt idx="44">
                  <c:v>7.6553330448701331</c:v>
                </c:pt>
                <c:pt idx="45">
                  <c:v>7.6869164375808765</c:v>
                </c:pt>
                <c:pt idx="46">
                  <c:v>7.7176451113764362</c:v>
                </c:pt>
                <c:pt idx="47">
                  <c:v>7.7474963732724778</c:v>
                </c:pt>
                <c:pt idx="48">
                  <c:v>7.7764466238195498</c:v>
                </c:pt>
                <c:pt idx="49">
                  <c:v>7.8044713042844602</c:v>
                </c:pt>
                <c:pt idx="50">
                  <c:v>7.8315448398216887</c:v>
                </c:pt>
                <c:pt idx="51">
                  <c:v>7.8576405782555314</c:v>
                </c:pt>
                <c:pt idx="52">
                  <c:v>7.882730724050985</c:v>
                </c:pt>
                <c:pt idx="53">
                  <c:v>7.9067862670034046</c:v>
                </c:pt>
                <c:pt idx="54">
                  <c:v>7.9297769051199785</c:v>
                </c:pt>
                <c:pt idx="55">
                  <c:v>7.951670961104595</c:v>
                </c:pt>
                <c:pt idx="56">
                  <c:v>7.9724352917847101</c:v>
                </c:pt>
                <c:pt idx="57">
                  <c:v>7.9920351897370789</c:v>
                </c:pt>
                <c:pt idx="58">
                  <c:v>8.0104342762745002</c:v>
                </c:pt>
                <c:pt idx="59">
                  <c:v>8.0275943848480242</c:v>
                </c:pt>
                <c:pt idx="60">
                  <c:v>8.0434754337933949</c:v>
                </c:pt>
                <c:pt idx="61">
                  <c:v>8.0580352872067778</c:v>
                </c:pt>
                <c:pt idx="62">
                  <c:v>8.0712296025673815</c:v>
                </c:pt>
                <c:pt idx="63">
                  <c:v>8.0830116635304758</c:v>
                </c:pt>
                <c:pt idx="64">
                  <c:v>8.0933321960875126</c:v>
                </c:pt>
                <c:pt idx="65">
                  <c:v>8.102139166025605</c:v>
                </c:pt>
                <c:pt idx="66">
                  <c:v>8.1093775553075904</c:v>
                </c:pt>
                <c:pt idx="67">
                  <c:v>8.1149891146277664</c:v>
                </c:pt>
                <c:pt idx="68">
                  <c:v>8.118912088966546</c:v>
                </c:pt>
                <c:pt idx="69">
                  <c:v>8.1210809124536425</c:v>
                </c:pt>
                <c:pt idx="70">
                  <c:v>8.1214258682392266</c:v>
                </c:pt>
                <c:pt idx="71">
                  <c:v>8.1198727083409548</c:v>
                </c:pt>
                <c:pt idx="72">
                  <c:v>8.1163422275580928</c:v>
                </c:pt>
                <c:pt idx="73">
                  <c:v>8.1107497844843675</c:v>
                </c:pt>
                <c:pt idx="74">
                  <c:v>8.1030047613672576</c:v>
                </c:pt>
                <c:pt idx="75">
                  <c:v>8.0930099529965798</c:v>
                </c:pt>
                <c:pt idx="76">
                  <c:v>8.0806608728875879</c:v>
                </c:pt>
                <c:pt idx="77">
                  <c:v>8.0658449626612221</c:v>
                </c:pt>
                <c:pt idx="78">
                  <c:v>8.0484406875948302</c:v>
                </c:pt>
                <c:pt idx="79">
                  <c:v>8.0283164976637043</c:v>
                </c:pt>
                <c:pt idx="80">
                  <c:v>8.0053296288037394</c:v>
                </c:pt>
                <c:pt idx="81">
                  <c:v>7.9793247133220166</c:v>
                </c:pt>
                <c:pt idx="82">
                  <c:v>7.9501321609834488</c:v>
                </c:pt>
                <c:pt idx="83">
                  <c:v>7.9175662627945922</c:v>
                </c:pt>
                <c:pt idx="84">
                  <c:v>7.8814229571843448</c:v>
                </c:pt>
                <c:pt idx="85">
                  <c:v>7.8414771821590703</c:v>
                </c:pt>
                <c:pt idx="86">
                  <c:v>7.797479715706447</c:v>
                </c:pt>
                <c:pt idx="87">
                  <c:v>7.7491533782647632</c:v>
                </c:pt>
                <c:pt idx="88">
                  <c:v>7.6961884326147283</c:v>
                </c:pt>
                <c:pt idx="89">
                  <c:v>7.6382369639127949</c:v>
                </c:pt>
                <c:pt idx="90">
                  <c:v>7.5749059495413054</c:v>
                </c:pt>
                <c:pt idx="91">
                  <c:v>7.5057486255577244</c:v>
                </c:pt>
                <c:pt idx="92">
                  <c:v>7.4302536091677487</c:v>
                </c:pt>
                <c:pt idx="93">
                  <c:v>7.3478310217433123</c:v>
                </c:pt>
                <c:pt idx="94">
                  <c:v>7.2577945371026349</c:v>
                </c:pt>
                <c:pt idx="95">
                  <c:v>7.1593377930519093</c:v>
                </c:pt>
                <c:pt idx="96">
                  <c:v>7.0515028445252232</c:v>
                </c:pt>
                <c:pt idx="97">
                  <c:v>6.9331371167097045</c:v>
                </c:pt>
                <c:pt idx="98">
                  <c:v>6.8028332927357686</c:v>
                </c:pt>
                <c:pt idx="99">
                  <c:v>6.6588430852184493</c:v>
                </c:pt>
              </c:numCache>
            </c:numRef>
          </c:yVal>
          <c:smooth val="1"/>
          <c:extLst>
            <c:ext xmlns:c16="http://schemas.microsoft.com/office/drawing/2014/chart" uri="{C3380CC4-5D6E-409C-BE32-E72D297353CC}">
              <c16:uniqueId val="{00000000-3547-4D2F-93B1-730DAC4F6F7D}"/>
            </c:ext>
          </c:extLst>
        </c:ser>
        <c:ser>
          <c:idx val="1"/>
          <c:order val="1"/>
          <c:tx>
            <c:strRef>
              <c:f>'Risk Curves'!$D$5</c:f>
              <c:strCache>
                <c:ptCount val="1"/>
                <c:pt idx="0">
                  <c:v>2</c:v>
                </c:pt>
              </c:strCache>
            </c:strRef>
          </c:tx>
          <c:spPr>
            <a:ln w="19050" cap="rnd">
              <a:solidFill>
                <a:schemeClr val="accent2"/>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Curves'!$I$11:$I$110</c:f>
              <c:numCache>
                <c:formatCode>General</c:formatCode>
                <c:ptCount val="100"/>
                <c:pt idx="0">
                  <c:v>4.1886396259021241</c:v>
                </c:pt>
                <c:pt idx="1">
                  <c:v>4.2278795981720023</c:v>
                </c:pt>
                <c:pt idx="2">
                  <c:v>4.2668219027407472</c:v>
                </c:pt>
                <c:pt idx="3">
                  <c:v>4.3054607679826162</c:v>
                </c:pt>
                <c:pt idx="4">
                  <c:v>4.34379030427377</c:v>
                </c:pt>
                <c:pt idx="5">
                  <c:v>4.3818044999315298</c:v>
                </c:pt>
                <c:pt idx="6">
                  <c:v>4.419497216982748</c:v>
                </c:pt>
                <c:pt idx="7">
                  <c:v>4.4568621867513034</c:v>
                </c:pt>
                <c:pt idx="8">
                  <c:v>4.4938930052550505</c:v>
                </c:pt>
                <c:pt idx="9">
                  <c:v>4.5305831284020996</c:v>
                </c:pt>
                <c:pt idx="10">
                  <c:v>4.5669258669752413</c:v>
                </c:pt>
                <c:pt idx="11">
                  <c:v>4.6029143813927416</c:v>
                </c:pt>
                <c:pt idx="12">
                  <c:v>4.6385416762329825</c:v>
                </c:pt>
                <c:pt idx="13">
                  <c:v>4.6738005945095029</c:v>
                </c:pt>
                <c:pt idx="14">
                  <c:v>4.7086838116824126</c:v>
                </c:pt>
                <c:pt idx="15">
                  <c:v>4.7431838293907074</c:v>
                </c:pt>
                <c:pt idx="16">
                  <c:v>4.7772929688890855</c:v>
                </c:pt>
                <c:pt idx="17">
                  <c:v>4.8110033641720502</c:v>
                </c:pt>
                <c:pt idx="18">
                  <c:v>4.8443069547666475</c:v>
                </c:pt>
                <c:pt idx="19">
                  <c:v>4.8771954781736788</c:v>
                </c:pt>
                <c:pt idx="20">
                  <c:v>4.9096604619358111</c:v>
                </c:pt>
                <c:pt idx="21">
                  <c:v>4.941693215310222</c:v>
                </c:pt>
                <c:pt idx="22">
                  <c:v>4.9732848205202131</c:v>
                </c:pt>
                <c:pt idx="23">
                  <c:v>5.0044261235599743</c:v>
                </c:pt>
                <c:pt idx="24">
                  <c:v>5.0351077245235354</c:v>
                </c:pt>
                <c:pt idx="25">
                  <c:v>5.0653199674273619</c:v>
                </c:pt>
                <c:pt idx="26">
                  <c:v>5.0950529294936873</c:v>
                </c:pt>
                <c:pt idx="27">
                  <c:v>5.1242964098582586</c:v>
                </c:pt>
                <c:pt idx="28">
                  <c:v>5.1530399176648753</c:v>
                </c:pt>
                <c:pt idx="29">
                  <c:v>5.1812726595045042</c:v>
                </c:pt>
                <c:pt idx="30">
                  <c:v>5.2089835261542481</c:v>
                </c:pt>
                <c:pt idx="31">
                  <c:v>5.2361610785674859</c:v>
                </c:pt>
                <c:pt idx="32">
                  <c:v>5.2627935330622764</c:v>
                </c:pt>
                <c:pt idx="33">
                  <c:v>5.2888687456516319</c:v>
                </c:pt>
                <c:pt idx="34">
                  <c:v>5.3143741954523929</c:v>
                </c:pt>
                <c:pt idx="35">
                  <c:v>5.3392969671064492</c:v>
                </c:pt>
                <c:pt idx="36">
                  <c:v>5.3636237321403328</c:v>
                </c:pt>
                <c:pt idx="37">
                  <c:v>5.3873407291835482</c:v>
                </c:pt>
                <c:pt idx="38">
                  <c:v>5.4104337429586149</c:v>
                </c:pt>
                <c:pt idx="39">
                  <c:v>5.4328880819476009</c:v>
                </c:pt>
                <c:pt idx="40">
                  <c:v>5.4546885546315487</c:v>
                </c:pt>
                <c:pt idx="41">
                  <c:v>5.4758194441889678</c:v>
                </c:pt>
                <c:pt idx="42">
                  <c:v>5.4962644815291117</c:v>
                </c:pt>
                <c:pt idx="43">
                  <c:v>5.5160068165229337</c:v>
                </c:pt>
                <c:pt idx="44">
                  <c:v>5.5350289872824421</c:v>
                </c:pt>
                <c:pt idx="45">
                  <c:v>5.5533128873227424</c:v>
                </c:pt>
                <c:pt idx="46">
                  <c:v>5.570839730425126</c:v>
                </c:pt>
                <c:pt idx="47">
                  <c:v>5.5875900130007814</c:v>
                </c:pt>
                <c:pt idx="48">
                  <c:v>5.6035434737329028</c:v>
                </c:pt>
                <c:pt idx="49">
                  <c:v>5.6186790502524726</c:v>
                </c:pt>
                <c:pt idx="50">
                  <c:v>5.6329748325751936</c:v>
                </c:pt>
                <c:pt idx="51">
                  <c:v>5.6464080129978669</c:v>
                </c:pt>
                <c:pt idx="52">
                  <c:v>5.6589548321181491</c:v>
                </c:pt>
                <c:pt idx="53">
                  <c:v>5.6705905206033549</c:v>
                </c:pt>
                <c:pt idx="54">
                  <c:v>5.681289236290513</c:v>
                </c:pt>
                <c:pt idx="55">
                  <c:v>5.691023996150177</c:v>
                </c:pt>
                <c:pt idx="56">
                  <c:v>5.6997666025901781</c:v>
                </c:pt>
                <c:pt idx="57">
                  <c:v>5.7074875635109681</c:v>
                </c:pt>
                <c:pt idx="58">
                  <c:v>5.714156005450671</c:v>
                </c:pt>
                <c:pt idx="59">
                  <c:v>5.719739579072888</c:v>
                </c:pt>
                <c:pt idx="60">
                  <c:v>5.7242043561531482</c:v>
                </c:pt>
                <c:pt idx="61">
                  <c:v>5.7275147171073293</c:v>
                </c:pt>
                <c:pt idx="62">
                  <c:v>5.729633227975242</c:v>
                </c:pt>
                <c:pt idx="63">
                  <c:v>5.7305205056217385</c:v>
                </c:pt>
                <c:pt idx="64">
                  <c:v>5.7301350697416815</c:v>
                </c:pt>
                <c:pt idx="65">
                  <c:v>5.7284331800501018</c:v>
                </c:pt>
                <c:pt idx="66">
                  <c:v>5.72536865679833</c:v>
                </c:pt>
                <c:pt idx="67">
                  <c:v>5.7208926824741466</c:v>
                </c:pt>
                <c:pt idx="68">
                  <c:v>5.714953582210736</c:v>
                </c:pt>
                <c:pt idx="69">
                  <c:v>5.7074965800336495</c:v>
                </c:pt>
                <c:pt idx="70">
                  <c:v>5.6984635276062292</c:v>
                </c:pt>
                <c:pt idx="71">
                  <c:v>5.6877926015726139</c:v>
                </c:pt>
                <c:pt idx="72">
                  <c:v>5.675417964924911</c:v>
                </c:pt>
                <c:pt idx="73">
                  <c:v>5.6612693870122435</c:v>
                </c:pt>
                <c:pt idx="74">
                  <c:v>5.6452718158284343</c:v>
                </c:pt>
                <c:pt idx="75">
                  <c:v>5.6273448950230565</c:v>
                </c:pt>
                <c:pt idx="76">
                  <c:v>5.6074024166228948</c:v>
                </c:pt>
                <c:pt idx="77">
                  <c:v>5.5853516986574512</c:v>
                </c:pt>
                <c:pt idx="78">
                  <c:v>5.5610928746650465</c:v>
                </c:pt>
                <c:pt idx="79">
                  <c:v>5.534518079293969</c:v>
                </c:pt>
                <c:pt idx="80">
                  <c:v>5.5055105107548563</c:v>
                </c:pt>
                <c:pt idx="81">
                  <c:v>5.4739433465126996</c:v>
                </c:pt>
                <c:pt idx="82">
                  <c:v>5.4396784830555722</c:v>
                </c:pt>
                <c:pt idx="83">
                  <c:v>5.4025650634605151</c:v>
                </c:pt>
                <c:pt idx="84">
                  <c:v>5.3624377472747637</c:v>
                </c:pt>
                <c:pt idx="85">
                  <c:v>5.31911466522513</c:v>
                </c:pt>
                <c:pt idx="86">
                  <c:v>5.2723949854445005</c:v>
                </c:pt>
                <c:pt idx="87">
                  <c:v>5.2220559968295683</c:v>
                </c:pt>
                <c:pt idx="88">
                  <c:v>5.1678495867440137</c:v>
                </c:pt>
                <c:pt idx="89">
                  <c:v>5.1094979515340118</c:v>
                </c:pt>
                <c:pt idx="90">
                  <c:v>5.0466883247280228</c:v>
                </c:pt>
                <c:pt idx="91">
                  <c:v>4.9790664325537888</c:v>
                </c:pt>
                <c:pt idx="92">
                  <c:v>4.9062282790376246</c:v>
                </c:pt>
                <c:pt idx="93">
                  <c:v>4.8277097069579087</c:v>
                </c:pt>
                <c:pt idx="94">
                  <c:v>4.7429729497120112</c:v>
                </c:pt>
                <c:pt idx="95">
                  <c:v>4.6513890387527423</c:v>
                </c:pt>
                <c:pt idx="96">
                  <c:v>4.552214386804426</c:v>
                </c:pt>
                <c:pt idx="97">
                  <c:v>4.4445589969350809</c:v>
                </c:pt>
                <c:pt idx="98">
                  <c:v>4.3273423115144318</c:v>
                </c:pt>
                <c:pt idx="99">
                  <c:v>4.1992302557683381</c:v>
                </c:pt>
              </c:numCache>
            </c:numRef>
          </c:yVal>
          <c:smooth val="1"/>
          <c:extLst>
            <c:ext xmlns:c16="http://schemas.microsoft.com/office/drawing/2014/chart" uri="{C3380CC4-5D6E-409C-BE32-E72D297353CC}">
              <c16:uniqueId val="{00000001-3547-4D2F-93B1-730DAC4F6F7D}"/>
            </c:ext>
          </c:extLst>
        </c:ser>
        <c:ser>
          <c:idx val="2"/>
          <c:order val="2"/>
          <c:tx>
            <c:strRef>
              <c:f>'Risk Curves'!$E$5</c:f>
              <c:strCache>
                <c:ptCount val="1"/>
                <c:pt idx="0">
                  <c:v>3</c:v>
                </c:pt>
              </c:strCache>
            </c:strRef>
          </c:tx>
          <c:spPr>
            <a:ln w="19050" cap="rnd">
              <a:solidFill>
                <a:schemeClr val="accent3"/>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Curves'!$J$11:$J$110</c:f>
              <c:numCache>
                <c:formatCode>General</c:formatCode>
                <c:ptCount val="100"/>
                <c:pt idx="0">
                  <c:v>2.7512551504362159</c:v>
                </c:pt>
                <c:pt idx="1">
                  <c:v>2.7759537353172936</c:v>
                </c:pt>
                <c:pt idx="2">
                  <c:v>2.8004174579022822</c:v>
                </c:pt>
                <c:pt idx="3">
                  <c:v>2.824641882995238</c:v>
                </c:pt>
                <c:pt idx="4">
                  <c:v>2.8486224890096778</c:v>
                </c:pt>
                <c:pt idx="5">
                  <c:v>2.8723546650667897</c:v>
                </c:pt>
                <c:pt idx="6">
                  <c:v>2.8958337079733774</c:v>
                </c:pt>
                <c:pt idx="7">
                  <c:v>2.9190548190744128</c:v>
                </c:pt>
                <c:pt idx="8">
                  <c:v>2.9420131009727513</c:v>
                </c:pt>
                <c:pt idx="9">
                  <c:v>2.9647035541090663</c:v>
                </c:pt>
                <c:pt idx="10">
                  <c:v>2.9871210731948814</c:v>
                </c:pt>
                <c:pt idx="11">
                  <c:v>3.0092604434899748</c:v>
                </c:pt>
                <c:pt idx="12">
                  <c:v>3.031116336916384</c:v>
                </c:pt>
                <c:pt idx="13">
                  <c:v>3.0526833079989713</c:v>
                </c:pt>
                <c:pt idx="14">
                  <c:v>3.073955789624172</c:v>
                </c:pt>
                <c:pt idx="15">
                  <c:v>3.0949280886050037</c:v>
                </c:pt>
                <c:pt idx="16">
                  <c:v>3.1155943810426967</c:v>
                </c:pt>
                <c:pt idx="17">
                  <c:v>3.1359487074719414</c:v>
                </c:pt>
                <c:pt idx="18">
                  <c:v>3.1559849677779859</c:v>
                </c:pt>
                <c:pt idx="19">
                  <c:v>3.1756969158717396</c:v>
                </c:pt>
                <c:pt idx="20">
                  <c:v>3.1950781541083884</c:v>
                </c:pt>
                <c:pt idx="21">
                  <c:v>3.2141221274337273</c:v>
                </c:pt>
                <c:pt idx="22">
                  <c:v>3.2328221172422511</c:v>
                </c:pt>
                <c:pt idx="23">
                  <c:v>3.2511712349286404</c:v>
                </c:pt>
                <c:pt idx="24">
                  <c:v>3.2691624151134469</c:v>
                </c:pt>
                <c:pt idx="25">
                  <c:v>3.2867884085224732</c:v>
                </c:pt>
                <c:pt idx="26">
                  <c:v>3.304041774497918</c:v>
                </c:pt>
                <c:pt idx="27">
                  <c:v>3.3209148731168145</c:v>
                </c:pt>
                <c:pt idx="28">
                  <c:v>3.337399856891504</c:v>
                </c:pt>
                <c:pt idx="29">
                  <c:v>3.3534886620241569</c:v>
                </c:pt>
                <c:pt idx="30">
                  <c:v>3.3691729991853601</c:v>
                </c:pt>
                <c:pt idx="31">
                  <c:v>3.3844443437842822</c:v>
                </c:pt>
                <c:pt idx="32">
                  <c:v>3.3992939256955568</c:v>
                </c:pt>
                <c:pt idx="33">
                  <c:v>3.4137127184045823</c:v>
                </c:pt>
                <c:pt idx="34">
                  <c:v>3.4276914275304549</c:v>
                </c:pt>
                <c:pt idx="35">
                  <c:v>3.4412204786813505</c:v>
                </c:pt>
                <c:pt idx="36">
                  <c:v>3.4542900045943457</c:v>
                </c:pt>
                <c:pt idx="37">
                  <c:v>3.4668898315065588</c:v>
                </c:pt>
                <c:pt idx="38">
                  <c:v>3.4790094647002832</c:v>
                </c:pt>
                <c:pt idx="39">
                  <c:v>3.490638073159408</c:v>
                </c:pt>
                <c:pt idx="40">
                  <c:v>3.5017644732687758</c:v>
                </c:pt>
                <c:pt idx="41">
                  <c:v>3.5123771114818405</c:v>
                </c:pt>
                <c:pt idx="42">
                  <c:v>3.522464045875251</c:v>
                </c:pt>
                <c:pt idx="43">
                  <c:v>3.5320129264998892</c:v>
                </c:pt>
                <c:pt idx="44">
                  <c:v>3.5410109744316074</c:v>
                </c:pt>
                <c:pt idx="45">
                  <c:v>3.549444959412579</c:v>
                </c:pt>
                <c:pt idx="46">
                  <c:v>3.5573011759656383</c:v>
                </c:pt>
                <c:pt idx="47">
                  <c:v>3.5645654178503685</c:v>
                </c:pt>
                <c:pt idx="48">
                  <c:v>3.5712229507172233</c:v>
                </c:pt>
                <c:pt idx="49">
                  <c:v>3.5772584828004881</c:v>
                </c:pt>
                <c:pt idx="50">
                  <c:v>3.5826561334736717</c:v>
                </c:pt>
                <c:pt idx="51">
                  <c:v>3.5873993994725408</c:v>
                </c:pt>
                <c:pt idx="52">
                  <c:v>3.5914711185684176</c:v>
                </c:pt>
                <c:pt idx="53">
                  <c:v>3.5948534304515167</c:v>
                </c:pt>
                <c:pt idx="54">
                  <c:v>3.5975277345544869</c:v>
                </c:pt>
                <c:pt idx="55">
                  <c:v>3.5994746445175139</c:v>
                </c:pt>
                <c:pt idx="56">
                  <c:v>3.600673938958332</c:v>
                </c:pt>
                <c:pt idx="57">
                  <c:v>3.6011045081721789</c:v>
                </c:pt>
                <c:pt idx="58">
                  <c:v>3.6007442963385596</c:v>
                </c:pt>
                <c:pt idx="59">
                  <c:v>3.5995702387599362</c:v>
                </c:pt>
                <c:pt idx="60">
                  <c:v>3.5975581935961398</c:v>
                </c:pt>
                <c:pt idx="61">
                  <c:v>3.594682867487653</c:v>
                </c:pt>
                <c:pt idx="62">
                  <c:v>3.59091773438118</c:v>
                </c:pt>
                <c:pt idx="63">
                  <c:v>3.5862349467757793</c:v>
                </c:pt>
                <c:pt idx="64">
                  <c:v>3.5806052385001537</c:v>
                </c:pt>
                <c:pt idx="65">
                  <c:v>3.5739978180040435</c:v>
                </c:pt>
                <c:pt idx="66">
                  <c:v>3.5663802509990323</c:v>
                </c:pt>
                <c:pt idx="67">
                  <c:v>3.5577183311098217</c:v>
                </c:pt>
                <c:pt idx="68">
                  <c:v>3.5479759369930033</c:v>
                </c:pt>
                <c:pt idx="69">
                  <c:v>3.5371148741379392</c:v>
                </c:pt>
                <c:pt idx="70">
                  <c:v>3.5250946992790162</c:v>
                </c:pt>
                <c:pt idx="71">
                  <c:v>3.5118725250059573</c:v>
                </c:pt>
                <c:pt idx="72">
                  <c:v>3.4974028017525862</c:v>
                </c:pt>
                <c:pt idx="73">
                  <c:v>3.4816370738531113</c:v>
                </c:pt>
                <c:pt idx="74">
                  <c:v>3.4645237057647993</c:v>
                </c:pt>
                <c:pt idx="75">
                  <c:v>3.4460075738387745</c:v>
                </c:pt>
                <c:pt idx="76">
                  <c:v>3.4260297181464896</c:v>
                </c:pt>
                <c:pt idx="77">
                  <c:v>3.4045269477987583</c:v>
                </c:pt>
                <c:pt idx="78">
                  <c:v>3.3814313918731549</c:v>
                </c:pt>
                <c:pt idx="79">
                  <c:v>3.3566699864276157</c:v>
                </c:pt>
                <c:pt idx="80">
                  <c:v>3.330163886032167</c:v>
                </c:pt>
                <c:pt idx="81">
                  <c:v>3.3018277856787419</c:v>
                </c:pt>
                <c:pt idx="82">
                  <c:v>3.2715691356707239</c:v>
                </c:pt>
                <c:pt idx="83">
                  <c:v>3.2392872279341969</c:v>
                </c:pt>
                <c:pt idx="84">
                  <c:v>3.2048721268367277</c:v>
                </c:pt>
                <c:pt idx="85">
                  <c:v>3.1682034106402539</c:v>
                </c:pt>
                <c:pt idx="86">
                  <c:v>3.1291486805851823</c:v>
                </c:pt>
                <c:pt idx="87">
                  <c:v>3.0875617824971058</c:v>
                </c:pt>
                <c:pt idx="88">
                  <c:v>3.0432806695765686</c:v>
                </c:pt>
                <c:pt idx="89">
                  <c:v>2.9961248129979134</c:v>
                </c:pt>
                <c:pt idx="90">
                  <c:v>2.9458920366280159</c:v>
                </c:pt>
                <c:pt idx="91">
                  <c:v>2.8923546098562807</c:v>
                </c:pt>
                <c:pt idx="92">
                  <c:v>2.8352543724910722</c:v>
                </c:pt>
                <c:pt idx="93">
                  <c:v>2.774296578994488</c:v>
                </c:pt>
                <c:pt idx="94">
                  <c:v>2.7091420216907984</c:v>
                </c:pt>
                <c:pt idx="95">
                  <c:v>2.639396800503123</c:v>
                </c:pt>
                <c:pt idx="96">
                  <c:v>2.5645988105490223</c:v>
                </c:pt>
                <c:pt idx="97">
                  <c:v>2.4841995492813096</c:v>
                </c:pt>
                <c:pt idx="98">
                  <c:v>2.3975390764372642</c:v>
                </c:pt>
                <c:pt idx="99">
                  <c:v>2.3038106563345919</c:v>
                </c:pt>
              </c:numCache>
            </c:numRef>
          </c:yVal>
          <c:smooth val="1"/>
          <c:extLst>
            <c:ext xmlns:c16="http://schemas.microsoft.com/office/drawing/2014/chart" uri="{C3380CC4-5D6E-409C-BE32-E72D297353CC}">
              <c16:uniqueId val="{00000002-3547-4D2F-93B1-730DAC4F6F7D}"/>
            </c:ext>
          </c:extLst>
        </c:ser>
        <c:ser>
          <c:idx val="3"/>
          <c:order val="3"/>
          <c:tx>
            <c:strRef>
              <c:f>'Risk Curves'!$F$5</c:f>
              <c:strCache>
                <c:ptCount val="1"/>
                <c:pt idx="0">
                  <c:v>4</c:v>
                </c:pt>
              </c:strCache>
            </c:strRef>
          </c:tx>
          <c:spPr>
            <a:ln w="19050" cap="rnd">
              <a:solidFill>
                <a:schemeClr val="accent4"/>
              </a:solidFill>
              <a:round/>
            </a:ln>
            <a:effectLst/>
          </c:spPr>
          <c:marker>
            <c:symbol val="none"/>
          </c:marker>
          <c:xVal>
            <c:numRef>
              <c:f>'Risk Curves'!$B$11:$B$110</c:f>
              <c:numCache>
                <c:formatCode>General</c:formatCode>
                <c:ptCount val="100"/>
                <c:pt idx="0">
                  <c:v>45</c:v>
                </c:pt>
                <c:pt idx="1">
                  <c:v>45.505050505050505</c:v>
                </c:pt>
                <c:pt idx="2">
                  <c:v>46.01010101010101</c:v>
                </c:pt>
                <c:pt idx="3">
                  <c:v>46.515151515151516</c:v>
                </c:pt>
                <c:pt idx="4">
                  <c:v>47.020202020202021</c:v>
                </c:pt>
                <c:pt idx="5">
                  <c:v>47.525252525252526</c:v>
                </c:pt>
                <c:pt idx="6">
                  <c:v>48.030303030303031</c:v>
                </c:pt>
                <c:pt idx="7">
                  <c:v>48.535353535353536</c:v>
                </c:pt>
                <c:pt idx="8">
                  <c:v>49.040404040404042</c:v>
                </c:pt>
                <c:pt idx="9">
                  <c:v>49.545454545454547</c:v>
                </c:pt>
                <c:pt idx="10">
                  <c:v>50.050505050505052</c:v>
                </c:pt>
                <c:pt idx="11">
                  <c:v>50.555555555555557</c:v>
                </c:pt>
                <c:pt idx="12">
                  <c:v>51.060606060606062</c:v>
                </c:pt>
                <c:pt idx="13">
                  <c:v>51.565656565656568</c:v>
                </c:pt>
                <c:pt idx="14">
                  <c:v>52.070707070707073</c:v>
                </c:pt>
                <c:pt idx="15">
                  <c:v>52.575757575757578</c:v>
                </c:pt>
                <c:pt idx="16">
                  <c:v>53.080808080808083</c:v>
                </c:pt>
                <c:pt idx="17">
                  <c:v>53.585858585858588</c:v>
                </c:pt>
                <c:pt idx="18">
                  <c:v>54.090909090909093</c:v>
                </c:pt>
                <c:pt idx="19">
                  <c:v>54.595959595959599</c:v>
                </c:pt>
                <c:pt idx="20">
                  <c:v>55.101010101010104</c:v>
                </c:pt>
                <c:pt idx="21">
                  <c:v>55.606060606060609</c:v>
                </c:pt>
                <c:pt idx="22">
                  <c:v>56.111111111111114</c:v>
                </c:pt>
                <c:pt idx="23">
                  <c:v>56.616161616161619</c:v>
                </c:pt>
                <c:pt idx="24">
                  <c:v>57.121212121212125</c:v>
                </c:pt>
                <c:pt idx="25">
                  <c:v>57.62626262626263</c:v>
                </c:pt>
                <c:pt idx="26">
                  <c:v>58.131313131313135</c:v>
                </c:pt>
                <c:pt idx="27">
                  <c:v>58.63636363636364</c:v>
                </c:pt>
                <c:pt idx="28">
                  <c:v>59.141414141414145</c:v>
                </c:pt>
                <c:pt idx="29">
                  <c:v>59.646464646464651</c:v>
                </c:pt>
                <c:pt idx="30">
                  <c:v>60.151515151515156</c:v>
                </c:pt>
                <c:pt idx="31">
                  <c:v>60.656565656565661</c:v>
                </c:pt>
                <c:pt idx="32">
                  <c:v>61.161616161616166</c:v>
                </c:pt>
                <c:pt idx="33">
                  <c:v>61.666666666666671</c:v>
                </c:pt>
                <c:pt idx="34">
                  <c:v>62.171717171717177</c:v>
                </c:pt>
                <c:pt idx="35">
                  <c:v>62.676767676767682</c:v>
                </c:pt>
                <c:pt idx="36">
                  <c:v>63.181818181818187</c:v>
                </c:pt>
                <c:pt idx="37">
                  <c:v>63.686868686868692</c:v>
                </c:pt>
                <c:pt idx="38">
                  <c:v>64.191919191919197</c:v>
                </c:pt>
                <c:pt idx="39">
                  <c:v>64.696969696969703</c:v>
                </c:pt>
                <c:pt idx="40">
                  <c:v>65.202020202020208</c:v>
                </c:pt>
                <c:pt idx="41">
                  <c:v>65.707070707070713</c:v>
                </c:pt>
                <c:pt idx="42">
                  <c:v>66.212121212121218</c:v>
                </c:pt>
                <c:pt idx="43">
                  <c:v>66.717171717171723</c:v>
                </c:pt>
                <c:pt idx="44">
                  <c:v>67.222222222222229</c:v>
                </c:pt>
                <c:pt idx="45">
                  <c:v>67.727272727272734</c:v>
                </c:pt>
                <c:pt idx="46">
                  <c:v>68.232323232323239</c:v>
                </c:pt>
                <c:pt idx="47">
                  <c:v>68.737373737373744</c:v>
                </c:pt>
                <c:pt idx="48">
                  <c:v>69.242424242424249</c:v>
                </c:pt>
                <c:pt idx="49">
                  <c:v>69.747474747474755</c:v>
                </c:pt>
                <c:pt idx="50">
                  <c:v>70.25252525252526</c:v>
                </c:pt>
                <c:pt idx="51">
                  <c:v>70.757575757575765</c:v>
                </c:pt>
                <c:pt idx="52">
                  <c:v>71.26262626262627</c:v>
                </c:pt>
                <c:pt idx="53">
                  <c:v>71.767676767676775</c:v>
                </c:pt>
                <c:pt idx="54">
                  <c:v>72.27272727272728</c:v>
                </c:pt>
                <c:pt idx="55">
                  <c:v>72.777777777777786</c:v>
                </c:pt>
                <c:pt idx="56">
                  <c:v>73.282828282828291</c:v>
                </c:pt>
                <c:pt idx="57">
                  <c:v>73.787878787878796</c:v>
                </c:pt>
                <c:pt idx="58">
                  <c:v>74.292929292929301</c:v>
                </c:pt>
                <c:pt idx="59">
                  <c:v>74.797979797979806</c:v>
                </c:pt>
                <c:pt idx="60">
                  <c:v>75.303030303030312</c:v>
                </c:pt>
                <c:pt idx="61">
                  <c:v>75.808080808080817</c:v>
                </c:pt>
                <c:pt idx="62">
                  <c:v>76.313131313131322</c:v>
                </c:pt>
                <c:pt idx="63">
                  <c:v>76.818181818181827</c:v>
                </c:pt>
                <c:pt idx="64">
                  <c:v>77.323232323232332</c:v>
                </c:pt>
                <c:pt idx="65">
                  <c:v>77.828282828282838</c:v>
                </c:pt>
                <c:pt idx="66">
                  <c:v>78.333333333333343</c:v>
                </c:pt>
                <c:pt idx="67">
                  <c:v>78.838383838383848</c:v>
                </c:pt>
                <c:pt idx="68">
                  <c:v>79.343434343434353</c:v>
                </c:pt>
                <c:pt idx="69">
                  <c:v>79.848484848484858</c:v>
                </c:pt>
                <c:pt idx="70">
                  <c:v>80.353535353535364</c:v>
                </c:pt>
                <c:pt idx="71">
                  <c:v>80.858585858585869</c:v>
                </c:pt>
                <c:pt idx="72">
                  <c:v>81.363636363636374</c:v>
                </c:pt>
                <c:pt idx="73">
                  <c:v>81.868686868686879</c:v>
                </c:pt>
                <c:pt idx="74">
                  <c:v>82.373737373737384</c:v>
                </c:pt>
                <c:pt idx="75">
                  <c:v>82.87878787878789</c:v>
                </c:pt>
                <c:pt idx="76">
                  <c:v>83.383838383838395</c:v>
                </c:pt>
                <c:pt idx="77">
                  <c:v>83.8888888888889</c:v>
                </c:pt>
                <c:pt idx="78">
                  <c:v>84.393939393939405</c:v>
                </c:pt>
                <c:pt idx="79">
                  <c:v>84.89898989898991</c:v>
                </c:pt>
                <c:pt idx="80">
                  <c:v>85.404040404040416</c:v>
                </c:pt>
                <c:pt idx="81">
                  <c:v>85.909090909090921</c:v>
                </c:pt>
                <c:pt idx="82">
                  <c:v>86.414141414141426</c:v>
                </c:pt>
                <c:pt idx="83">
                  <c:v>86.919191919191931</c:v>
                </c:pt>
                <c:pt idx="84">
                  <c:v>87.424242424242436</c:v>
                </c:pt>
                <c:pt idx="85">
                  <c:v>87.929292929292941</c:v>
                </c:pt>
                <c:pt idx="86">
                  <c:v>88.434343434343447</c:v>
                </c:pt>
                <c:pt idx="87">
                  <c:v>88.939393939393952</c:v>
                </c:pt>
                <c:pt idx="88">
                  <c:v>89.444444444444457</c:v>
                </c:pt>
                <c:pt idx="89">
                  <c:v>89.949494949494962</c:v>
                </c:pt>
                <c:pt idx="90">
                  <c:v>90.454545454545467</c:v>
                </c:pt>
                <c:pt idx="91">
                  <c:v>90.959595959595973</c:v>
                </c:pt>
                <c:pt idx="92">
                  <c:v>91.464646464646478</c:v>
                </c:pt>
                <c:pt idx="93">
                  <c:v>91.969696969696983</c:v>
                </c:pt>
                <c:pt idx="94">
                  <c:v>92.474747474747488</c:v>
                </c:pt>
                <c:pt idx="95">
                  <c:v>92.979797979797993</c:v>
                </c:pt>
                <c:pt idx="96">
                  <c:v>93.484848484848499</c:v>
                </c:pt>
                <c:pt idx="97">
                  <c:v>93.989898989899004</c:v>
                </c:pt>
                <c:pt idx="98">
                  <c:v>94.494949494949509</c:v>
                </c:pt>
                <c:pt idx="99">
                  <c:v>95.000000000000014</c:v>
                </c:pt>
              </c:numCache>
            </c:numRef>
          </c:xVal>
          <c:yVal>
            <c:numRef>
              <c:f>'Risk Curves'!$K$11:$K$110</c:f>
              <c:numCache>
                <c:formatCode>General</c:formatCode>
                <c:ptCount val="100"/>
                <c:pt idx="0">
                  <c:v>2.0469151642966366</c:v>
                </c:pt>
                <c:pt idx="1">
                  <c:v>2.0648591636666769</c:v>
                </c:pt>
                <c:pt idx="2">
                  <c:v>2.0826129882667299</c:v>
                </c:pt>
                <c:pt idx="3">
                  <c:v>2.100173108023895</c:v>
                </c:pt>
                <c:pt idx="4">
                  <c:v>2.1175359263216897</c:v>
                </c:pt>
                <c:pt idx="5">
                  <c:v>2.1346977777996434</c:v>
                </c:pt>
                <c:pt idx="6">
                  <c:v>2.1516549260637619</c:v>
                </c:pt>
                <c:pt idx="7">
                  <c:v>2.1684035613032115</c:v>
                </c:pt>
                <c:pt idx="8">
                  <c:v>2.1849397978077834</c:v>
                </c:pt>
                <c:pt idx="9">
                  <c:v>2.2012596713816501</c:v>
                </c:pt>
                <c:pt idx="10">
                  <c:v>2.2173591366476231</c:v>
                </c:pt>
                <c:pt idx="11">
                  <c:v>2.2332340642357784</c:v>
                </c:pt>
                <c:pt idx="12">
                  <c:v>2.2488802378501149</c:v>
                </c:pt>
                <c:pt idx="13">
                  <c:v>2.2642933512074084</c:v>
                </c:pt>
                <c:pt idx="14">
                  <c:v>2.2794690048399846</c:v>
                </c:pt>
                <c:pt idx="15">
                  <c:v>2.2944027027556047</c:v>
                </c:pt>
                <c:pt idx="16">
                  <c:v>2.3090898489458889</c:v>
                </c:pt>
                <c:pt idx="17">
                  <c:v>2.323525743735261</c:v>
                </c:pt>
                <c:pt idx="18">
                  <c:v>2.3377055799601978</c:v>
                </c:pt>
                <c:pt idx="19">
                  <c:v>2.3516244389700458</c:v>
                </c:pt>
                <c:pt idx="20">
                  <c:v>2.3652772864376836</c:v>
                </c:pt>
                <c:pt idx="21">
                  <c:v>2.3786589679697379</c:v>
                </c:pt>
                <c:pt idx="22">
                  <c:v>2.3917642045034548</c:v>
                </c:pt>
                <c:pt idx="23">
                  <c:v>2.4045875874774634</c:v>
                </c:pt>
                <c:pt idx="24">
                  <c:v>2.4171235737628196</c:v>
                </c:pt>
                <c:pt idx="25">
                  <c:v>2.4293664803385076</c:v>
                </c:pt>
                <c:pt idx="26">
                  <c:v>2.4413104786962236</c:v>
                </c:pt>
                <c:pt idx="27">
                  <c:v>2.452949588956316</c:v>
                </c:pt>
                <c:pt idx="28">
                  <c:v>2.4642776736765404</c:v>
                </c:pt>
                <c:pt idx="29">
                  <c:v>2.4752884313334333</c:v>
                </c:pt>
                <c:pt idx="30">
                  <c:v>2.4859753894545755</c:v>
                </c:pt>
                <c:pt idx="31">
                  <c:v>2.4963318973782069</c:v>
                </c:pt>
                <c:pt idx="32">
                  <c:v>2.5063511186147416</c:v>
                </c:pt>
                <c:pt idx="33">
                  <c:v>2.5160260227830689</c:v>
                </c:pt>
                <c:pt idx="34">
                  <c:v>2.5253493770914073</c:v>
                </c:pt>
                <c:pt idx="35">
                  <c:v>2.5343137373308346</c:v>
                </c:pt>
                <c:pt idx="36">
                  <c:v>2.5429114383463958</c:v>
                </c:pt>
                <c:pt idx="37">
                  <c:v>2.5511345839478059</c:v>
                </c:pt>
                <c:pt idx="38">
                  <c:v>2.5589750362182198</c:v>
                </c:pt>
                <c:pt idx="39">
                  <c:v>2.5664244041763595</c:v>
                </c:pt>
                <c:pt idx="40">
                  <c:v>2.5734740317425455</c:v>
                </c:pt>
                <c:pt idx="41">
                  <c:v>2.5801149849553786</c:v>
                </c:pt>
                <c:pt idx="42">
                  <c:v>2.5863380383802759</c:v>
                </c:pt>
                <c:pt idx="43">
                  <c:v>2.5921336606459233</c:v>
                </c:pt>
                <c:pt idx="44">
                  <c:v>2.5974919990384757</c:v>
                </c:pt>
                <c:pt idx="45">
                  <c:v>2.6024028630758922</c:v>
                </c:pt>
                <c:pt idx="46">
                  <c:v>2.6068557069790277</c:v>
                </c:pt>
                <c:pt idx="47">
                  <c:v>2.6108396109448986</c:v>
                </c:pt>
                <c:pt idx="48">
                  <c:v>2.614343261120311</c:v>
                </c:pt>
                <c:pt idx="49">
                  <c:v>2.6173549281628015</c:v>
                </c:pt>
                <c:pt idx="50">
                  <c:v>2.6198624442627882</c:v>
                </c:pt>
                <c:pt idx="51">
                  <c:v>2.6218531784892529</c:v>
                </c:pt>
                <c:pt idx="52">
                  <c:v>2.6233140103047559</c:v>
                </c:pt>
                <c:pt idx="53">
                  <c:v>2.6242313010793383</c:v>
                </c:pt>
                <c:pt idx="54">
                  <c:v>2.6245908634124957</c:v>
                </c:pt>
                <c:pt idx="55">
                  <c:v>2.6243779280527288</c:v>
                </c:pt>
                <c:pt idx="56">
                  <c:v>2.623577108176506</c:v>
                </c:pt>
                <c:pt idx="57">
                  <c:v>2.6221723607625593</c:v>
                </c:pt>
                <c:pt idx="58">
                  <c:v>2.6201469447639485</c:v>
                </c:pt>
                <c:pt idx="59">
                  <c:v>2.6174833757440341</c:v>
                </c:pt>
                <c:pt idx="60">
                  <c:v>2.6141633765998789</c:v>
                </c:pt>
                <c:pt idx="61">
                  <c:v>2.6101678239479424</c:v>
                </c:pt>
                <c:pt idx="62">
                  <c:v>2.6054766896913382</c:v>
                </c:pt>
                <c:pt idx="63">
                  <c:v>2.600068977222683</c:v>
                </c:pt>
                <c:pt idx="64">
                  <c:v>2.5939226516414586</c:v>
                </c:pt>
                <c:pt idx="65">
                  <c:v>2.5870145632778145</c:v>
                </c:pt>
                <c:pt idx="66">
                  <c:v>2.5793203637121231</c:v>
                </c:pt>
                <c:pt idx="67">
                  <c:v>2.5708144133607531</c:v>
                </c:pt>
                <c:pt idx="68">
                  <c:v>2.56146967955784</c:v>
                </c:pt>
                <c:pt idx="69">
                  <c:v>2.5512576238977571</c:v>
                </c:pt>
                <c:pt idx="70">
                  <c:v>2.5401480774068563</c:v>
                </c:pt>
                <c:pt idx="71">
                  <c:v>2.5281091018802853</c:v>
                </c:pt>
                <c:pt idx="72">
                  <c:v>2.5151068354423991</c:v>
                </c:pt>
                <c:pt idx="73">
                  <c:v>2.5011053200554745</c:v>
                </c:pt>
                <c:pt idx="74">
                  <c:v>2.4860663083012602</c:v>
                </c:pt>
                <c:pt idx="75">
                  <c:v>2.4699490462740141</c:v>
                </c:pt>
                <c:pt idx="76">
                  <c:v>2.4527100288330885</c:v>
                </c:pt>
                <c:pt idx="77">
                  <c:v>2.4343027227414575</c:v>
                </c:pt>
                <c:pt idx="78">
                  <c:v>2.4146772523279321</c:v>
                </c:pt>
                <c:pt idx="79">
                  <c:v>2.3937800412104804</c:v>
                </c:pt>
                <c:pt idx="80">
                  <c:v>2.3715534022495182</c:v>
                </c:pt>
                <c:pt idx="81">
                  <c:v>2.3479350661806384</c:v>
                </c:pt>
                <c:pt idx="82">
                  <c:v>2.3228576372053942</c:v>
                </c:pt>
                <c:pt idx="83">
                  <c:v>2.2962479610547151</c:v>
                </c:pt>
                <c:pt idx="84">
                  <c:v>2.2680263874887001</c:v>
                </c:pt>
                <c:pt idx="85">
                  <c:v>2.2381059045973664</c:v>
                </c:pt>
                <c:pt idx="86">
                  <c:v>2.2063911162498964</c:v>
                </c:pt>
                <c:pt idx="87">
                  <c:v>2.1727770260873567</c:v>
                </c:pt>
                <c:pt idx="88">
                  <c:v>2.137147580823215</c:v>
                </c:pt>
                <c:pt idx="89">
                  <c:v>2.0993739112345478</c:v>
                </c:pt>
                <c:pt idx="90">
                  <c:v>2.0593121895087814</c:v>
                </c:pt>
                <c:pt idx="91">
                  <c:v>2.0168009941868821</c:v>
                </c:pt>
                <c:pt idx="92">
                  <c:v>1.9716580351895732</c:v>
                </c:pt>
                <c:pt idx="93">
                  <c:v>1.9236760356885791</c:v>
                </c:pt>
                <c:pt idx="94">
                  <c:v>1.8726174858888931</c:v>
                </c:pt>
                <c:pt idx="95">
                  <c:v>1.8182078614134727</c:v>
                </c:pt>
                <c:pt idx="96">
                  <c:v>1.7601267111893644</c:v>
                </c:pt>
                <c:pt idx="97">
                  <c:v>1.6979957235785492</c:v>
                </c:pt>
                <c:pt idx="98">
                  <c:v>1.6313623976989564</c:v>
                </c:pt>
                <c:pt idx="99">
                  <c:v>1.5596771345119207</c:v>
                </c:pt>
              </c:numCache>
            </c:numRef>
          </c:yVal>
          <c:smooth val="1"/>
          <c:extLst>
            <c:ext xmlns:c16="http://schemas.microsoft.com/office/drawing/2014/chart" uri="{C3380CC4-5D6E-409C-BE32-E72D297353CC}">
              <c16:uniqueId val="{00000003-3547-4D2F-93B1-730DAC4F6F7D}"/>
            </c:ext>
          </c:extLst>
        </c:ser>
        <c:dLbls>
          <c:showLegendKey val="0"/>
          <c:showVal val="0"/>
          <c:showCatName val="0"/>
          <c:showSerName val="0"/>
          <c:showPercent val="0"/>
          <c:showBubbleSize val="0"/>
        </c:dLbls>
        <c:axId val="1076210607"/>
        <c:axId val="1076189007"/>
      </c:scatterChart>
      <c:valAx>
        <c:axId val="1076210607"/>
        <c:scaling>
          <c:orientation val="minMax"/>
          <c:max val="95"/>
          <c:min val="4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In-Tolerance</a:t>
                </a:r>
                <a:r>
                  <a:rPr lang="en-US" baseline="0"/>
                  <a:t> Probability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89007"/>
        <c:crosses val="autoZero"/>
        <c:crossBetween val="midCat"/>
      </c:valAx>
      <c:valAx>
        <c:axId val="107618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False Reject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10607"/>
        <c:crosses val="autoZero"/>
        <c:crossBetween val="midCat"/>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85725</xdr:colOff>
      <xdr:row>0</xdr:row>
      <xdr:rowOff>133349</xdr:rowOff>
    </xdr:from>
    <xdr:to>
      <xdr:col>9</xdr:col>
      <xdr:colOff>361950</xdr:colOff>
      <xdr:row>19</xdr:row>
      <xdr:rowOff>114300</xdr:rowOff>
    </xdr:to>
    <xdr:graphicFrame macro="">
      <xdr:nvGraphicFramePr>
        <xdr:cNvPr id="2" name="Chart 1">
          <a:extLst>
            <a:ext uri="{FF2B5EF4-FFF2-40B4-BE49-F238E27FC236}">
              <a16:creationId xmlns:a16="http://schemas.microsoft.com/office/drawing/2014/main" id="{15F1F339-AD36-37B7-68E8-FC0A22F8C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260351</xdr:colOff>
      <xdr:row>0</xdr:row>
      <xdr:rowOff>158749</xdr:rowOff>
    </xdr:from>
    <xdr:to>
      <xdr:col>9</xdr:col>
      <xdr:colOff>38101</xdr:colOff>
      <xdr:row>20</xdr:row>
      <xdr:rowOff>0</xdr:rowOff>
    </xdr:to>
    <xdr:graphicFrame macro="">
      <xdr:nvGraphicFramePr>
        <xdr:cNvPr id="2" name="Chart 1">
          <a:extLst>
            <a:ext uri="{FF2B5EF4-FFF2-40B4-BE49-F238E27FC236}">
              <a16:creationId xmlns:a16="http://schemas.microsoft.com/office/drawing/2014/main" id="{2658B916-2F25-4B66-84B1-55E63A90B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10</xdr:row>
      <xdr:rowOff>76199</xdr:rowOff>
    </xdr:from>
    <xdr:to>
      <xdr:col>8</xdr:col>
      <xdr:colOff>247650</xdr:colOff>
      <xdr:row>31</xdr:row>
      <xdr:rowOff>104774</xdr:rowOff>
    </xdr:to>
    <xdr:graphicFrame macro="">
      <xdr:nvGraphicFramePr>
        <xdr:cNvPr id="2" name="Chart 1">
          <a:extLst>
            <a:ext uri="{FF2B5EF4-FFF2-40B4-BE49-F238E27FC236}">
              <a16:creationId xmlns:a16="http://schemas.microsoft.com/office/drawing/2014/main" id="{7187E8BB-D881-838C-CAD2-071A31004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400050</xdr:colOff>
      <xdr:row>9</xdr:row>
      <xdr:rowOff>71437</xdr:rowOff>
    </xdr:from>
    <xdr:to>
      <xdr:col>6</xdr:col>
      <xdr:colOff>95250</xdr:colOff>
      <xdr:row>25</xdr:row>
      <xdr:rowOff>123825</xdr:rowOff>
    </xdr:to>
    <xdr:graphicFrame macro="">
      <xdr:nvGraphicFramePr>
        <xdr:cNvPr id="2" name="Chart 1">
          <a:extLst>
            <a:ext uri="{FF2B5EF4-FFF2-40B4-BE49-F238E27FC236}">
              <a16:creationId xmlns:a16="http://schemas.microsoft.com/office/drawing/2014/main" id="{AC772B97-432C-A0BA-7E91-9EAE44D54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9</xdr:row>
      <xdr:rowOff>76200</xdr:rowOff>
    </xdr:from>
    <xdr:to>
      <xdr:col>14</xdr:col>
      <xdr:colOff>190500</xdr:colOff>
      <xdr:row>25</xdr:row>
      <xdr:rowOff>128588</xdr:rowOff>
    </xdr:to>
    <xdr:graphicFrame macro="">
      <xdr:nvGraphicFramePr>
        <xdr:cNvPr id="3" name="Chart 2">
          <a:extLst>
            <a:ext uri="{FF2B5EF4-FFF2-40B4-BE49-F238E27FC236}">
              <a16:creationId xmlns:a16="http://schemas.microsoft.com/office/drawing/2014/main" id="{8011CD49-5953-46E2-9ED8-FD45F6766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8</xdr:row>
      <xdr:rowOff>19049</xdr:rowOff>
    </xdr:from>
    <xdr:to>
      <xdr:col>11</xdr:col>
      <xdr:colOff>47625</xdr:colOff>
      <xdr:row>128</xdr:row>
      <xdr:rowOff>28574</xdr:rowOff>
    </xdr:to>
    <xdr:graphicFrame macro="">
      <xdr:nvGraphicFramePr>
        <xdr:cNvPr id="2" name="Chart 1">
          <a:extLst>
            <a:ext uri="{FF2B5EF4-FFF2-40B4-BE49-F238E27FC236}">
              <a16:creationId xmlns:a16="http://schemas.microsoft.com/office/drawing/2014/main" id="{4318891C-6004-3358-AAAA-C4BDAE7C1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47624</xdr:colOff>
      <xdr:row>8</xdr:row>
      <xdr:rowOff>19050</xdr:rowOff>
    </xdr:from>
    <xdr:to>
      <xdr:col>19</xdr:col>
      <xdr:colOff>26288</xdr:colOff>
      <xdr:row>128</xdr:row>
      <xdr:rowOff>38100</xdr:rowOff>
    </xdr:to>
    <xdr:graphicFrame macro="">
      <xdr:nvGraphicFramePr>
        <xdr:cNvPr id="3" name="Chart 2">
          <a:extLst>
            <a:ext uri="{FF2B5EF4-FFF2-40B4-BE49-F238E27FC236}">
              <a16:creationId xmlns:a16="http://schemas.microsoft.com/office/drawing/2014/main" id="{8DEA03C2-EBA5-468F-AA85-3356EA06B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436B38-5173-444A-B3C5-A17097BD20DD}" name="TolTypes" displayName="TolTypes" ref="A1:A5" totalsRowShown="0">
  <autoFilter ref="A1:A5" xr:uid="{DF436B38-5173-444A-B3C5-A17097BD20DD}"/>
  <tableColumns count="1">
    <tableColumn id="1" xr3:uid="{F8CA48B8-4804-448C-9810-4BB75C73FDD2}" name="Tolerance Typ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91DFC5-9339-46EE-BF81-EE9069F72505}" name="GBmethods" displayName="GBmethods" ref="B1:B5" totalsRowShown="0">
  <autoFilter ref="B1:B5" xr:uid="{DE91DFC5-9339-46EE-BF81-EE9069F72505}"/>
  <tableColumns count="1">
    <tableColumn id="1" xr3:uid="{A11E166D-D0B1-41C1-812D-9DF645331512}" name="Guardband Metho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uncertainty@sandia.go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E871-C73E-49B1-A9EE-58DEA02B74F8}">
  <dimension ref="B1:D20"/>
  <sheetViews>
    <sheetView tabSelected="1" workbookViewId="0">
      <selection activeCell="B4" sqref="B4:C4"/>
    </sheetView>
  </sheetViews>
  <sheetFormatPr defaultColWidth="9.140625" defaultRowHeight="15" x14ac:dyDescent="0.25"/>
  <cols>
    <col min="1" max="1" width="0.85546875" style="111" customWidth="1"/>
    <col min="2" max="2" width="23.7109375" style="110" customWidth="1"/>
    <col min="3" max="3" width="100.85546875" style="110" customWidth="1"/>
    <col min="4" max="16384" width="9.140625" style="111"/>
  </cols>
  <sheetData>
    <row r="1" spans="2:4" ht="5.25" customHeight="1" x14ac:dyDescent="0.25"/>
    <row r="2" spans="2:4" ht="18.75" x14ac:dyDescent="0.3">
      <c r="B2" s="126" t="s">
        <v>102</v>
      </c>
      <c r="C2" s="127"/>
    </row>
    <row r="3" spans="2:4" ht="18.75" customHeight="1" x14ac:dyDescent="0.25">
      <c r="B3" s="128" t="s">
        <v>114</v>
      </c>
      <c r="C3" s="129"/>
    </row>
    <row r="4" spans="2:4" ht="20.25" customHeight="1" x14ac:dyDescent="0.25">
      <c r="B4" s="130" t="s">
        <v>95</v>
      </c>
      <c r="C4" s="131"/>
    </row>
    <row r="5" spans="2:4" ht="60" x14ac:dyDescent="0.25">
      <c r="B5" s="112"/>
      <c r="C5" s="113" t="s">
        <v>103</v>
      </c>
      <c r="D5" s="114"/>
    </row>
    <row r="6" spans="2:4" ht="7.5" customHeight="1" x14ac:dyDescent="0.25">
      <c r="B6" s="115"/>
      <c r="C6" s="116"/>
      <c r="D6" s="114"/>
    </row>
    <row r="7" spans="2:4" x14ac:dyDescent="0.25">
      <c r="B7" s="132" t="s">
        <v>96</v>
      </c>
      <c r="C7" s="132"/>
      <c r="D7" s="114"/>
    </row>
    <row r="8" spans="2:4" x14ac:dyDescent="0.25">
      <c r="B8" s="117" t="s">
        <v>104</v>
      </c>
      <c r="C8" s="118" t="s">
        <v>105</v>
      </c>
      <c r="D8" s="114"/>
    </row>
    <row r="9" spans="2:4" x14ac:dyDescent="0.25">
      <c r="B9" s="117" t="s">
        <v>106</v>
      </c>
      <c r="C9" s="118" t="s">
        <v>107</v>
      </c>
      <c r="D9" s="114"/>
    </row>
    <row r="10" spans="2:4" x14ac:dyDescent="0.25">
      <c r="B10" s="117" t="s">
        <v>13</v>
      </c>
      <c r="C10" s="118" t="s">
        <v>108</v>
      </c>
      <c r="D10" s="114"/>
    </row>
    <row r="11" spans="2:4" x14ac:dyDescent="0.25">
      <c r="B11" s="117" t="s">
        <v>109</v>
      </c>
      <c r="C11" s="118" t="s">
        <v>113</v>
      </c>
      <c r="D11" s="114"/>
    </row>
    <row r="12" spans="2:4" x14ac:dyDescent="0.25">
      <c r="B12" s="117" t="s">
        <v>110</v>
      </c>
      <c r="C12" s="118" t="s">
        <v>111</v>
      </c>
      <c r="D12" s="114"/>
    </row>
    <row r="13" spans="2:4" x14ac:dyDescent="0.25">
      <c r="B13" s="117" t="s">
        <v>28</v>
      </c>
      <c r="C13" s="118" t="s">
        <v>112</v>
      </c>
      <c r="D13" s="114"/>
    </row>
    <row r="14" spans="2:4" x14ac:dyDescent="0.25">
      <c r="B14" s="117" t="s">
        <v>97</v>
      </c>
      <c r="C14" s="118" t="s">
        <v>98</v>
      </c>
    </row>
    <row r="15" spans="2:4" x14ac:dyDescent="0.25">
      <c r="B15" s="124" t="s">
        <v>99</v>
      </c>
      <c r="C15" s="125"/>
    </row>
    <row r="16" spans="2:4" ht="45" x14ac:dyDescent="0.25">
      <c r="B16" s="119"/>
      <c r="C16" s="120" t="s">
        <v>100</v>
      </c>
    </row>
    <row r="17" spans="2:3" x14ac:dyDescent="0.25">
      <c r="B17" s="121"/>
      <c r="C17" s="122" t="s">
        <v>101</v>
      </c>
    </row>
    <row r="18" spans="2:3" x14ac:dyDescent="0.25">
      <c r="B18" s="123"/>
      <c r="C18" s="123"/>
    </row>
    <row r="19" spans="2:3" x14ac:dyDescent="0.25">
      <c r="B19" s="123"/>
      <c r="C19" s="123"/>
    </row>
    <row r="20" spans="2:3" x14ac:dyDescent="0.25">
      <c r="B20" s="123"/>
      <c r="C20" s="123"/>
    </row>
  </sheetData>
  <mergeCells count="5">
    <mergeCell ref="B15:C15"/>
    <mergeCell ref="B2:C2"/>
    <mergeCell ref="B3:C3"/>
    <mergeCell ref="B4:C4"/>
    <mergeCell ref="B7:C7"/>
  </mergeCells>
  <hyperlinks>
    <hyperlink ref="B4" r:id="rId1" xr:uid="{7A9D9A47-D26C-4638-81E1-88E61292D09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0939-AECC-4611-8D32-9BB073B93A0E}">
  <dimension ref="B1:S1034"/>
  <sheetViews>
    <sheetView showGridLines="0" workbookViewId="0"/>
  </sheetViews>
  <sheetFormatPr defaultRowHeight="15" x14ac:dyDescent="0.25"/>
  <cols>
    <col min="2" max="2" width="31.85546875" customWidth="1"/>
    <col min="3" max="3" width="12" bestFit="1" customWidth="1"/>
    <col min="7" max="7" width="32" customWidth="1"/>
    <col min="8" max="12" width="15.5703125" customWidth="1"/>
    <col min="14" max="14" width="23" style="67" hidden="1" customWidth="1"/>
    <col min="15" max="15" width="13" style="67" hidden="1" customWidth="1"/>
    <col min="16" max="18" width="9.140625" style="67" hidden="1" customWidth="1"/>
  </cols>
  <sheetData>
    <row r="1" spans="2:19" ht="15.75" thickBot="1" x14ac:dyDescent="0.3"/>
    <row r="2" spans="2:19" x14ac:dyDescent="0.25">
      <c r="B2" s="133" t="s">
        <v>44</v>
      </c>
      <c r="C2" s="134"/>
      <c r="D2" s="134"/>
      <c r="E2" s="135"/>
      <c r="S2" s="14" t="s">
        <v>69</v>
      </c>
    </row>
    <row r="3" spans="2:19" x14ac:dyDescent="0.25">
      <c r="B3" s="1" t="s">
        <v>2</v>
      </c>
      <c r="C3" s="51">
        <v>200</v>
      </c>
      <c r="D3" s="52" t="s">
        <v>3</v>
      </c>
      <c r="E3" s="6">
        <v>5</v>
      </c>
      <c r="N3" s="68" t="s">
        <v>21</v>
      </c>
      <c r="O3" s="69" cm="1">
        <f t="array" ref="O3">TOL_LOWER_LIMIT(C3,D3,E3)</f>
        <v>195</v>
      </c>
      <c r="S3" s="14"/>
    </row>
    <row r="4" spans="2:19" x14ac:dyDescent="0.25">
      <c r="B4" s="1" t="s">
        <v>1</v>
      </c>
      <c r="C4" s="53">
        <v>200</v>
      </c>
      <c r="D4" s="53"/>
      <c r="E4" s="3"/>
      <c r="N4" s="68" t="s">
        <v>22</v>
      </c>
      <c r="O4" s="69" cm="1">
        <f t="array" ref="O4">TOL_UPPER_LIMIT(C3,D3,E3)</f>
        <v>205</v>
      </c>
    </row>
    <row r="5" spans="2:19" x14ac:dyDescent="0.25">
      <c r="B5" s="1" t="s">
        <v>4</v>
      </c>
      <c r="C5" s="54">
        <v>0.85</v>
      </c>
      <c r="D5" s="53"/>
      <c r="E5" s="3"/>
      <c r="G5" s="49" t="str">
        <f>IF(ISERR(O5),"Cannot find product standard deviation satisfying ITP", "")</f>
        <v/>
      </c>
      <c r="N5" s="68" t="s">
        <v>23</v>
      </c>
      <c r="O5" s="69" cm="1">
        <f t="array" ref="O5">SIGMA_FROM_ITP(C4,O3,O4,C5)</f>
        <v>3.4733523378550455</v>
      </c>
    </row>
    <row r="6" spans="2:19" x14ac:dyDescent="0.25">
      <c r="B6" s="1" t="s">
        <v>5</v>
      </c>
      <c r="C6" s="55">
        <v>2</v>
      </c>
      <c r="D6" s="53"/>
      <c r="E6" s="3"/>
      <c r="N6" s="68" t="s">
        <v>24</v>
      </c>
      <c r="O6" s="69" cm="1">
        <f t="array" ref="O6">GB_WIDTH(C7,C12,O3,O4,C4,C6,O5,C9)</f>
        <v>0.66126526198168611</v>
      </c>
    </row>
    <row r="7" spans="2:19" x14ac:dyDescent="0.25">
      <c r="B7" s="1" t="s">
        <v>6</v>
      </c>
      <c r="C7" s="56" t="s">
        <v>18</v>
      </c>
      <c r="D7" s="53"/>
      <c r="E7" s="3"/>
      <c r="N7" s="67" t="s">
        <v>25</v>
      </c>
      <c r="O7" s="70">
        <f>IF(C7="None",O3,IF(C7="Manual",O3+C8,O3+O6))</f>
        <v>195.6612652619817</v>
      </c>
    </row>
    <row r="8" spans="2:19" x14ac:dyDescent="0.25">
      <c r="B8" s="1" t="s">
        <v>70</v>
      </c>
      <c r="C8" s="50">
        <v>0.1</v>
      </c>
      <c r="D8" s="53"/>
      <c r="E8" s="3"/>
      <c r="N8" s="67" t="s">
        <v>26</v>
      </c>
      <c r="O8" s="70">
        <f>IF(C7="None",O4,IF(C7="Manual",O4-C8,O4-O6))</f>
        <v>204.3387347380183</v>
      </c>
    </row>
    <row r="9" spans="2:19" x14ac:dyDescent="0.25">
      <c r="B9" s="1" t="s">
        <v>45</v>
      </c>
      <c r="C9" s="59">
        <v>0.01</v>
      </c>
      <c r="D9" s="53"/>
      <c r="E9" s="3"/>
    </row>
    <row r="10" spans="2:19" x14ac:dyDescent="0.25">
      <c r="B10" s="1"/>
      <c r="C10" s="57"/>
      <c r="D10" s="53"/>
      <c r="E10" s="3"/>
    </row>
    <row r="11" spans="2:19" x14ac:dyDescent="0.25">
      <c r="B11" s="93" t="s">
        <v>10</v>
      </c>
      <c r="C11" s="94" cm="1">
        <f t="array" ref="C11">TOL_DISPLAY_1(O7,O8,D3)</f>
        <v>200</v>
      </c>
      <c r="D11" s="95" t="str">
        <f>D3</f>
        <v>±</v>
      </c>
      <c r="E11" s="96" cm="1">
        <f t="array" ref="E11">TOL_DISPLAY_2(O7,O8,D3)</f>
        <v>4.338734738018303</v>
      </c>
      <c r="N11" s="68"/>
      <c r="O11" s="69"/>
    </row>
    <row r="12" spans="2:19" x14ac:dyDescent="0.25">
      <c r="B12" s="93" t="s">
        <v>8</v>
      </c>
      <c r="C12" s="97" cm="1">
        <f t="array" ref="C12">TUR(C3,D3,E3,C6,C4)</f>
        <v>2.5</v>
      </c>
      <c r="D12" s="98"/>
      <c r="E12" s="99"/>
      <c r="N12" s="68"/>
      <c r="O12" s="69"/>
    </row>
    <row r="13" spans="2:19" x14ac:dyDescent="0.25">
      <c r="B13" s="93" t="s">
        <v>50</v>
      </c>
      <c r="C13" s="100" cm="1">
        <f t="array" ref="C13">PFA(O3,O4,O3,O4,C4,C6/2,O5)</f>
        <v>2.515670409467842E-2</v>
      </c>
      <c r="D13" s="98"/>
      <c r="E13" s="99"/>
    </row>
    <row r="14" spans="2:19" x14ac:dyDescent="0.25">
      <c r="B14" s="93" t="s">
        <v>51</v>
      </c>
      <c r="C14" s="100" cm="1">
        <f t="array" ref="C14">PFA(O3,O4,O7,O8,C4,C6/2,O5)</f>
        <v>1.0107678683236615E-2</v>
      </c>
      <c r="D14" s="98"/>
      <c r="E14" s="99"/>
    </row>
    <row r="15" spans="2:19" x14ac:dyDescent="0.25">
      <c r="B15" s="93" t="s">
        <v>52</v>
      </c>
      <c r="C15" s="101" cm="1">
        <f t="array" ref="C15">PFR(O3,O4,O7,O8,C4,C6/2,O5)</f>
        <v>9.0209308015472889E-2</v>
      </c>
      <c r="D15" s="102"/>
      <c r="E15" s="103"/>
    </row>
    <row r="16" spans="2:19" x14ac:dyDescent="0.25">
      <c r="B16" s="93" t="s">
        <v>46</v>
      </c>
      <c r="C16" s="104">
        <f>MAX(_xlfn.NORM.DIST(O3,O7,C6/2,TRUE), 1-_xlfn.NORM.DIST(O4,O8,C6/2,TRUE))</f>
        <v>0.2542211074703018</v>
      </c>
      <c r="D16" s="102"/>
      <c r="E16" s="103"/>
    </row>
    <row r="17" spans="2:18" x14ac:dyDescent="0.25">
      <c r="B17" s="93" t="s">
        <v>47</v>
      </c>
      <c r="C17" s="104">
        <f>_xlfn.NORM.DIST(O4,C4,O5,TRUE) - _xlfn.NORM.DIST(O3,C4,O5,TRUE)</f>
        <v>0.85000000000000009</v>
      </c>
      <c r="D17" s="102"/>
      <c r="E17" s="103"/>
    </row>
    <row r="18" spans="2:18" x14ac:dyDescent="0.25">
      <c r="B18" s="93" t="s">
        <v>48</v>
      </c>
      <c r="C18" s="105">
        <f>1-C17</f>
        <v>0.14999999999999991</v>
      </c>
      <c r="D18" s="102"/>
      <c r="E18" s="103"/>
    </row>
    <row r="19" spans="2:18" ht="15.75" thickBot="1" x14ac:dyDescent="0.3">
      <c r="B19" s="106" t="s">
        <v>49</v>
      </c>
      <c r="C19" s="107">
        <f>MIN((O4-C4)/(3*O5), (C4-O3)/(3*O5))</f>
        <v>0.47984382364615213</v>
      </c>
      <c r="D19" s="87"/>
      <c r="E19" s="88"/>
    </row>
    <row r="29" spans="2:18" x14ac:dyDescent="0.25">
      <c r="N29" s="67">
        <f>O30-(P30-O30)/2</f>
        <v>190</v>
      </c>
      <c r="O29" s="67" t="s">
        <v>53</v>
      </c>
      <c r="P29" s="67" t="s">
        <v>54</v>
      </c>
      <c r="Q29" s="67" t="s">
        <v>55</v>
      </c>
      <c r="R29" s="67" t="s">
        <v>56</v>
      </c>
    </row>
    <row r="30" spans="2:18" x14ac:dyDescent="0.25">
      <c r="N30" s="67">
        <f>P31+(P31-O31)/2</f>
        <v>210</v>
      </c>
      <c r="O30" s="71">
        <f>O3</f>
        <v>195</v>
      </c>
      <c r="P30" s="71">
        <f>O4</f>
        <v>205</v>
      </c>
      <c r="Q30" s="71">
        <f>O7</f>
        <v>195.6612652619817</v>
      </c>
      <c r="R30" s="71">
        <f>O8</f>
        <v>204.3387347380183</v>
      </c>
    </row>
    <row r="31" spans="2:18" x14ac:dyDescent="0.25">
      <c r="O31" s="71">
        <f>O3</f>
        <v>195</v>
      </c>
      <c r="P31" s="71">
        <f>O4</f>
        <v>205</v>
      </c>
      <c r="Q31" s="71">
        <f>O7</f>
        <v>195.6612652619817</v>
      </c>
      <c r="R31" s="71">
        <f>O8</f>
        <v>204.3387347380183</v>
      </c>
    </row>
    <row r="32" spans="2:18" x14ac:dyDescent="0.25">
      <c r="N32" s="67" t="s">
        <v>57</v>
      </c>
    </row>
    <row r="33" spans="15:16" x14ac:dyDescent="0.25">
      <c r="O33" s="67">
        <v>1000</v>
      </c>
    </row>
    <row r="34" spans="15:16" x14ac:dyDescent="0.25">
      <c r="O34" s="67" t="s">
        <v>58</v>
      </c>
      <c r="P34" s="67" t="s">
        <v>59</v>
      </c>
    </row>
    <row r="35" spans="15:16" x14ac:dyDescent="0.25">
      <c r="O35" s="67" cm="1">
        <f t="array" aca="1" ref="O35:P1034" ca="1">SAMPLES_JOINT_NORM(C4,O5,C6/2,O33)</f>
        <v>198.15063673855164</v>
      </c>
      <c r="P35" s="67">
        <f ca="1"/>
        <v>199.0734289027225</v>
      </c>
    </row>
    <row r="36" spans="15:16" x14ac:dyDescent="0.25">
      <c r="O36" s="67">
        <f ca="1"/>
        <v>196.99175519159053</v>
      </c>
      <c r="P36" s="67">
        <f ca="1"/>
        <v>197.42355373458426</v>
      </c>
    </row>
    <row r="37" spans="15:16" x14ac:dyDescent="0.25">
      <c r="O37" s="67">
        <f ca="1"/>
        <v>199.53106308044588</v>
      </c>
      <c r="P37" s="67">
        <f ca="1"/>
        <v>198.25068315167556</v>
      </c>
    </row>
    <row r="38" spans="15:16" x14ac:dyDescent="0.25">
      <c r="O38" s="67">
        <f ca="1"/>
        <v>197.6762266493667</v>
      </c>
      <c r="P38" s="67">
        <f ca="1"/>
        <v>197.50854825239799</v>
      </c>
    </row>
    <row r="39" spans="15:16" x14ac:dyDescent="0.25">
      <c r="O39" s="67">
        <f ca="1"/>
        <v>199.71224181842425</v>
      </c>
      <c r="P39" s="67">
        <f ca="1"/>
        <v>200.12815522338184</v>
      </c>
    </row>
    <row r="40" spans="15:16" x14ac:dyDescent="0.25">
      <c r="O40" s="67">
        <f ca="1"/>
        <v>206.05875753679985</v>
      </c>
      <c r="P40" s="67">
        <f ca="1"/>
        <v>206.19512486396582</v>
      </c>
    </row>
    <row r="41" spans="15:16" x14ac:dyDescent="0.25">
      <c r="O41" s="67">
        <f ca="1"/>
        <v>193.87984446563269</v>
      </c>
      <c r="P41" s="67">
        <f ca="1"/>
        <v>193.0272233420711</v>
      </c>
    </row>
    <row r="42" spans="15:16" x14ac:dyDescent="0.25">
      <c r="O42" s="67">
        <f ca="1"/>
        <v>196.62240840594689</v>
      </c>
      <c r="P42" s="67">
        <f ca="1"/>
        <v>197.58557414773017</v>
      </c>
    </row>
    <row r="43" spans="15:16" x14ac:dyDescent="0.25">
      <c r="O43" s="67">
        <f ca="1"/>
        <v>202.06731340029344</v>
      </c>
      <c r="P43" s="67">
        <f ca="1"/>
        <v>203.27425331626901</v>
      </c>
    </row>
    <row r="44" spans="15:16" x14ac:dyDescent="0.25">
      <c r="O44" s="67">
        <f ca="1"/>
        <v>196.23115480584661</v>
      </c>
      <c r="P44" s="67">
        <f ca="1"/>
        <v>195.06462041722963</v>
      </c>
    </row>
    <row r="45" spans="15:16" x14ac:dyDescent="0.25">
      <c r="O45" s="67">
        <f ca="1"/>
        <v>198.62517200816401</v>
      </c>
      <c r="P45" s="67">
        <f ca="1"/>
        <v>199.78624479710638</v>
      </c>
    </row>
    <row r="46" spans="15:16" x14ac:dyDescent="0.25">
      <c r="O46" s="67">
        <f ca="1"/>
        <v>201.41375866850262</v>
      </c>
      <c r="P46" s="67">
        <f ca="1"/>
        <v>200.56287276295751</v>
      </c>
    </row>
    <row r="47" spans="15:16" x14ac:dyDescent="0.25">
      <c r="O47" s="67">
        <f ca="1"/>
        <v>200.13616171597855</v>
      </c>
      <c r="P47" s="67">
        <f ca="1"/>
        <v>199.74141103796751</v>
      </c>
    </row>
    <row r="48" spans="15:16" x14ac:dyDescent="0.25">
      <c r="O48" s="67">
        <f ca="1"/>
        <v>199.92152060945966</v>
      </c>
      <c r="P48" s="67">
        <f ca="1"/>
        <v>201.51254435704257</v>
      </c>
    </row>
    <row r="49" spans="15:16" x14ac:dyDescent="0.25">
      <c r="O49" s="67">
        <f ca="1"/>
        <v>203.12839636852016</v>
      </c>
      <c r="P49" s="67">
        <f ca="1"/>
        <v>204.80384856054866</v>
      </c>
    </row>
    <row r="50" spans="15:16" x14ac:dyDescent="0.25">
      <c r="O50" s="67">
        <f ca="1"/>
        <v>201.64324421224509</v>
      </c>
      <c r="P50" s="67">
        <f ca="1"/>
        <v>201.99669871139557</v>
      </c>
    </row>
    <row r="51" spans="15:16" x14ac:dyDescent="0.25">
      <c r="O51" s="67">
        <f ca="1"/>
        <v>193.37544657025853</v>
      </c>
      <c r="P51" s="67">
        <f ca="1"/>
        <v>194.16962474265409</v>
      </c>
    </row>
    <row r="52" spans="15:16" x14ac:dyDescent="0.25">
      <c r="O52" s="67">
        <f ca="1"/>
        <v>204.94861398417564</v>
      </c>
      <c r="P52" s="67">
        <f ca="1"/>
        <v>203.02843934250564</v>
      </c>
    </row>
    <row r="53" spans="15:16" x14ac:dyDescent="0.25">
      <c r="O53" s="67">
        <f ca="1"/>
        <v>195.13974509288491</v>
      </c>
      <c r="P53" s="67">
        <f ca="1"/>
        <v>195.29055419443623</v>
      </c>
    </row>
    <row r="54" spans="15:16" x14ac:dyDescent="0.25">
      <c r="O54" s="67">
        <f ca="1"/>
        <v>201.88501754452463</v>
      </c>
      <c r="P54" s="67">
        <f ca="1"/>
        <v>201.25768247804888</v>
      </c>
    </row>
    <row r="55" spans="15:16" x14ac:dyDescent="0.25">
      <c r="O55" s="67">
        <f ca="1"/>
        <v>202.97848077410211</v>
      </c>
      <c r="P55" s="67">
        <f ca="1"/>
        <v>203.50797539206704</v>
      </c>
    </row>
    <row r="56" spans="15:16" x14ac:dyDescent="0.25">
      <c r="O56" s="67">
        <f ca="1"/>
        <v>205.96553410017927</v>
      </c>
      <c r="P56" s="67">
        <f ca="1"/>
        <v>204.84751377994769</v>
      </c>
    </row>
    <row r="57" spans="15:16" x14ac:dyDescent="0.25">
      <c r="O57" s="67">
        <f ca="1"/>
        <v>200.92559844595442</v>
      </c>
      <c r="P57" s="67">
        <f ca="1"/>
        <v>199.34453617008799</v>
      </c>
    </row>
    <row r="58" spans="15:16" x14ac:dyDescent="0.25">
      <c r="O58" s="67">
        <f ca="1"/>
        <v>198.61275153322495</v>
      </c>
      <c r="P58" s="67">
        <f ca="1"/>
        <v>197.38616360657198</v>
      </c>
    </row>
    <row r="59" spans="15:16" x14ac:dyDescent="0.25">
      <c r="O59" s="67">
        <f ca="1"/>
        <v>201.82612636887887</v>
      </c>
      <c r="P59" s="67">
        <f ca="1"/>
        <v>202.35823974549442</v>
      </c>
    </row>
    <row r="60" spans="15:16" x14ac:dyDescent="0.25">
      <c r="O60" s="67">
        <f ca="1"/>
        <v>204.39401074943447</v>
      </c>
      <c r="P60" s="67">
        <f ca="1"/>
        <v>202.74389584442551</v>
      </c>
    </row>
    <row r="61" spans="15:16" x14ac:dyDescent="0.25">
      <c r="O61" s="67">
        <f ca="1"/>
        <v>199.8880731605035</v>
      </c>
      <c r="P61" s="67">
        <f ca="1"/>
        <v>201.25677154788906</v>
      </c>
    </row>
    <row r="62" spans="15:16" x14ac:dyDescent="0.25">
      <c r="O62" s="67">
        <f ca="1"/>
        <v>199.53685665226183</v>
      </c>
      <c r="P62" s="67">
        <f ca="1"/>
        <v>198.00421140357611</v>
      </c>
    </row>
    <row r="63" spans="15:16" x14ac:dyDescent="0.25">
      <c r="O63" s="67">
        <f ca="1"/>
        <v>202.04248959859243</v>
      </c>
      <c r="P63" s="67">
        <f ca="1"/>
        <v>202.29039180591968</v>
      </c>
    </row>
    <row r="64" spans="15:16" x14ac:dyDescent="0.25">
      <c r="O64" s="67">
        <f ca="1"/>
        <v>202.53469195377662</v>
      </c>
      <c r="P64" s="67">
        <f ca="1"/>
        <v>201.73260195830713</v>
      </c>
    </row>
    <row r="65" spans="15:16" x14ac:dyDescent="0.25">
      <c r="O65" s="67">
        <f ca="1"/>
        <v>202.47405992111266</v>
      </c>
      <c r="P65" s="67">
        <f ca="1"/>
        <v>202.48805057566832</v>
      </c>
    </row>
    <row r="66" spans="15:16" x14ac:dyDescent="0.25">
      <c r="O66" s="67">
        <f ca="1"/>
        <v>198.91867749691585</v>
      </c>
      <c r="P66" s="67">
        <f ca="1"/>
        <v>198.04813365156201</v>
      </c>
    </row>
    <row r="67" spans="15:16" x14ac:dyDescent="0.25">
      <c r="O67" s="67">
        <f ca="1"/>
        <v>207.02973488413886</v>
      </c>
      <c r="P67" s="67">
        <f ca="1"/>
        <v>207.51857374832241</v>
      </c>
    </row>
    <row r="68" spans="15:16" x14ac:dyDescent="0.25">
      <c r="O68" s="67">
        <f ca="1"/>
        <v>199.71711509301687</v>
      </c>
      <c r="P68" s="67">
        <f ca="1"/>
        <v>201.24351842522074</v>
      </c>
    </row>
    <row r="69" spans="15:16" x14ac:dyDescent="0.25">
      <c r="O69" s="67">
        <f ca="1"/>
        <v>196.53524085356048</v>
      </c>
      <c r="P69" s="67">
        <f ca="1"/>
        <v>194.6520526409729</v>
      </c>
    </row>
    <row r="70" spans="15:16" x14ac:dyDescent="0.25">
      <c r="O70" s="67">
        <f ca="1"/>
        <v>201.21885565073089</v>
      </c>
      <c r="P70" s="67">
        <f ca="1"/>
        <v>200.92928058099122</v>
      </c>
    </row>
    <row r="71" spans="15:16" x14ac:dyDescent="0.25">
      <c r="O71" s="67">
        <f ca="1"/>
        <v>195.53096248739496</v>
      </c>
      <c r="P71" s="67">
        <f ca="1"/>
        <v>195.60552151379915</v>
      </c>
    </row>
    <row r="72" spans="15:16" x14ac:dyDescent="0.25">
      <c r="O72" s="67">
        <f ca="1"/>
        <v>200.98890238102837</v>
      </c>
      <c r="P72" s="67">
        <f ca="1"/>
        <v>199.83556807309657</v>
      </c>
    </row>
    <row r="73" spans="15:16" x14ac:dyDescent="0.25">
      <c r="O73" s="67">
        <f ca="1"/>
        <v>197.22852670682676</v>
      </c>
      <c r="P73" s="67">
        <f ca="1"/>
        <v>198.04052748887293</v>
      </c>
    </row>
    <row r="74" spans="15:16" x14ac:dyDescent="0.25">
      <c r="O74" s="67">
        <f ca="1"/>
        <v>196.36487767492892</v>
      </c>
      <c r="P74" s="67">
        <f ca="1"/>
        <v>195.72881638695665</v>
      </c>
    </row>
    <row r="75" spans="15:16" x14ac:dyDescent="0.25">
      <c r="O75" s="67">
        <f ca="1"/>
        <v>198.3840559955697</v>
      </c>
      <c r="P75" s="67">
        <f ca="1"/>
        <v>197.6687155437254</v>
      </c>
    </row>
    <row r="76" spans="15:16" x14ac:dyDescent="0.25">
      <c r="O76" s="67">
        <f ca="1"/>
        <v>197.1878984785736</v>
      </c>
      <c r="P76" s="67">
        <f ca="1"/>
        <v>197.02045500075238</v>
      </c>
    </row>
    <row r="77" spans="15:16" x14ac:dyDescent="0.25">
      <c r="O77" s="67">
        <f ca="1"/>
        <v>199.43298129599413</v>
      </c>
      <c r="P77" s="67">
        <f ca="1"/>
        <v>199.56236096815445</v>
      </c>
    </row>
    <row r="78" spans="15:16" x14ac:dyDescent="0.25">
      <c r="O78" s="67">
        <f ca="1"/>
        <v>195.61473667271389</v>
      </c>
      <c r="P78" s="67">
        <f ca="1"/>
        <v>197.70577126219328</v>
      </c>
    </row>
    <row r="79" spans="15:16" x14ac:dyDescent="0.25">
      <c r="O79" s="67">
        <f ca="1"/>
        <v>202.90397500954231</v>
      </c>
      <c r="P79" s="67">
        <f ca="1"/>
        <v>202.03237100222347</v>
      </c>
    </row>
    <row r="80" spans="15:16" x14ac:dyDescent="0.25">
      <c r="O80" s="67">
        <f ca="1"/>
        <v>198.93487559350243</v>
      </c>
      <c r="P80" s="67">
        <f ca="1"/>
        <v>200.4592445199807</v>
      </c>
    </row>
    <row r="81" spans="15:16" x14ac:dyDescent="0.25">
      <c r="O81" s="67">
        <f ca="1"/>
        <v>197.89721245706414</v>
      </c>
      <c r="P81" s="67">
        <f ca="1"/>
        <v>197.14500417975123</v>
      </c>
    </row>
    <row r="82" spans="15:16" x14ac:dyDescent="0.25">
      <c r="O82" s="67">
        <f ca="1"/>
        <v>203.03311545361319</v>
      </c>
      <c r="P82" s="67">
        <f ca="1"/>
        <v>202.88527934116962</v>
      </c>
    </row>
    <row r="83" spans="15:16" x14ac:dyDescent="0.25">
      <c r="O83" s="67">
        <f ca="1"/>
        <v>197.28507853582619</v>
      </c>
      <c r="P83" s="67">
        <f ca="1"/>
        <v>198.19398255796787</v>
      </c>
    </row>
    <row r="84" spans="15:16" x14ac:dyDescent="0.25">
      <c r="O84" s="67">
        <f ca="1"/>
        <v>206.00286284537938</v>
      </c>
      <c r="P84" s="67">
        <f ca="1"/>
        <v>205.80719282688111</v>
      </c>
    </row>
    <row r="85" spans="15:16" x14ac:dyDescent="0.25">
      <c r="O85" s="67">
        <f ca="1"/>
        <v>200.47893482580665</v>
      </c>
      <c r="P85" s="67">
        <f ca="1"/>
        <v>201.08081401674744</v>
      </c>
    </row>
    <row r="86" spans="15:16" x14ac:dyDescent="0.25">
      <c r="O86" s="67">
        <f ca="1"/>
        <v>198.79290763116708</v>
      </c>
      <c r="P86" s="67">
        <f ca="1"/>
        <v>199.08805779123114</v>
      </c>
    </row>
    <row r="87" spans="15:16" x14ac:dyDescent="0.25">
      <c r="O87" s="67">
        <f ca="1"/>
        <v>198.16703192438425</v>
      </c>
      <c r="P87" s="67">
        <f ca="1"/>
        <v>198.44255104218834</v>
      </c>
    </row>
    <row r="88" spans="15:16" x14ac:dyDescent="0.25">
      <c r="O88" s="67">
        <f ca="1"/>
        <v>200.28082006854697</v>
      </c>
      <c r="P88" s="67">
        <f ca="1"/>
        <v>202.09622740212873</v>
      </c>
    </row>
    <row r="89" spans="15:16" x14ac:dyDescent="0.25">
      <c r="O89" s="67">
        <f ca="1"/>
        <v>199.63717707453074</v>
      </c>
      <c r="P89" s="67">
        <f ca="1"/>
        <v>198.7423996360622</v>
      </c>
    </row>
    <row r="90" spans="15:16" x14ac:dyDescent="0.25">
      <c r="O90" s="67">
        <f ca="1"/>
        <v>197.21004719320044</v>
      </c>
      <c r="P90" s="67">
        <f ca="1"/>
        <v>196.99072005489839</v>
      </c>
    </row>
    <row r="91" spans="15:16" x14ac:dyDescent="0.25">
      <c r="O91" s="67">
        <f ca="1"/>
        <v>198.55839692485984</v>
      </c>
      <c r="P91" s="67">
        <f ca="1"/>
        <v>198.73704257176709</v>
      </c>
    </row>
    <row r="92" spans="15:16" x14ac:dyDescent="0.25">
      <c r="O92" s="67">
        <f ca="1"/>
        <v>198.14276833748244</v>
      </c>
      <c r="P92" s="67">
        <f ca="1"/>
        <v>198.48373509783295</v>
      </c>
    </row>
    <row r="93" spans="15:16" x14ac:dyDescent="0.25">
      <c r="O93" s="67">
        <f ca="1"/>
        <v>203.6211484059761</v>
      </c>
      <c r="P93" s="67">
        <f ca="1"/>
        <v>202.98325395467759</v>
      </c>
    </row>
    <row r="94" spans="15:16" x14ac:dyDescent="0.25">
      <c r="O94" s="67">
        <f ca="1"/>
        <v>193.60642101376911</v>
      </c>
      <c r="P94" s="67">
        <f ca="1"/>
        <v>193.6871746042595</v>
      </c>
    </row>
    <row r="95" spans="15:16" x14ac:dyDescent="0.25">
      <c r="O95" s="67">
        <f ca="1"/>
        <v>200.98618646291462</v>
      </c>
      <c r="P95" s="67">
        <f ca="1"/>
        <v>203.15951991233226</v>
      </c>
    </row>
    <row r="96" spans="15:16" x14ac:dyDescent="0.25">
      <c r="O96" s="67">
        <f ca="1"/>
        <v>195.75147589326207</v>
      </c>
      <c r="P96" s="67">
        <f ca="1"/>
        <v>196.4402693527862</v>
      </c>
    </row>
    <row r="97" spans="15:16" x14ac:dyDescent="0.25">
      <c r="O97" s="67">
        <f ca="1"/>
        <v>198.86605587297464</v>
      </c>
      <c r="P97" s="67">
        <f ca="1"/>
        <v>198.13712947218872</v>
      </c>
    </row>
    <row r="98" spans="15:16" x14ac:dyDescent="0.25">
      <c r="O98" s="67">
        <f ca="1"/>
        <v>195.06159318370874</v>
      </c>
      <c r="P98" s="67">
        <f ca="1"/>
        <v>196.37099787300997</v>
      </c>
    </row>
    <row r="99" spans="15:16" x14ac:dyDescent="0.25">
      <c r="O99" s="67">
        <f ca="1"/>
        <v>197.16057005410767</v>
      </c>
      <c r="P99" s="67">
        <f ca="1"/>
        <v>197.45542852929847</v>
      </c>
    </row>
    <row r="100" spans="15:16" x14ac:dyDescent="0.25">
      <c r="O100" s="67">
        <f ca="1"/>
        <v>200.77349412896569</v>
      </c>
      <c r="P100" s="67">
        <f ca="1"/>
        <v>200.21561738244586</v>
      </c>
    </row>
    <row r="101" spans="15:16" x14ac:dyDescent="0.25">
      <c r="O101" s="67">
        <f ca="1"/>
        <v>200.30817835898813</v>
      </c>
      <c r="P101" s="67">
        <f ca="1"/>
        <v>200.20164937804822</v>
      </c>
    </row>
    <row r="102" spans="15:16" x14ac:dyDescent="0.25">
      <c r="O102" s="67">
        <f ca="1"/>
        <v>200.89663679613329</v>
      </c>
      <c r="P102" s="67">
        <f ca="1"/>
        <v>201.90273068979377</v>
      </c>
    </row>
    <row r="103" spans="15:16" x14ac:dyDescent="0.25">
      <c r="O103" s="67">
        <f ca="1"/>
        <v>198.92551745986637</v>
      </c>
      <c r="P103" s="67">
        <f ca="1"/>
        <v>201.05394803810776</v>
      </c>
    </row>
    <row r="104" spans="15:16" x14ac:dyDescent="0.25">
      <c r="O104" s="67">
        <f ca="1"/>
        <v>199.26801955161551</v>
      </c>
      <c r="P104" s="67">
        <f ca="1"/>
        <v>199.35552701073689</v>
      </c>
    </row>
    <row r="105" spans="15:16" x14ac:dyDescent="0.25">
      <c r="O105" s="67">
        <f ca="1"/>
        <v>199.66179891160388</v>
      </c>
      <c r="P105" s="67">
        <f ca="1"/>
        <v>200.83305962497485</v>
      </c>
    </row>
    <row r="106" spans="15:16" x14ac:dyDescent="0.25">
      <c r="O106" s="67">
        <f ca="1"/>
        <v>197.30270045145014</v>
      </c>
      <c r="P106" s="67">
        <f ca="1"/>
        <v>197.82874471816555</v>
      </c>
    </row>
    <row r="107" spans="15:16" x14ac:dyDescent="0.25">
      <c r="O107" s="67">
        <f ca="1"/>
        <v>198.63882919617205</v>
      </c>
      <c r="P107" s="67">
        <f ca="1"/>
        <v>200.1365069133374</v>
      </c>
    </row>
    <row r="108" spans="15:16" x14ac:dyDescent="0.25">
      <c r="O108" s="67">
        <f ca="1"/>
        <v>196.16368117380992</v>
      </c>
      <c r="P108" s="67">
        <f ca="1"/>
        <v>194.99242475357858</v>
      </c>
    </row>
    <row r="109" spans="15:16" x14ac:dyDescent="0.25">
      <c r="O109" s="67">
        <f ca="1"/>
        <v>202.58085594423733</v>
      </c>
      <c r="P109" s="67">
        <f ca="1"/>
        <v>201.8335097395005</v>
      </c>
    </row>
    <row r="110" spans="15:16" x14ac:dyDescent="0.25">
      <c r="O110" s="67">
        <f ca="1"/>
        <v>199.26223982242925</v>
      </c>
      <c r="P110" s="67">
        <f ca="1"/>
        <v>198.72457194313657</v>
      </c>
    </row>
    <row r="111" spans="15:16" x14ac:dyDescent="0.25">
      <c r="O111" s="67">
        <f ca="1"/>
        <v>199.38133114848583</v>
      </c>
      <c r="P111" s="67">
        <f ca="1"/>
        <v>201.16627333902355</v>
      </c>
    </row>
    <row r="112" spans="15:16" x14ac:dyDescent="0.25">
      <c r="O112" s="67">
        <f ca="1"/>
        <v>198.85902174546626</v>
      </c>
      <c r="P112" s="67">
        <f ca="1"/>
        <v>197.9367149143076</v>
      </c>
    </row>
    <row r="113" spans="15:16" x14ac:dyDescent="0.25">
      <c r="O113" s="67">
        <f ca="1"/>
        <v>199.86342106548773</v>
      </c>
      <c r="P113" s="67">
        <f ca="1"/>
        <v>199.90715683782201</v>
      </c>
    </row>
    <row r="114" spans="15:16" x14ac:dyDescent="0.25">
      <c r="O114" s="67">
        <f ca="1"/>
        <v>202.20409453487835</v>
      </c>
      <c r="P114" s="67">
        <f ca="1"/>
        <v>201.00970784158685</v>
      </c>
    </row>
    <row r="115" spans="15:16" x14ac:dyDescent="0.25">
      <c r="O115" s="67">
        <f ca="1"/>
        <v>200.46217524120752</v>
      </c>
      <c r="P115" s="67">
        <f ca="1"/>
        <v>201.09893056552394</v>
      </c>
    </row>
    <row r="116" spans="15:16" x14ac:dyDescent="0.25">
      <c r="O116" s="67">
        <f ca="1"/>
        <v>203.69412449302698</v>
      </c>
      <c r="P116" s="67">
        <f ca="1"/>
        <v>204.05309687556988</v>
      </c>
    </row>
    <row r="117" spans="15:16" x14ac:dyDescent="0.25">
      <c r="O117" s="67">
        <f ca="1"/>
        <v>198.52394264701755</v>
      </c>
      <c r="P117" s="67">
        <f ca="1"/>
        <v>196.41850085951802</v>
      </c>
    </row>
    <row r="118" spans="15:16" x14ac:dyDescent="0.25">
      <c r="O118" s="67">
        <f ca="1"/>
        <v>201.41483235749214</v>
      </c>
      <c r="P118" s="67">
        <f ca="1"/>
        <v>202.0580881347133</v>
      </c>
    </row>
    <row r="119" spans="15:16" x14ac:dyDescent="0.25">
      <c r="O119" s="67">
        <f ca="1"/>
        <v>197.42197976214379</v>
      </c>
      <c r="P119" s="67">
        <f ca="1"/>
        <v>197.73201362260158</v>
      </c>
    </row>
    <row r="120" spans="15:16" x14ac:dyDescent="0.25">
      <c r="O120" s="67">
        <f ca="1"/>
        <v>197.59321438330358</v>
      </c>
      <c r="P120" s="67">
        <f ca="1"/>
        <v>196.01883195498161</v>
      </c>
    </row>
    <row r="121" spans="15:16" x14ac:dyDescent="0.25">
      <c r="O121" s="67">
        <f ca="1"/>
        <v>198.45720208053947</v>
      </c>
      <c r="P121" s="67">
        <f ca="1"/>
        <v>197.51049003966386</v>
      </c>
    </row>
    <row r="122" spans="15:16" x14ac:dyDescent="0.25">
      <c r="O122" s="67">
        <f ca="1"/>
        <v>201.46680630533507</v>
      </c>
      <c r="P122" s="67">
        <f ca="1"/>
        <v>202.2494800517301</v>
      </c>
    </row>
    <row r="123" spans="15:16" x14ac:dyDescent="0.25">
      <c r="O123" s="67">
        <f ca="1"/>
        <v>200.93907892511774</v>
      </c>
      <c r="P123" s="67">
        <f ca="1"/>
        <v>200.70336522717739</v>
      </c>
    </row>
    <row r="124" spans="15:16" x14ac:dyDescent="0.25">
      <c r="O124" s="67">
        <f ca="1"/>
        <v>197.97756729363982</v>
      </c>
      <c r="P124" s="67">
        <f ca="1"/>
        <v>199.41554436024688</v>
      </c>
    </row>
    <row r="125" spans="15:16" x14ac:dyDescent="0.25">
      <c r="O125" s="67">
        <f ca="1"/>
        <v>205.3091317528858</v>
      </c>
      <c r="P125" s="67">
        <f ca="1"/>
        <v>206.27604960514137</v>
      </c>
    </row>
    <row r="126" spans="15:16" x14ac:dyDescent="0.25">
      <c r="O126" s="67">
        <f ca="1"/>
        <v>202.58433356591507</v>
      </c>
      <c r="P126" s="67">
        <f ca="1"/>
        <v>200.91411931407234</v>
      </c>
    </row>
    <row r="127" spans="15:16" x14ac:dyDescent="0.25">
      <c r="O127" s="67">
        <f ca="1"/>
        <v>195.61962235428476</v>
      </c>
      <c r="P127" s="67">
        <f ca="1"/>
        <v>195.61229138306967</v>
      </c>
    </row>
    <row r="128" spans="15:16" x14ac:dyDescent="0.25">
      <c r="O128" s="67">
        <f ca="1"/>
        <v>195.41515710946706</v>
      </c>
      <c r="P128" s="67">
        <f ca="1"/>
        <v>195.68926380748906</v>
      </c>
    </row>
    <row r="129" spans="15:16" x14ac:dyDescent="0.25">
      <c r="O129" s="67">
        <f ca="1"/>
        <v>194.5497744922971</v>
      </c>
      <c r="P129" s="67">
        <f ca="1"/>
        <v>193.73373739892278</v>
      </c>
    </row>
    <row r="130" spans="15:16" x14ac:dyDescent="0.25">
      <c r="O130" s="67">
        <f ca="1"/>
        <v>202.2521859593183</v>
      </c>
      <c r="P130" s="67">
        <f ca="1"/>
        <v>202.24476878416803</v>
      </c>
    </row>
    <row r="131" spans="15:16" x14ac:dyDescent="0.25">
      <c r="O131" s="67">
        <f ca="1"/>
        <v>198.97221924894399</v>
      </c>
      <c r="P131" s="67">
        <f ca="1"/>
        <v>199.60072500903868</v>
      </c>
    </row>
    <row r="132" spans="15:16" x14ac:dyDescent="0.25">
      <c r="O132" s="67">
        <f ca="1"/>
        <v>198.59780033928203</v>
      </c>
      <c r="P132" s="67">
        <f ca="1"/>
        <v>197.87364899712605</v>
      </c>
    </row>
    <row r="133" spans="15:16" x14ac:dyDescent="0.25">
      <c r="O133" s="67">
        <f ca="1"/>
        <v>198.00235615395417</v>
      </c>
      <c r="P133" s="67">
        <f ca="1"/>
        <v>199.01345889002368</v>
      </c>
    </row>
    <row r="134" spans="15:16" x14ac:dyDescent="0.25">
      <c r="O134" s="67">
        <f ca="1"/>
        <v>205.03370639103875</v>
      </c>
      <c r="P134" s="67">
        <f ca="1"/>
        <v>205.94671094236901</v>
      </c>
    </row>
    <row r="135" spans="15:16" x14ac:dyDescent="0.25">
      <c r="O135" s="67">
        <f ca="1"/>
        <v>199.16799488068543</v>
      </c>
      <c r="P135" s="67">
        <f ca="1"/>
        <v>198.69449854979609</v>
      </c>
    </row>
    <row r="136" spans="15:16" x14ac:dyDescent="0.25">
      <c r="O136" s="67">
        <f ca="1"/>
        <v>193.61493892610042</v>
      </c>
      <c r="P136" s="67">
        <f ca="1"/>
        <v>192.77529377014713</v>
      </c>
    </row>
    <row r="137" spans="15:16" x14ac:dyDescent="0.25">
      <c r="O137" s="67">
        <f ca="1"/>
        <v>199.38564643643383</v>
      </c>
      <c r="P137" s="67">
        <f ca="1"/>
        <v>199.78107088800135</v>
      </c>
    </row>
    <row r="138" spans="15:16" x14ac:dyDescent="0.25">
      <c r="O138" s="67">
        <f ca="1"/>
        <v>194.86705283898772</v>
      </c>
      <c r="P138" s="67">
        <f ca="1"/>
        <v>193.74609639282761</v>
      </c>
    </row>
    <row r="139" spans="15:16" x14ac:dyDescent="0.25">
      <c r="O139" s="67">
        <f ca="1"/>
        <v>200.32413392865743</v>
      </c>
      <c r="P139" s="67">
        <f ca="1"/>
        <v>200.40696949229888</v>
      </c>
    </row>
    <row r="140" spans="15:16" x14ac:dyDescent="0.25">
      <c r="O140" s="67">
        <f ca="1"/>
        <v>197.52991361924899</v>
      </c>
      <c r="P140" s="67">
        <f ca="1"/>
        <v>198.50895587402212</v>
      </c>
    </row>
    <row r="141" spans="15:16" x14ac:dyDescent="0.25">
      <c r="O141" s="67">
        <f ca="1"/>
        <v>192.71929947781766</v>
      </c>
      <c r="P141" s="67">
        <f ca="1"/>
        <v>193.87624225973292</v>
      </c>
    </row>
    <row r="142" spans="15:16" x14ac:dyDescent="0.25">
      <c r="O142" s="67">
        <f ca="1"/>
        <v>197.03476066029626</v>
      </c>
      <c r="P142" s="67">
        <f ca="1"/>
        <v>195.75749651964927</v>
      </c>
    </row>
    <row r="143" spans="15:16" x14ac:dyDescent="0.25">
      <c r="O143" s="67">
        <f ca="1"/>
        <v>200.08753488810711</v>
      </c>
      <c r="P143" s="67">
        <f ca="1"/>
        <v>198.99940527964978</v>
      </c>
    </row>
    <row r="144" spans="15:16" x14ac:dyDescent="0.25">
      <c r="O144" s="67">
        <f ca="1"/>
        <v>205.36082372093517</v>
      </c>
      <c r="P144" s="67">
        <f ca="1"/>
        <v>207.63039047462996</v>
      </c>
    </row>
    <row r="145" spans="15:16" x14ac:dyDescent="0.25">
      <c r="O145" s="67">
        <f ca="1"/>
        <v>198.2339390880858</v>
      </c>
      <c r="P145" s="67">
        <f ca="1"/>
        <v>198.10798249371297</v>
      </c>
    </row>
    <row r="146" spans="15:16" x14ac:dyDescent="0.25">
      <c r="O146" s="67">
        <f ca="1"/>
        <v>198.46303545045251</v>
      </c>
      <c r="P146" s="67">
        <f ca="1"/>
        <v>198.05800002213758</v>
      </c>
    </row>
    <row r="147" spans="15:16" x14ac:dyDescent="0.25">
      <c r="O147" s="67">
        <f ca="1"/>
        <v>199.74989631039622</v>
      </c>
      <c r="P147" s="67">
        <f ca="1"/>
        <v>198.52426692476237</v>
      </c>
    </row>
    <row r="148" spans="15:16" x14ac:dyDescent="0.25">
      <c r="O148" s="67">
        <f ca="1"/>
        <v>197.30938447475782</v>
      </c>
      <c r="P148" s="67">
        <f ca="1"/>
        <v>197.45382551289438</v>
      </c>
    </row>
    <row r="149" spans="15:16" x14ac:dyDescent="0.25">
      <c r="O149" s="67">
        <f ca="1"/>
        <v>200.59315564096678</v>
      </c>
      <c r="P149" s="67">
        <f ca="1"/>
        <v>200.47720294153564</v>
      </c>
    </row>
    <row r="150" spans="15:16" x14ac:dyDescent="0.25">
      <c r="O150" s="67">
        <f ca="1"/>
        <v>199.35499049598349</v>
      </c>
      <c r="P150" s="67">
        <f ca="1"/>
        <v>200.5231370973743</v>
      </c>
    </row>
    <row r="151" spans="15:16" x14ac:dyDescent="0.25">
      <c r="O151" s="67">
        <f ca="1"/>
        <v>194.34808643770236</v>
      </c>
      <c r="P151" s="67">
        <f ca="1"/>
        <v>193.76932052431513</v>
      </c>
    </row>
    <row r="152" spans="15:16" x14ac:dyDescent="0.25">
      <c r="O152" s="67">
        <f ca="1"/>
        <v>192.86778047750738</v>
      </c>
      <c r="P152" s="67">
        <f ca="1"/>
        <v>195.39730254773286</v>
      </c>
    </row>
    <row r="153" spans="15:16" x14ac:dyDescent="0.25">
      <c r="O153" s="67">
        <f ca="1"/>
        <v>203.84999195745399</v>
      </c>
      <c r="P153" s="67">
        <f ca="1"/>
        <v>202.39584377025588</v>
      </c>
    </row>
    <row r="154" spans="15:16" x14ac:dyDescent="0.25">
      <c r="O154" s="67">
        <f ca="1"/>
        <v>199.12181478475955</v>
      </c>
      <c r="P154" s="67">
        <f ca="1"/>
        <v>200.33648070017637</v>
      </c>
    </row>
    <row r="155" spans="15:16" x14ac:dyDescent="0.25">
      <c r="O155" s="67">
        <f ca="1"/>
        <v>201.83846843396756</v>
      </c>
      <c r="P155" s="67">
        <f ca="1"/>
        <v>202.57198410823631</v>
      </c>
    </row>
    <row r="156" spans="15:16" x14ac:dyDescent="0.25">
      <c r="O156" s="67">
        <f ca="1"/>
        <v>206.96093001251603</v>
      </c>
      <c r="P156" s="67">
        <f ca="1"/>
        <v>206.1608506296767</v>
      </c>
    </row>
    <row r="157" spans="15:16" x14ac:dyDescent="0.25">
      <c r="O157" s="67">
        <f ca="1"/>
        <v>201.43890602174883</v>
      </c>
      <c r="P157" s="67">
        <f ca="1"/>
        <v>201.66948337335538</v>
      </c>
    </row>
    <row r="158" spans="15:16" x14ac:dyDescent="0.25">
      <c r="O158" s="67">
        <f ca="1"/>
        <v>204.03646276786804</v>
      </c>
      <c r="P158" s="67">
        <f ca="1"/>
        <v>204.431370050601</v>
      </c>
    </row>
    <row r="159" spans="15:16" x14ac:dyDescent="0.25">
      <c r="O159" s="67">
        <f ca="1"/>
        <v>196.25860299925284</v>
      </c>
      <c r="P159" s="67">
        <f ca="1"/>
        <v>196.77230057892231</v>
      </c>
    </row>
    <row r="160" spans="15:16" x14ac:dyDescent="0.25">
      <c r="O160" s="67">
        <f ca="1"/>
        <v>198.75870220080435</v>
      </c>
      <c r="P160" s="67">
        <f ca="1"/>
        <v>196.58694544324703</v>
      </c>
    </row>
    <row r="161" spans="15:16" x14ac:dyDescent="0.25">
      <c r="O161" s="67">
        <f ca="1"/>
        <v>203.39801687692457</v>
      </c>
      <c r="P161" s="67">
        <f ca="1"/>
        <v>203.83776378810668</v>
      </c>
    </row>
    <row r="162" spans="15:16" x14ac:dyDescent="0.25">
      <c r="O162" s="67">
        <f ca="1"/>
        <v>200.34069382632632</v>
      </c>
      <c r="P162" s="67">
        <f ca="1"/>
        <v>198.99320461852994</v>
      </c>
    </row>
    <row r="163" spans="15:16" x14ac:dyDescent="0.25">
      <c r="O163" s="67">
        <f ca="1"/>
        <v>199.10748015002289</v>
      </c>
      <c r="P163" s="67">
        <f ca="1"/>
        <v>199.36660345438429</v>
      </c>
    </row>
    <row r="164" spans="15:16" x14ac:dyDescent="0.25">
      <c r="O164" s="67">
        <f ca="1"/>
        <v>198.25079700776317</v>
      </c>
      <c r="P164" s="67">
        <f ca="1"/>
        <v>198.24671746536717</v>
      </c>
    </row>
    <row r="165" spans="15:16" x14ac:dyDescent="0.25">
      <c r="O165" s="67">
        <f ca="1"/>
        <v>197.34706710486182</v>
      </c>
      <c r="P165" s="67">
        <f ca="1"/>
        <v>197.58798017019743</v>
      </c>
    </row>
    <row r="166" spans="15:16" x14ac:dyDescent="0.25">
      <c r="O166" s="67">
        <f ca="1"/>
        <v>200.72193196305756</v>
      </c>
      <c r="P166" s="67">
        <f ca="1"/>
        <v>200.56574254994175</v>
      </c>
    </row>
    <row r="167" spans="15:16" x14ac:dyDescent="0.25">
      <c r="O167" s="67">
        <f ca="1"/>
        <v>199.98546579929217</v>
      </c>
      <c r="P167" s="67">
        <f ca="1"/>
        <v>200.72207255849059</v>
      </c>
    </row>
    <row r="168" spans="15:16" x14ac:dyDescent="0.25">
      <c r="O168" s="67">
        <f ca="1"/>
        <v>202.92301608443776</v>
      </c>
      <c r="P168" s="67">
        <f ca="1"/>
        <v>204.03639692109417</v>
      </c>
    </row>
    <row r="169" spans="15:16" x14ac:dyDescent="0.25">
      <c r="O169" s="67">
        <f ca="1"/>
        <v>197.9208460027719</v>
      </c>
      <c r="P169" s="67">
        <f ca="1"/>
        <v>197.32430978091722</v>
      </c>
    </row>
    <row r="170" spans="15:16" x14ac:dyDescent="0.25">
      <c r="O170" s="67">
        <f ca="1"/>
        <v>203.13922402696016</v>
      </c>
      <c r="P170" s="67">
        <f ca="1"/>
        <v>202.93849478075242</v>
      </c>
    </row>
    <row r="171" spans="15:16" x14ac:dyDescent="0.25">
      <c r="O171" s="67">
        <f ca="1"/>
        <v>196.5175587867268</v>
      </c>
      <c r="P171" s="67">
        <f ca="1"/>
        <v>195.92151854874396</v>
      </c>
    </row>
    <row r="172" spans="15:16" x14ac:dyDescent="0.25">
      <c r="O172" s="67">
        <f ca="1"/>
        <v>199.7941417355913</v>
      </c>
      <c r="P172" s="67">
        <f ca="1"/>
        <v>198.89499170133888</v>
      </c>
    </row>
    <row r="173" spans="15:16" x14ac:dyDescent="0.25">
      <c r="O173" s="67">
        <f ca="1"/>
        <v>202.87245706303921</v>
      </c>
      <c r="P173" s="67">
        <f ca="1"/>
        <v>202.34447628384686</v>
      </c>
    </row>
    <row r="174" spans="15:16" x14ac:dyDescent="0.25">
      <c r="O174" s="67">
        <f ca="1"/>
        <v>198.05738700311835</v>
      </c>
      <c r="P174" s="67">
        <f ca="1"/>
        <v>197.77573220404861</v>
      </c>
    </row>
    <row r="175" spans="15:16" x14ac:dyDescent="0.25">
      <c r="O175" s="67">
        <f ca="1"/>
        <v>202.39923759212184</v>
      </c>
      <c r="P175" s="67">
        <f ca="1"/>
        <v>202.30855807081301</v>
      </c>
    </row>
    <row r="176" spans="15:16" x14ac:dyDescent="0.25">
      <c r="O176" s="67">
        <f ca="1"/>
        <v>197.3023677352912</v>
      </c>
      <c r="P176" s="67">
        <f ca="1"/>
        <v>196.84075228040456</v>
      </c>
    </row>
    <row r="177" spans="15:16" x14ac:dyDescent="0.25">
      <c r="O177" s="67">
        <f ca="1"/>
        <v>204.1069296690211</v>
      </c>
      <c r="P177" s="67">
        <f ca="1"/>
        <v>204.4285726622991</v>
      </c>
    </row>
    <row r="178" spans="15:16" x14ac:dyDescent="0.25">
      <c r="O178" s="67">
        <f ca="1"/>
        <v>195.47117888665665</v>
      </c>
      <c r="P178" s="67">
        <f ca="1"/>
        <v>195.22562911086487</v>
      </c>
    </row>
    <row r="179" spans="15:16" x14ac:dyDescent="0.25">
      <c r="O179" s="67">
        <f ca="1"/>
        <v>198.05907177282569</v>
      </c>
      <c r="P179" s="67">
        <f ca="1"/>
        <v>198.49321001777767</v>
      </c>
    </row>
    <row r="180" spans="15:16" x14ac:dyDescent="0.25">
      <c r="O180" s="67">
        <f ca="1"/>
        <v>199.89318294954873</v>
      </c>
      <c r="P180" s="67">
        <f ca="1"/>
        <v>200.29720004994496</v>
      </c>
    </row>
    <row r="181" spans="15:16" x14ac:dyDescent="0.25">
      <c r="O181" s="67">
        <f ca="1"/>
        <v>204.97953101640667</v>
      </c>
      <c r="P181" s="67">
        <f ca="1"/>
        <v>205.70189501281675</v>
      </c>
    </row>
    <row r="182" spans="15:16" x14ac:dyDescent="0.25">
      <c r="O182" s="67">
        <f ca="1"/>
        <v>197.53867192709438</v>
      </c>
      <c r="P182" s="67">
        <f ca="1"/>
        <v>197.7957492221544</v>
      </c>
    </row>
    <row r="183" spans="15:16" x14ac:dyDescent="0.25">
      <c r="O183" s="67">
        <f ca="1"/>
        <v>194.52420085434147</v>
      </c>
      <c r="P183" s="67">
        <f ca="1"/>
        <v>191.96888603852611</v>
      </c>
    </row>
    <row r="184" spans="15:16" x14ac:dyDescent="0.25">
      <c r="O184" s="67">
        <f ca="1"/>
        <v>202.30230128858389</v>
      </c>
      <c r="P184" s="67">
        <f ca="1"/>
        <v>203.14666901561401</v>
      </c>
    </row>
    <row r="185" spans="15:16" x14ac:dyDescent="0.25">
      <c r="O185" s="67">
        <f ca="1"/>
        <v>194.82745991560134</v>
      </c>
      <c r="P185" s="67">
        <f ca="1"/>
        <v>194.26559602752971</v>
      </c>
    </row>
    <row r="186" spans="15:16" x14ac:dyDescent="0.25">
      <c r="O186" s="67">
        <f ca="1"/>
        <v>199.71654410374538</v>
      </c>
      <c r="P186" s="67">
        <f ca="1"/>
        <v>199.51644687426031</v>
      </c>
    </row>
    <row r="187" spans="15:16" x14ac:dyDescent="0.25">
      <c r="O187" s="67">
        <f ca="1"/>
        <v>201.84960005928792</v>
      </c>
      <c r="P187" s="67">
        <f ca="1"/>
        <v>201.08694887028597</v>
      </c>
    </row>
    <row r="188" spans="15:16" x14ac:dyDescent="0.25">
      <c r="O188" s="67">
        <f ca="1"/>
        <v>201.58857352337182</v>
      </c>
      <c r="P188" s="67">
        <f ca="1"/>
        <v>200.41004344945458</v>
      </c>
    </row>
    <row r="189" spans="15:16" x14ac:dyDescent="0.25">
      <c r="O189" s="67">
        <f ca="1"/>
        <v>202.57091189506161</v>
      </c>
      <c r="P189" s="67">
        <f ca="1"/>
        <v>201.22378683037863</v>
      </c>
    </row>
    <row r="190" spans="15:16" x14ac:dyDescent="0.25">
      <c r="O190" s="67">
        <f ca="1"/>
        <v>201.83932993587783</v>
      </c>
      <c r="P190" s="67">
        <f ca="1"/>
        <v>201.97775490950198</v>
      </c>
    </row>
    <row r="191" spans="15:16" x14ac:dyDescent="0.25">
      <c r="O191" s="67">
        <f ca="1"/>
        <v>192.66414728920097</v>
      </c>
      <c r="P191" s="67">
        <f ca="1"/>
        <v>193.89330297847829</v>
      </c>
    </row>
    <row r="192" spans="15:16" x14ac:dyDescent="0.25">
      <c r="O192" s="67">
        <f ca="1"/>
        <v>200.64337625087802</v>
      </c>
      <c r="P192" s="67">
        <f ca="1"/>
        <v>199.41345029099989</v>
      </c>
    </row>
    <row r="193" spans="15:16" x14ac:dyDescent="0.25">
      <c r="O193" s="67">
        <f ca="1"/>
        <v>202.2775254331747</v>
      </c>
      <c r="P193" s="67">
        <f ca="1"/>
        <v>202.65692092230512</v>
      </c>
    </row>
    <row r="194" spans="15:16" x14ac:dyDescent="0.25">
      <c r="O194" s="67">
        <f ca="1"/>
        <v>203.77278284030172</v>
      </c>
      <c r="P194" s="67">
        <f ca="1"/>
        <v>204.46935136129835</v>
      </c>
    </row>
    <row r="195" spans="15:16" x14ac:dyDescent="0.25">
      <c r="O195" s="67">
        <f ca="1"/>
        <v>199.75082428014983</v>
      </c>
      <c r="P195" s="67">
        <f ca="1"/>
        <v>200.48751046397155</v>
      </c>
    </row>
    <row r="196" spans="15:16" x14ac:dyDescent="0.25">
      <c r="O196" s="67">
        <f ca="1"/>
        <v>201.40659266662593</v>
      </c>
      <c r="P196" s="67">
        <f ca="1"/>
        <v>200.85239096404047</v>
      </c>
    </row>
    <row r="197" spans="15:16" x14ac:dyDescent="0.25">
      <c r="O197" s="67">
        <f ca="1"/>
        <v>207.25789285589605</v>
      </c>
      <c r="P197" s="67">
        <f ca="1"/>
        <v>207.94333385350185</v>
      </c>
    </row>
    <row r="198" spans="15:16" x14ac:dyDescent="0.25">
      <c r="O198" s="67">
        <f ca="1"/>
        <v>199.37632305984621</v>
      </c>
      <c r="P198" s="67">
        <f ca="1"/>
        <v>196.92119174610201</v>
      </c>
    </row>
    <row r="199" spans="15:16" x14ac:dyDescent="0.25">
      <c r="O199" s="67">
        <f ca="1"/>
        <v>201.78140663790705</v>
      </c>
      <c r="P199" s="67">
        <f ca="1"/>
        <v>201.72702782209021</v>
      </c>
    </row>
    <row r="200" spans="15:16" x14ac:dyDescent="0.25">
      <c r="O200" s="67">
        <f ca="1"/>
        <v>202.49727396414684</v>
      </c>
      <c r="P200" s="67">
        <f ca="1"/>
        <v>201.66278741534288</v>
      </c>
    </row>
    <row r="201" spans="15:16" x14ac:dyDescent="0.25">
      <c r="O201" s="67">
        <f ca="1"/>
        <v>205.19723270096554</v>
      </c>
      <c r="P201" s="67">
        <f ca="1"/>
        <v>205.17397741818178</v>
      </c>
    </row>
    <row r="202" spans="15:16" x14ac:dyDescent="0.25">
      <c r="O202" s="67">
        <f ca="1"/>
        <v>198.06008448624854</v>
      </c>
      <c r="P202" s="67">
        <f ca="1"/>
        <v>196.98189909789897</v>
      </c>
    </row>
    <row r="203" spans="15:16" x14ac:dyDescent="0.25">
      <c r="O203" s="67">
        <f ca="1"/>
        <v>203.6162737563676</v>
      </c>
      <c r="P203" s="67">
        <f ca="1"/>
        <v>204.31787819438992</v>
      </c>
    </row>
    <row r="204" spans="15:16" x14ac:dyDescent="0.25">
      <c r="O204" s="67">
        <f ca="1"/>
        <v>195.47612559658836</v>
      </c>
      <c r="P204" s="67">
        <f ca="1"/>
        <v>194.91745094023366</v>
      </c>
    </row>
    <row r="205" spans="15:16" x14ac:dyDescent="0.25">
      <c r="O205" s="67">
        <f ca="1"/>
        <v>206.79758010269404</v>
      </c>
      <c r="P205" s="67">
        <f ca="1"/>
        <v>206.40794297982782</v>
      </c>
    </row>
    <row r="206" spans="15:16" x14ac:dyDescent="0.25">
      <c r="O206" s="67">
        <f ca="1"/>
        <v>200.76667999919866</v>
      </c>
      <c r="P206" s="67">
        <f ca="1"/>
        <v>201.69764107285488</v>
      </c>
    </row>
    <row r="207" spans="15:16" x14ac:dyDescent="0.25">
      <c r="O207" s="67">
        <f ca="1"/>
        <v>200.23644541563039</v>
      </c>
      <c r="P207" s="67">
        <f ca="1"/>
        <v>201.46690406602522</v>
      </c>
    </row>
    <row r="208" spans="15:16" x14ac:dyDescent="0.25">
      <c r="O208" s="67">
        <f ca="1"/>
        <v>196.66781609498051</v>
      </c>
      <c r="P208" s="67">
        <f ca="1"/>
        <v>197.32954044728234</v>
      </c>
    </row>
    <row r="209" spans="15:16" x14ac:dyDescent="0.25">
      <c r="O209" s="67">
        <f ca="1"/>
        <v>201.66609452949282</v>
      </c>
      <c r="P209" s="67">
        <f ca="1"/>
        <v>204.11962661742746</v>
      </c>
    </row>
    <row r="210" spans="15:16" x14ac:dyDescent="0.25">
      <c r="O210" s="67">
        <f ca="1"/>
        <v>194.34040500418502</v>
      </c>
      <c r="P210" s="67">
        <f ca="1"/>
        <v>194.49002808473531</v>
      </c>
    </row>
    <row r="211" spans="15:16" x14ac:dyDescent="0.25">
      <c r="O211" s="67">
        <f ca="1"/>
        <v>203.96812847278707</v>
      </c>
      <c r="P211" s="67">
        <f ca="1"/>
        <v>202.47423905953647</v>
      </c>
    </row>
    <row r="212" spans="15:16" x14ac:dyDescent="0.25">
      <c r="O212" s="67">
        <f ca="1"/>
        <v>201.06745193476434</v>
      </c>
      <c r="P212" s="67">
        <f ca="1"/>
        <v>203.16248361971867</v>
      </c>
    </row>
    <row r="213" spans="15:16" x14ac:dyDescent="0.25">
      <c r="O213" s="67">
        <f ca="1"/>
        <v>204.162715024286</v>
      </c>
      <c r="P213" s="67">
        <f ca="1"/>
        <v>204.14510443682605</v>
      </c>
    </row>
    <row r="214" spans="15:16" x14ac:dyDescent="0.25">
      <c r="O214" s="67">
        <f ca="1"/>
        <v>194.5462019131966</v>
      </c>
      <c r="P214" s="67">
        <f ca="1"/>
        <v>195.2694556221912</v>
      </c>
    </row>
    <row r="215" spans="15:16" x14ac:dyDescent="0.25">
      <c r="O215" s="67">
        <f ca="1"/>
        <v>202.50424662328456</v>
      </c>
      <c r="P215" s="67">
        <f ca="1"/>
        <v>201.21669069192558</v>
      </c>
    </row>
    <row r="216" spans="15:16" x14ac:dyDescent="0.25">
      <c r="O216" s="67">
        <f ca="1"/>
        <v>197.72621263412236</v>
      </c>
      <c r="P216" s="67">
        <f ca="1"/>
        <v>197.41692032918004</v>
      </c>
    </row>
    <row r="217" spans="15:16" x14ac:dyDescent="0.25">
      <c r="O217" s="67">
        <f ca="1"/>
        <v>204.78846783001788</v>
      </c>
      <c r="P217" s="67">
        <f ca="1"/>
        <v>203.37887109183796</v>
      </c>
    </row>
    <row r="218" spans="15:16" x14ac:dyDescent="0.25">
      <c r="O218" s="67">
        <f ca="1"/>
        <v>196.98239510569846</v>
      </c>
      <c r="P218" s="67">
        <f ca="1"/>
        <v>197.79227164111376</v>
      </c>
    </row>
    <row r="219" spans="15:16" x14ac:dyDescent="0.25">
      <c r="O219" s="67">
        <f ca="1"/>
        <v>198.31727211341953</v>
      </c>
      <c r="P219" s="67">
        <f ca="1"/>
        <v>198.37471817754943</v>
      </c>
    </row>
    <row r="220" spans="15:16" x14ac:dyDescent="0.25">
      <c r="O220" s="67">
        <f ca="1"/>
        <v>200.88369884408664</v>
      </c>
      <c r="P220" s="67">
        <f ca="1"/>
        <v>202.85263401819174</v>
      </c>
    </row>
    <row r="221" spans="15:16" x14ac:dyDescent="0.25">
      <c r="O221" s="67">
        <f ca="1"/>
        <v>200.53418853275829</v>
      </c>
      <c r="P221" s="67">
        <f ca="1"/>
        <v>202.36495064474056</v>
      </c>
    </row>
    <row r="222" spans="15:16" x14ac:dyDescent="0.25">
      <c r="O222" s="67">
        <f ca="1"/>
        <v>199.73796082398604</v>
      </c>
      <c r="P222" s="67">
        <f ca="1"/>
        <v>200.51603657492961</v>
      </c>
    </row>
    <row r="223" spans="15:16" x14ac:dyDescent="0.25">
      <c r="O223" s="67">
        <f ca="1"/>
        <v>201.00020794389761</v>
      </c>
      <c r="P223" s="67">
        <f ca="1"/>
        <v>201.00079140569932</v>
      </c>
    </row>
    <row r="224" spans="15:16" x14ac:dyDescent="0.25">
      <c r="O224" s="67">
        <f ca="1"/>
        <v>200.19002854867171</v>
      </c>
      <c r="P224" s="67">
        <f ca="1"/>
        <v>200.21240351839671</v>
      </c>
    </row>
    <row r="225" spans="15:16" x14ac:dyDescent="0.25">
      <c r="O225" s="67">
        <f ca="1"/>
        <v>196.30386382109472</v>
      </c>
      <c r="P225" s="67">
        <f ca="1"/>
        <v>196.85775797030763</v>
      </c>
    </row>
    <row r="226" spans="15:16" x14ac:dyDescent="0.25">
      <c r="O226" s="67">
        <f ca="1"/>
        <v>205.76743696181751</v>
      </c>
      <c r="P226" s="67">
        <f ca="1"/>
        <v>205.71258128043237</v>
      </c>
    </row>
    <row r="227" spans="15:16" x14ac:dyDescent="0.25">
      <c r="O227" s="67">
        <f ca="1"/>
        <v>197.45116287838673</v>
      </c>
      <c r="P227" s="67">
        <f ca="1"/>
        <v>197.14159778370552</v>
      </c>
    </row>
    <row r="228" spans="15:16" x14ac:dyDescent="0.25">
      <c r="O228" s="67">
        <f ca="1"/>
        <v>198.67358379990668</v>
      </c>
      <c r="P228" s="67">
        <f ca="1"/>
        <v>200.01392126799118</v>
      </c>
    </row>
    <row r="229" spans="15:16" x14ac:dyDescent="0.25">
      <c r="O229" s="67">
        <f ca="1"/>
        <v>196.98568627552842</v>
      </c>
      <c r="P229" s="67">
        <f ca="1"/>
        <v>195.78907372124002</v>
      </c>
    </row>
    <row r="230" spans="15:16" x14ac:dyDescent="0.25">
      <c r="O230" s="67">
        <f ca="1"/>
        <v>193.30904623702941</v>
      </c>
      <c r="P230" s="67">
        <f ca="1"/>
        <v>191.37554336977394</v>
      </c>
    </row>
    <row r="231" spans="15:16" x14ac:dyDescent="0.25">
      <c r="O231" s="67">
        <f ca="1"/>
        <v>196.46356596153367</v>
      </c>
      <c r="P231" s="67">
        <f ca="1"/>
        <v>197.21004772050745</v>
      </c>
    </row>
    <row r="232" spans="15:16" x14ac:dyDescent="0.25">
      <c r="O232" s="67">
        <f ca="1"/>
        <v>195.37785401098469</v>
      </c>
      <c r="P232" s="67">
        <f ca="1"/>
        <v>197.04984621989121</v>
      </c>
    </row>
    <row r="233" spans="15:16" x14ac:dyDescent="0.25">
      <c r="O233" s="67">
        <f ca="1"/>
        <v>201.31674969463728</v>
      </c>
      <c r="P233" s="67">
        <f ca="1"/>
        <v>201.61439833527785</v>
      </c>
    </row>
    <row r="234" spans="15:16" x14ac:dyDescent="0.25">
      <c r="O234" s="67">
        <f ca="1"/>
        <v>199.51663151707996</v>
      </c>
      <c r="P234" s="67">
        <f ca="1"/>
        <v>198.26130595677651</v>
      </c>
    </row>
    <row r="235" spans="15:16" x14ac:dyDescent="0.25">
      <c r="O235" s="67">
        <f ca="1"/>
        <v>199.61530137511107</v>
      </c>
      <c r="P235" s="67">
        <f ca="1"/>
        <v>200.98539254028279</v>
      </c>
    </row>
    <row r="236" spans="15:16" x14ac:dyDescent="0.25">
      <c r="O236" s="67">
        <f ca="1"/>
        <v>196.97054307245432</v>
      </c>
      <c r="P236" s="67">
        <f ca="1"/>
        <v>194.83076802568843</v>
      </c>
    </row>
    <row r="237" spans="15:16" x14ac:dyDescent="0.25">
      <c r="O237" s="67">
        <f ca="1"/>
        <v>198.93033083150451</v>
      </c>
      <c r="P237" s="67">
        <f ca="1"/>
        <v>197.74063954647235</v>
      </c>
    </row>
    <row r="238" spans="15:16" x14ac:dyDescent="0.25">
      <c r="O238" s="67">
        <f ca="1"/>
        <v>203.36662745177298</v>
      </c>
      <c r="P238" s="67">
        <f ca="1"/>
        <v>203.28163233245743</v>
      </c>
    </row>
    <row r="239" spans="15:16" x14ac:dyDescent="0.25">
      <c r="O239" s="67">
        <f ca="1"/>
        <v>204.37565902894949</v>
      </c>
      <c r="P239" s="67">
        <f ca="1"/>
        <v>204.93222713857625</v>
      </c>
    </row>
    <row r="240" spans="15:16" x14ac:dyDescent="0.25">
      <c r="O240" s="67">
        <f ca="1"/>
        <v>195.52791839458962</v>
      </c>
      <c r="P240" s="67">
        <f ca="1"/>
        <v>194.1808349720466</v>
      </c>
    </row>
    <row r="241" spans="15:16" x14ac:dyDescent="0.25">
      <c r="O241" s="67">
        <f ca="1"/>
        <v>204.15745537681602</v>
      </c>
      <c r="P241" s="67">
        <f ca="1"/>
        <v>201.88536907578791</v>
      </c>
    </row>
    <row r="242" spans="15:16" x14ac:dyDescent="0.25">
      <c r="O242" s="67">
        <f ca="1"/>
        <v>194.0381051470836</v>
      </c>
      <c r="P242" s="67">
        <f ca="1"/>
        <v>194.82334470679842</v>
      </c>
    </row>
    <row r="243" spans="15:16" x14ac:dyDescent="0.25">
      <c r="O243" s="67">
        <f ca="1"/>
        <v>200.75966187725714</v>
      </c>
      <c r="P243" s="67">
        <f ca="1"/>
        <v>201.63558706734131</v>
      </c>
    </row>
    <row r="244" spans="15:16" x14ac:dyDescent="0.25">
      <c r="O244" s="67">
        <f ca="1"/>
        <v>198.09261388517885</v>
      </c>
      <c r="P244" s="67">
        <f ca="1"/>
        <v>197.87052926380107</v>
      </c>
    </row>
    <row r="245" spans="15:16" x14ac:dyDescent="0.25">
      <c r="O245" s="67">
        <f ca="1"/>
        <v>193.15704864711321</v>
      </c>
      <c r="P245" s="67">
        <f ca="1"/>
        <v>190.60300173422064</v>
      </c>
    </row>
    <row r="246" spans="15:16" x14ac:dyDescent="0.25">
      <c r="O246" s="67">
        <f ca="1"/>
        <v>202.82434425300241</v>
      </c>
      <c r="P246" s="67">
        <f ca="1"/>
        <v>203.45268436827089</v>
      </c>
    </row>
    <row r="247" spans="15:16" x14ac:dyDescent="0.25">
      <c r="O247" s="67">
        <f ca="1"/>
        <v>198.61902119750101</v>
      </c>
      <c r="P247" s="67">
        <f ca="1"/>
        <v>197.98460785766443</v>
      </c>
    </row>
    <row r="248" spans="15:16" x14ac:dyDescent="0.25">
      <c r="O248" s="67">
        <f ca="1"/>
        <v>198.95970118381459</v>
      </c>
      <c r="P248" s="67">
        <f ca="1"/>
        <v>199.6815692820702</v>
      </c>
    </row>
    <row r="249" spans="15:16" x14ac:dyDescent="0.25">
      <c r="O249" s="67">
        <f ca="1"/>
        <v>199.5249749969239</v>
      </c>
      <c r="P249" s="67">
        <f ca="1"/>
        <v>198.00701357158871</v>
      </c>
    </row>
    <row r="250" spans="15:16" x14ac:dyDescent="0.25">
      <c r="O250" s="67">
        <f ca="1"/>
        <v>199.05367705116683</v>
      </c>
      <c r="P250" s="67">
        <f ca="1"/>
        <v>200.05914781658265</v>
      </c>
    </row>
    <row r="251" spans="15:16" x14ac:dyDescent="0.25">
      <c r="O251" s="67">
        <f ca="1"/>
        <v>200.69870817851833</v>
      </c>
      <c r="P251" s="67">
        <f ca="1"/>
        <v>202.08931424016512</v>
      </c>
    </row>
    <row r="252" spans="15:16" x14ac:dyDescent="0.25">
      <c r="O252" s="67">
        <f ca="1"/>
        <v>198.38303490919756</v>
      </c>
      <c r="P252" s="67">
        <f ca="1"/>
        <v>198.58877378934437</v>
      </c>
    </row>
    <row r="253" spans="15:16" x14ac:dyDescent="0.25">
      <c r="O253" s="67">
        <f ca="1"/>
        <v>199.76339659420486</v>
      </c>
      <c r="P253" s="67">
        <f ca="1"/>
        <v>199.05341197365914</v>
      </c>
    </row>
    <row r="254" spans="15:16" x14ac:dyDescent="0.25">
      <c r="O254" s="67">
        <f ca="1"/>
        <v>200.5359869572151</v>
      </c>
      <c r="P254" s="67">
        <f ca="1"/>
        <v>200.23669722310535</v>
      </c>
    </row>
    <row r="255" spans="15:16" x14ac:dyDescent="0.25">
      <c r="O255" s="67">
        <f ca="1"/>
        <v>202.75952056647589</v>
      </c>
      <c r="P255" s="67">
        <f ca="1"/>
        <v>202.58349838448962</v>
      </c>
    </row>
    <row r="256" spans="15:16" x14ac:dyDescent="0.25">
      <c r="O256" s="67">
        <f ca="1"/>
        <v>200.349434237721</v>
      </c>
      <c r="P256" s="67">
        <f ca="1"/>
        <v>200.1288237442441</v>
      </c>
    </row>
    <row r="257" spans="15:16" x14ac:dyDescent="0.25">
      <c r="O257" s="67">
        <f ca="1"/>
        <v>198.55632172060803</v>
      </c>
      <c r="P257" s="67">
        <f ca="1"/>
        <v>199.06403351674288</v>
      </c>
    </row>
    <row r="258" spans="15:16" x14ac:dyDescent="0.25">
      <c r="O258" s="67">
        <f ca="1"/>
        <v>201.25780491959978</v>
      </c>
      <c r="P258" s="67">
        <f ca="1"/>
        <v>203.69754065730109</v>
      </c>
    </row>
    <row r="259" spans="15:16" x14ac:dyDescent="0.25">
      <c r="O259" s="67">
        <f ca="1"/>
        <v>199.21556452407251</v>
      </c>
      <c r="P259" s="67">
        <f ca="1"/>
        <v>199.54392365883257</v>
      </c>
    </row>
    <row r="260" spans="15:16" x14ac:dyDescent="0.25">
      <c r="O260" s="67">
        <f ca="1"/>
        <v>202.47132022340446</v>
      </c>
      <c r="P260" s="67">
        <f ca="1"/>
        <v>203.11320708974458</v>
      </c>
    </row>
    <row r="261" spans="15:16" x14ac:dyDescent="0.25">
      <c r="O261" s="67">
        <f ca="1"/>
        <v>197.18774838974338</v>
      </c>
      <c r="P261" s="67">
        <f ca="1"/>
        <v>196.01796307557632</v>
      </c>
    </row>
    <row r="262" spans="15:16" x14ac:dyDescent="0.25">
      <c r="O262" s="67">
        <f ca="1"/>
        <v>201.98161476821593</v>
      </c>
      <c r="P262" s="67">
        <f ca="1"/>
        <v>201.35451036947822</v>
      </c>
    </row>
    <row r="263" spans="15:16" x14ac:dyDescent="0.25">
      <c r="O263" s="67">
        <f ca="1"/>
        <v>204.6385400091946</v>
      </c>
      <c r="P263" s="67">
        <f ca="1"/>
        <v>205.40192110660303</v>
      </c>
    </row>
    <row r="264" spans="15:16" x14ac:dyDescent="0.25">
      <c r="O264" s="67">
        <f ca="1"/>
        <v>203.25784028676105</v>
      </c>
      <c r="P264" s="67">
        <f ca="1"/>
        <v>202.28222798030654</v>
      </c>
    </row>
    <row r="265" spans="15:16" x14ac:dyDescent="0.25">
      <c r="O265" s="67">
        <f ca="1"/>
        <v>198.21228928389897</v>
      </c>
      <c r="P265" s="67">
        <f ca="1"/>
        <v>198.41178173897131</v>
      </c>
    </row>
    <row r="266" spans="15:16" x14ac:dyDescent="0.25">
      <c r="O266" s="67">
        <f ca="1"/>
        <v>196.43968787990593</v>
      </c>
      <c r="P266" s="67">
        <f ca="1"/>
        <v>195.82565820486698</v>
      </c>
    </row>
    <row r="267" spans="15:16" x14ac:dyDescent="0.25">
      <c r="O267" s="67">
        <f ca="1"/>
        <v>201.15066309662015</v>
      </c>
      <c r="P267" s="67">
        <f ca="1"/>
        <v>201.07113479589705</v>
      </c>
    </row>
    <row r="268" spans="15:16" x14ac:dyDescent="0.25">
      <c r="O268" s="67">
        <f ca="1"/>
        <v>203.65143264773815</v>
      </c>
      <c r="P268" s="67">
        <f ca="1"/>
        <v>203.6390769644147</v>
      </c>
    </row>
    <row r="269" spans="15:16" x14ac:dyDescent="0.25">
      <c r="O269" s="67">
        <f ca="1"/>
        <v>198.72830339084859</v>
      </c>
      <c r="P269" s="67">
        <f ca="1"/>
        <v>197.70385345523576</v>
      </c>
    </row>
    <row r="270" spans="15:16" x14ac:dyDescent="0.25">
      <c r="O270" s="67">
        <f ca="1"/>
        <v>198.79830464290043</v>
      </c>
      <c r="P270" s="67">
        <f ca="1"/>
        <v>197.50714852493692</v>
      </c>
    </row>
    <row r="271" spans="15:16" x14ac:dyDescent="0.25">
      <c r="O271" s="67">
        <f ca="1"/>
        <v>201.4840199056496</v>
      </c>
      <c r="P271" s="67">
        <f ca="1"/>
        <v>199.81644371733702</v>
      </c>
    </row>
    <row r="272" spans="15:16" x14ac:dyDescent="0.25">
      <c r="O272" s="67">
        <f ca="1"/>
        <v>195.48893011676287</v>
      </c>
      <c r="P272" s="67">
        <f ca="1"/>
        <v>194.93794016901211</v>
      </c>
    </row>
    <row r="273" spans="15:16" x14ac:dyDescent="0.25">
      <c r="O273" s="67">
        <f ca="1"/>
        <v>197.85980341505689</v>
      </c>
      <c r="P273" s="67">
        <f ca="1"/>
        <v>196.47386169803502</v>
      </c>
    </row>
    <row r="274" spans="15:16" x14ac:dyDescent="0.25">
      <c r="O274" s="67">
        <f ca="1"/>
        <v>198.85823264444221</v>
      </c>
      <c r="P274" s="67">
        <f ca="1"/>
        <v>196.74063945944607</v>
      </c>
    </row>
    <row r="275" spans="15:16" x14ac:dyDescent="0.25">
      <c r="O275" s="67">
        <f ca="1"/>
        <v>198.48709388333128</v>
      </c>
      <c r="P275" s="67">
        <f ca="1"/>
        <v>198.80159260296452</v>
      </c>
    </row>
    <row r="276" spans="15:16" x14ac:dyDescent="0.25">
      <c r="O276" s="67">
        <f ca="1"/>
        <v>203.4678106182057</v>
      </c>
      <c r="P276" s="67">
        <f ca="1"/>
        <v>201.97690666789447</v>
      </c>
    </row>
    <row r="277" spans="15:16" x14ac:dyDescent="0.25">
      <c r="O277" s="67">
        <f ca="1"/>
        <v>199.28881028700886</v>
      </c>
      <c r="P277" s="67">
        <f ca="1"/>
        <v>199.07185446555687</v>
      </c>
    </row>
    <row r="278" spans="15:16" x14ac:dyDescent="0.25">
      <c r="O278" s="67">
        <f ca="1"/>
        <v>197.87155074251029</v>
      </c>
      <c r="P278" s="67">
        <f ca="1"/>
        <v>196.62612865932624</v>
      </c>
    </row>
    <row r="279" spans="15:16" x14ac:dyDescent="0.25">
      <c r="O279" s="67">
        <f ca="1"/>
        <v>193.94799522827299</v>
      </c>
      <c r="P279" s="67">
        <f ca="1"/>
        <v>193.6152669081186</v>
      </c>
    </row>
    <row r="280" spans="15:16" x14ac:dyDescent="0.25">
      <c r="O280" s="67">
        <f ca="1"/>
        <v>198.45651628357322</v>
      </c>
      <c r="P280" s="67">
        <f ca="1"/>
        <v>197.00787392270041</v>
      </c>
    </row>
    <row r="281" spans="15:16" x14ac:dyDescent="0.25">
      <c r="O281" s="67">
        <f ca="1"/>
        <v>199.49752303739103</v>
      </c>
      <c r="P281" s="67">
        <f ca="1"/>
        <v>200.28987157515851</v>
      </c>
    </row>
    <row r="282" spans="15:16" x14ac:dyDescent="0.25">
      <c r="O282" s="67">
        <f ca="1"/>
        <v>197.82041422759141</v>
      </c>
      <c r="P282" s="67">
        <f ca="1"/>
        <v>198.5289125535958</v>
      </c>
    </row>
    <row r="283" spans="15:16" x14ac:dyDescent="0.25">
      <c r="O283" s="67">
        <f ca="1"/>
        <v>207.79550298963105</v>
      </c>
      <c r="P283" s="67">
        <f ca="1"/>
        <v>208.75259317992723</v>
      </c>
    </row>
    <row r="284" spans="15:16" x14ac:dyDescent="0.25">
      <c r="O284" s="67">
        <f ca="1"/>
        <v>198.9573971795607</v>
      </c>
      <c r="P284" s="67">
        <f ca="1"/>
        <v>199.32899393611308</v>
      </c>
    </row>
    <row r="285" spans="15:16" x14ac:dyDescent="0.25">
      <c r="O285" s="67">
        <f ca="1"/>
        <v>200.17035352887146</v>
      </c>
      <c r="P285" s="67">
        <f ca="1"/>
        <v>200.25984379962787</v>
      </c>
    </row>
    <row r="286" spans="15:16" x14ac:dyDescent="0.25">
      <c r="O286" s="67">
        <f ca="1"/>
        <v>205.07448407661872</v>
      </c>
      <c r="P286" s="67">
        <f ca="1"/>
        <v>203.52293487028086</v>
      </c>
    </row>
    <row r="287" spans="15:16" x14ac:dyDescent="0.25">
      <c r="O287" s="67">
        <f ca="1"/>
        <v>198.69800005150034</v>
      </c>
      <c r="P287" s="67">
        <f ca="1"/>
        <v>198.27747377564262</v>
      </c>
    </row>
    <row r="288" spans="15:16" x14ac:dyDescent="0.25">
      <c r="O288" s="67">
        <f ca="1"/>
        <v>197.80496622376964</v>
      </c>
      <c r="P288" s="67">
        <f ca="1"/>
        <v>198.19333392803836</v>
      </c>
    </row>
    <row r="289" spans="15:16" x14ac:dyDescent="0.25">
      <c r="O289" s="67">
        <f ca="1"/>
        <v>201.88426134048251</v>
      </c>
      <c r="P289" s="67">
        <f ca="1"/>
        <v>202.811591213713</v>
      </c>
    </row>
    <row r="290" spans="15:16" x14ac:dyDescent="0.25">
      <c r="O290" s="67">
        <f ca="1"/>
        <v>205.11651169666061</v>
      </c>
      <c r="P290" s="67">
        <f ca="1"/>
        <v>205.77826895452381</v>
      </c>
    </row>
    <row r="291" spans="15:16" x14ac:dyDescent="0.25">
      <c r="O291" s="67">
        <f ca="1"/>
        <v>201.7570123907858</v>
      </c>
      <c r="P291" s="67">
        <f ca="1"/>
        <v>201.95254305992103</v>
      </c>
    </row>
    <row r="292" spans="15:16" x14ac:dyDescent="0.25">
      <c r="O292" s="67">
        <f ca="1"/>
        <v>193.30304163039887</v>
      </c>
      <c r="P292" s="67">
        <f ca="1"/>
        <v>192.69309262638518</v>
      </c>
    </row>
    <row r="293" spans="15:16" x14ac:dyDescent="0.25">
      <c r="O293" s="67">
        <f ca="1"/>
        <v>202.72270714021354</v>
      </c>
      <c r="P293" s="67">
        <f ca="1"/>
        <v>201.5035898829959</v>
      </c>
    </row>
    <row r="294" spans="15:16" x14ac:dyDescent="0.25">
      <c r="O294" s="67">
        <f ca="1"/>
        <v>205.7748622466338</v>
      </c>
      <c r="P294" s="67">
        <f ca="1"/>
        <v>206.03464111680282</v>
      </c>
    </row>
    <row r="295" spans="15:16" x14ac:dyDescent="0.25">
      <c r="O295" s="67">
        <f ca="1"/>
        <v>199.17475781381404</v>
      </c>
      <c r="P295" s="67">
        <f ca="1"/>
        <v>198.57039410802912</v>
      </c>
    </row>
    <row r="296" spans="15:16" x14ac:dyDescent="0.25">
      <c r="O296" s="67">
        <f ca="1"/>
        <v>201.74295837579749</v>
      </c>
      <c r="P296" s="67">
        <f ca="1"/>
        <v>202.97079583343449</v>
      </c>
    </row>
    <row r="297" spans="15:16" x14ac:dyDescent="0.25">
      <c r="O297" s="67">
        <f ca="1"/>
        <v>198.23027871860489</v>
      </c>
      <c r="P297" s="67">
        <f ca="1"/>
        <v>198.13321416005374</v>
      </c>
    </row>
    <row r="298" spans="15:16" x14ac:dyDescent="0.25">
      <c r="O298" s="67">
        <f ca="1"/>
        <v>203.25485946679626</v>
      </c>
      <c r="P298" s="67">
        <f ca="1"/>
        <v>203.44830107580378</v>
      </c>
    </row>
    <row r="299" spans="15:16" x14ac:dyDescent="0.25">
      <c r="O299" s="67">
        <f ca="1"/>
        <v>198.86935216356486</v>
      </c>
      <c r="P299" s="67">
        <f ca="1"/>
        <v>199.74753431125015</v>
      </c>
    </row>
    <row r="300" spans="15:16" x14ac:dyDescent="0.25">
      <c r="O300" s="67">
        <f ca="1"/>
        <v>200.20911259733913</v>
      </c>
      <c r="P300" s="67">
        <f ca="1"/>
        <v>199.46859169896069</v>
      </c>
    </row>
    <row r="301" spans="15:16" x14ac:dyDescent="0.25">
      <c r="O301" s="67">
        <f ca="1"/>
        <v>193.17369205805664</v>
      </c>
      <c r="P301" s="67">
        <f ca="1"/>
        <v>193.85093927316814</v>
      </c>
    </row>
    <row r="302" spans="15:16" x14ac:dyDescent="0.25">
      <c r="O302" s="67">
        <f ca="1"/>
        <v>201.73176791664829</v>
      </c>
      <c r="P302" s="67">
        <f ca="1"/>
        <v>200.49868909695522</v>
      </c>
    </row>
    <row r="303" spans="15:16" x14ac:dyDescent="0.25">
      <c r="O303" s="67">
        <f ca="1"/>
        <v>199.44495117731807</v>
      </c>
      <c r="P303" s="67">
        <f ca="1"/>
        <v>199.87763842119071</v>
      </c>
    </row>
    <row r="304" spans="15:16" x14ac:dyDescent="0.25">
      <c r="O304" s="67">
        <f ca="1"/>
        <v>194.11524045960405</v>
      </c>
      <c r="P304" s="67">
        <f ca="1"/>
        <v>195.11387651970043</v>
      </c>
    </row>
    <row r="305" spans="15:16" x14ac:dyDescent="0.25">
      <c r="O305" s="67">
        <f ca="1"/>
        <v>201.31294817552171</v>
      </c>
      <c r="P305" s="67">
        <f ca="1"/>
        <v>200.79722793229479</v>
      </c>
    </row>
    <row r="306" spans="15:16" x14ac:dyDescent="0.25">
      <c r="O306" s="67">
        <f ca="1"/>
        <v>191.33212019075458</v>
      </c>
      <c r="P306" s="67">
        <f ca="1"/>
        <v>190.36955169587236</v>
      </c>
    </row>
    <row r="307" spans="15:16" x14ac:dyDescent="0.25">
      <c r="O307" s="67">
        <f ca="1"/>
        <v>203.70246645347302</v>
      </c>
      <c r="P307" s="67">
        <f ca="1"/>
        <v>202.65748411727904</v>
      </c>
    </row>
    <row r="308" spans="15:16" x14ac:dyDescent="0.25">
      <c r="O308" s="67">
        <f ca="1"/>
        <v>200.05803402300376</v>
      </c>
      <c r="P308" s="67">
        <f ca="1"/>
        <v>201.60503569525275</v>
      </c>
    </row>
    <row r="309" spans="15:16" x14ac:dyDescent="0.25">
      <c r="O309" s="67">
        <f ca="1"/>
        <v>198.74645172307123</v>
      </c>
      <c r="P309" s="67">
        <f ca="1"/>
        <v>198.52429226883052</v>
      </c>
    </row>
    <row r="310" spans="15:16" x14ac:dyDescent="0.25">
      <c r="O310" s="67">
        <f ca="1"/>
        <v>200.95560663244822</v>
      </c>
      <c r="P310" s="67">
        <f ca="1"/>
        <v>200.49634460491586</v>
      </c>
    </row>
    <row r="311" spans="15:16" x14ac:dyDescent="0.25">
      <c r="O311" s="67">
        <f ca="1"/>
        <v>197.26844954790985</v>
      </c>
      <c r="P311" s="67">
        <f ca="1"/>
        <v>196.35868411009542</v>
      </c>
    </row>
    <row r="312" spans="15:16" x14ac:dyDescent="0.25">
      <c r="O312" s="67">
        <f ca="1"/>
        <v>200.80339368492722</v>
      </c>
      <c r="P312" s="67">
        <f ca="1"/>
        <v>199.55568126236179</v>
      </c>
    </row>
    <row r="313" spans="15:16" x14ac:dyDescent="0.25">
      <c r="O313" s="67">
        <f ca="1"/>
        <v>200.8333905363865</v>
      </c>
      <c r="P313" s="67">
        <f ca="1"/>
        <v>199.82443462541897</v>
      </c>
    </row>
    <row r="314" spans="15:16" x14ac:dyDescent="0.25">
      <c r="O314" s="67">
        <f ca="1"/>
        <v>198.00149208586885</v>
      </c>
      <c r="P314" s="67">
        <f ca="1"/>
        <v>197.62973675934001</v>
      </c>
    </row>
    <row r="315" spans="15:16" x14ac:dyDescent="0.25">
      <c r="O315" s="67">
        <f ca="1"/>
        <v>196.00552417562258</v>
      </c>
      <c r="P315" s="67">
        <f ca="1"/>
        <v>195.87848545273937</v>
      </c>
    </row>
    <row r="316" spans="15:16" x14ac:dyDescent="0.25">
      <c r="O316" s="67">
        <f ca="1"/>
        <v>200.65998540115578</v>
      </c>
      <c r="P316" s="67">
        <f ca="1"/>
        <v>199.84370901175564</v>
      </c>
    </row>
    <row r="317" spans="15:16" x14ac:dyDescent="0.25">
      <c r="O317" s="67">
        <f ca="1"/>
        <v>203.36577017095215</v>
      </c>
      <c r="P317" s="67">
        <f ca="1"/>
        <v>201.97693680195334</v>
      </c>
    </row>
    <row r="318" spans="15:16" x14ac:dyDescent="0.25">
      <c r="O318" s="67">
        <f ca="1"/>
        <v>196.28237101842399</v>
      </c>
      <c r="P318" s="67">
        <f ca="1"/>
        <v>196.75940190715227</v>
      </c>
    </row>
    <row r="319" spans="15:16" x14ac:dyDescent="0.25">
      <c r="O319" s="67">
        <f ca="1"/>
        <v>197.13447105047536</v>
      </c>
      <c r="P319" s="67">
        <f ca="1"/>
        <v>197.44312728888198</v>
      </c>
    </row>
    <row r="320" spans="15:16" x14ac:dyDescent="0.25">
      <c r="O320" s="67">
        <f ca="1"/>
        <v>200.14495904779417</v>
      </c>
      <c r="P320" s="67">
        <f ca="1"/>
        <v>201.14724878360823</v>
      </c>
    </row>
    <row r="321" spans="15:16" x14ac:dyDescent="0.25">
      <c r="O321" s="67">
        <f ca="1"/>
        <v>200.60736664295385</v>
      </c>
      <c r="P321" s="67">
        <f ca="1"/>
        <v>202.71211836756481</v>
      </c>
    </row>
    <row r="322" spans="15:16" x14ac:dyDescent="0.25">
      <c r="O322" s="67">
        <f ca="1"/>
        <v>201.40880719048016</v>
      </c>
      <c r="P322" s="67">
        <f ca="1"/>
        <v>200.64653003865891</v>
      </c>
    </row>
    <row r="323" spans="15:16" x14ac:dyDescent="0.25">
      <c r="O323" s="67">
        <f ca="1"/>
        <v>200.51222875906217</v>
      </c>
      <c r="P323" s="67">
        <f ca="1"/>
        <v>200.40265303441549</v>
      </c>
    </row>
    <row r="324" spans="15:16" x14ac:dyDescent="0.25">
      <c r="O324" s="67">
        <f ca="1"/>
        <v>199.93344329809509</v>
      </c>
      <c r="P324" s="67">
        <f ca="1"/>
        <v>199.17345345256462</v>
      </c>
    </row>
    <row r="325" spans="15:16" x14ac:dyDescent="0.25">
      <c r="O325" s="67">
        <f ca="1"/>
        <v>205.8819104805477</v>
      </c>
      <c r="P325" s="67">
        <f ca="1"/>
        <v>205.07127262365452</v>
      </c>
    </row>
    <row r="326" spans="15:16" x14ac:dyDescent="0.25">
      <c r="O326" s="67">
        <f ca="1"/>
        <v>193.5810950073764</v>
      </c>
      <c r="P326" s="67">
        <f ca="1"/>
        <v>193.70283510910494</v>
      </c>
    </row>
    <row r="327" spans="15:16" x14ac:dyDescent="0.25">
      <c r="O327" s="67">
        <f ca="1"/>
        <v>200.7619706393435</v>
      </c>
      <c r="P327" s="67">
        <f ca="1"/>
        <v>200.07551799379547</v>
      </c>
    </row>
    <row r="328" spans="15:16" x14ac:dyDescent="0.25">
      <c r="O328" s="67">
        <f ca="1"/>
        <v>200.38425067654737</v>
      </c>
      <c r="P328" s="67">
        <f ca="1"/>
        <v>201.02770532790524</v>
      </c>
    </row>
    <row r="329" spans="15:16" x14ac:dyDescent="0.25">
      <c r="O329" s="67">
        <f ca="1"/>
        <v>199.0777269211539</v>
      </c>
      <c r="P329" s="67">
        <f ca="1"/>
        <v>199.16546593088697</v>
      </c>
    </row>
    <row r="330" spans="15:16" x14ac:dyDescent="0.25">
      <c r="O330" s="67">
        <f ca="1"/>
        <v>200.91086555453433</v>
      </c>
      <c r="P330" s="67">
        <f ca="1"/>
        <v>200.10804856704635</v>
      </c>
    </row>
    <row r="331" spans="15:16" x14ac:dyDescent="0.25">
      <c r="O331" s="67">
        <f ca="1"/>
        <v>200.49310518288226</v>
      </c>
      <c r="P331" s="67">
        <f ca="1"/>
        <v>199.91540154735014</v>
      </c>
    </row>
    <row r="332" spans="15:16" x14ac:dyDescent="0.25">
      <c r="O332" s="67">
        <f ca="1"/>
        <v>202.29294988992493</v>
      </c>
      <c r="P332" s="67">
        <f ca="1"/>
        <v>201.01688145336834</v>
      </c>
    </row>
    <row r="333" spans="15:16" x14ac:dyDescent="0.25">
      <c r="O333" s="67">
        <f ca="1"/>
        <v>202.68908421100897</v>
      </c>
      <c r="P333" s="67">
        <f ca="1"/>
        <v>204.16613591842028</v>
      </c>
    </row>
    <row r="334" spans="15:16" x14ac:dyDescent="0.25">
      <c r="O334" s="67">
        <f ca="1"/>
        <v>201.79095964251692</v>
      </c>
      <c r="P334" s="67">
        <f ca="1"/>
        <v>200.30450418107591</v>
      </c>
    </row>
    <row r="335" spans="15:16" x14ac:dyDescent="0.25">
      <c r="O335" s="67">
        <f ca="1"/>
        <v>200.280354952701</v>
      </c>
      <c r="P335" s="67">
        <f ca="1"/>
        <v>199.82707663008495</v>
      </c>
    </row>
    <row r="336" spans="15:16" x14ac:dyDescent="0.25">
      <c r="O336" s="67">
        <f ca="1"/>
        <v>200.29785162942412</v>
      </c>
      <c r="P336" s="67">
        <f ca="1"/>
        <v>202.22911804197696</v>
      </c>
    </row>
    <row r="337" spans="15:16" x14ac:dyDescent="0.25">
      <c r="O337" s="67">
        <f ca="1"/>
        <v>197.36774663597916</v>
      </c>
      <c r="P337" s="67">
        <f ca="1"/>
        <v>197.52434418466893</v>
      </c>
    </row>
    <row r="338" spans="15:16" x14ac:dyDescent="0.25">
      <c r="O338" s="67">
        <f ca="1"/>
        <v>197.53740875911041</v>
      </c>
      <c r="P338" s="67">
        <f ca="1"/>
        <v>199.29115737342909</v>
      </c>
    </row>
    <row r="339" spans="15:16" x14ac:dyDescent="0.25">
      <c r="O339" s="67">
        <f ca="1"/>
        <v>201.96521661920062</v>
      </c>
      <c r="P339" s="67">
        <f ca="1"/>
        <v>201.61609619526754</v>
      </c>
    </row>
    <row r="340" spans="15:16" x14ac:dyDescent="0.25">
      <c r="O340" s="67">
        <f ca="1"/>
        <v>201.08469185859707</v>
      </c>
      <c r="P340" s="67">
        <f ca="1"/>
        <v>201.83197961007696</v>
      </c>
    </row>
    <row r="341" spans="15:16" x14ac:dyDescent="0.25">
      <c r="O341" s="67">
        <f ca="1"/>
        <v>196.73491996120717</v>
      </c>
      <c r="P341" s="67">
        <f ca="1"/>
        <v>195.81965904512765</v>
      </c>
    </row>
    <row r="342" spans="15:16" x14ac:dyDescent="0.25">
      <c r="O342" s="67">
        <f ca="1"/>
        <v>197.15183396778588</v>
      </c>
      <c r="P342" s="67">
        <f ca="1"/>
        <v>197.09782592559478</v>
      </c>
    </row>
    <row r="343" spans="15:16" x14ac:dyDescent="0.25">
      <c r="O343" s="67">
        <f ca="1"/>
        <v>205.20479470212851</v>
      </c>
      <c r="P343" s="67">
        <f ca="1"/>
        <v>204.50928585865736</v>
      </c>
    </row>
    <row r="344" spans="15:16" x14ac:dyDescent="0.25">
      <c r="O344" s="67">
        <f ca="1"/>
        <v>203.03489126206716</v>
      </c>
      <c r="P344" s="67">
        <f ca="1"/>
        <v>203.82352359032922</v>
      </c>
    </row>
    <row r="345" spans="15:16" x14ac:dyDescent="0.25">
      <c r="O345" s="67">
        <f ca="1"/>
        <v>194.21390474052427</v>
      </c>
      <c r="P345" s="67">
        <f ca="1"/>
        <v>192.85203756216572</v>
      </c>
    </row>
    <row r="346" spans="15:16" x14ac:dyDescent="0.25">
      <c r="O346" s="67">
        <f ca="1"/>
        <v>196.36111099668688</v>
      </c>
      <c r="P346" s="67">
        <f ca="1"/>
        <v>196.08181606384539</v>
      </c>
    </row>
    <row r="347" spans="15:16" x14ac:dyDescent="0.25">
      <c r="O347" s="67">
        <f ca="1"/>
        <v>204.24438662681482</v>
      </c>
      <c r="P347" s="67">
        <f ca="1"/>
        <v>203.11170550813674</v>
      </c>
    </row>
    <row r="348" spans="15:16" x14ac:dyDescent="0.25">
      <c r="O348" s="67">
        <f ca="1"/>
        <v>199.07813785919222</v>
      </c>
      <c r="P348" s="67">
        <f ca="1"/>
        <v>200.60981010193134</v>
      </c>
    </row>
    <row r="349" spans="15:16" x14ac:dyDescent="0.25">
      <c r="O349" s="67">
        <f ca="1"/>
        <v>196.92474382994411</v>
      </c>
      <c r="P349" s="67">
        <f ca="1"/>
        <v>196.50972873000416</v>
      </c>
    </row>
    <row r="350" spans="15:16" x14ac:dyDescent="0.25">
      <c r="O350" s="67">
        <f ca="1"/>
        <v>201.81351476303215</v>
      </c>
      <c r="P350" s="67">
        <f ca="1"/>
        <v>201.75656007688613</v>
      </c>
    </row>
    <row r="351" spans="15:16" x14ac:dyDescent="0.25">
      <c r="O351" s="67">
        <f ca="1"/>
        <v>200.01954442054978</v>
      </c>
      <c r="P351" s="67">
        <f ca="1"/>
        <v>199.79767635182787</v>
      </c>
    </row>
    <row r="352" spans="15:16" x14ac:dyDescent="0.25">
      <c r="O352" s="67">
        <f ca="1"/>
        <v>203.2727253776595</v>
      </c>
      <c r="P352" s="67">
        <f ca="1"/>
        <v>201.83493484546872</v>
      </c>
    </row>
    <row r="353" spans="15:16" x14ac:dyDescent="0.25">
      <c r="O353" s="67">
        <f ca="1"/>
        <v>205.79711387630542</v>
      </c>
      <c r="P353" s="67">
        <f ca="1"/>
        <v>206.02669654976373</v>
      </c>
    </row>
    <row r="354" spans="15:16" x14ac:dyDescent="0.25">
      <c r="O354" s="67">
        <f ca="1"/>
        <v>200.18085658061082</v>
      </c>
      <c r="P354" s="67">
        <f ca="1"/>
        <v>200.81026140292474</v>
      </c>
    </row>
    <row r="355" spans="15:16" x14ac:dyDescent="0.25">
      <c r="O355" s="67">
        <f ca="1"/>
        <v>191.92860946307081</v>
      </c>
      <c r="P355" s="67">
        <f ca="1"/>
        <v>189.54451903583077</v>
      </c>
    </row>
    <row r="356" spans="15:16" x14ac:dyDescent="0.25">
      <c r="O356" s="67">
        <f ca="1"/>
        <v>205.66465665409987</v>
      </c>
      <c r="P356" s="67">
        <f ca="1"/>
        <v>205.33196091674822</v>
      </c>
    </row>
    <row r="357" spans="15:16" x14ac:dyDescent="0.25">
      <c r="O357" s="67">
        <f ca="1"/>
        <v>202.68111518387812</v>
      </c>
      <c r="P357" s="67">
        <f ca="1"/>
        <v>202.68743378009154</v>
      </c>
    </row>
    <row r="358" spans="15:16" x14ac:dyDescent="0.25">
      <c r="O358" s="67">
        <f ca="1"/>
        <v>202.35051293742984</v>
      </c>
      <c r="P358" s="67">
        <f ca="1"/>
        <v>202.59191185878487</v>
      </c>
    </row>
    <row r="359" spans="15:16" x14ac:dyDescent="0.25">
      <c r="O359" s="67">
        <f ca="1"/>
        <v>198.11448418430436</v>
      </c>
      <c r="P359" s="67">
        <f ca="1"/>
        <v>200.1673430253104</v>
      </c>
    </row>
    <row r="360" spans="15:16" x14ac:dyDescent="0.25">
      <c r="O360" s="67">
        <f ca="1"/>
        <v>202.71832956457695</v>
      </c>
      <c r="P360" s="67">
        <f ca="1"/>
        <v>204.27994360358502</v>
      </c>
    </row>
    <row r="361" spans="15:16" x14ac:dyDescent="0.25">
      <c r="O361" s="67">
        <f ca="1"/>
        <v>199.12887722524255</v>
      </c>
      <c r="P361" s="67">
        <f ca="1"/>
        <v>197.80807086842862</v>
      </c>
    </row>
    <row r="362" spans="15:16" x14ac:dyDescent="0.25">
      <c r="O362" s="67">
        <f ca="1"/>
        <v>197.89418879711423</v>
      </c>
      <c r="P362" s="67">
        <f ca="1"/>
        <v>199.34469460790157</v>
      </c>
    </row>
    <row r="363" spans="15:16" x14ac:dyDescent="0.25">
      <c r="O363" s="67">
        <f ca="1"/>
        <v>197.82455250806868</v>
      </c>
      <c r="P363" s="67">
        <f ca="1"/>
        <v>195.62777588779772</v>
      </c>
    </row>
    <row r="364" spans="15:16" x14ac:dyDescent="0.25">
      <c r="O364" s="67">
        <f ca="1"/>
        <v>207.5119679274718</v>
      </c>
      <c r="P364" s="67">
        <f ca="1"/>
        <v>206.87380936642336</v>
      </c>
    </row>
    <row r="365" spans="15:16" x14ac:dyDescent="0.25">
      <c r="O365" s="67">
        <f ca="1"/>
        <v>198.91389840158564</v>
      </c>
      <c r="P365" s="67">
        <f ca="1"/>
        <v>197.13382730472483</v>
      </c>
    </row>
    <row r="366" spans="15:16" x14ac:dyDescent="0.25">
      <c r="O366" s="67">
        <f ca="1"/>
        <v>202.21115575432933</v>
      </c>
      <c r="P366" s="67">
        <f ca="1"/>
        <v>200.88838612326416</v>
      </c>
    </row>
    <row r="367" spans="15:16" x14ac:dyDescent="0.25">
      <c r="O367" s="67">
        <f ca="1"/>
        <v>195.85635946835808</v>
      </c>
      <c r="P367" s="67">
        <f ca="1"/>
        <v>195.63634050876919</v>
      </c>
    </row>
    <row r="368" spans="15:16" x14ac:dyDescent="0.25">
      <c r="O368" s="67">
        <f ca="1"/>
        <v>200.31754005498394</v>
      </c>
      <c r="P368" s="67">
        <f ca="1"/>
        <v>198.71786749934591</v>
      </c>
    </row>
    <row r="369" spans="15:16" x14ac:dyDescent="0.25">
      <c r="O369" s="67">
        <f ca="1"/>
        <v>207.46042749088596</v>
      </c>
      <c r="P369" s="67">
        <f ca="1"/>
        <v>208.45667585463798</v>
      </c>
    </row>
    <row r="370" spans="15:16" x14ac:dyDescent="0.25">
      <c r="O370" s="67">
        <f ca="1"/>
        <v>195.75956423737301</v>
      </c>
      <c r="P370" s="67">
        <f ca="1"/>
        <v>196.34327965539063</v>
      </c>
    </row>
    <row r="371" spans="15:16" x14ac:dyDescent="0.25">
      <c r="O371" s="67">
        <f ca="1"/>
        <v>199.57637490944475</v>
      </c>
      <c r="P371" s="67">
        <f ca="1"/>
        <v>198.81516752854611</v>
      </c>
    </row>
    <row r="372" spans="15:16" x14ac:dyDescent="0.25">
      <c r="O372" s="67">
        <f ca="1"/>
        <v>202.62551104953238</v>
      </c>
      <c r="P372" s="67">
        <f ca="1"/>
        <v>203.30319585282191</v>
      </c>
    </row>
    <row r="373" spans="15:16" x14ac:dyDescent="0.25">
      <c r="O373" s="67">
        <f ca="1"/>
        <v>196.29137806553575</v>
      </c>
      <c r="P373" s="67">
        <f ca="1"/>
        <v>197.84722276983058</v>
      </c>
    </row>
    <row r="374" spans="15:16" x14ac:dyDescent="0.25">
      <c r="O374" s="67">
        <f ca="1"/>
        <v>198.43922594980532</v>
      </c>
      <c r="P374" s="67">
        <f ca="1"/>
        <v>198.95614960583077</v>
      </c>
    </row>
    <row r="375" spans="15:16" x14ac:dyDescent="0.25">
      <c r="O375" s="67">
        <f ca="1"/>
        <v>198.55897547898519</v>
      </c>
      <c r="P375" s="67">
        <f ca="1"/>
        <v>199.70977272683589</v>
      </c>
    </row>
    <row r="376" spans="15:16" x14ac:dyDescent="0.25">
      <c r="O376" s="67">
        <f ca="1"/>
        <v>196.42123415537847</v>
      </c>
      <c r="P376" s="67">
        <f ca="1"/>
        <v>197.47080500701233</v>
      </c>
    </row>
    <row r="377" spans="15:16" x14ac:dyDescent="0.25">
      <c r="O377" s="67">
        <f ca="1"/>
        <v>202.22849649557403</v>
      </c>
      <c r="P377" s="67">
        <f ca="1"/>
        <v>205.25800046728472</v>
      </c>
    </row>
    <row r="378" spans="15:16" x14ac:dyDescent="0.25">
      <c r="O378" s="67">
        <f ca="1"/>
        <v>199.65712650311519</v>
      </c>
      <c r="P378" s="67">
        <f ca="1"/>
        <v>199.75146429006023</v>
      </c>
    </row>
    <row r="379" spans="15:16" x14ac:dyDescent="0.25">
      <c r="O379" s="67">
        <f ca="1"/>
        <v>194.14244112583012</v>
      </c>
      <c r="P379" s="67">
        <f ca="1"/>
        <v>194.79100409229852</v>
      </c>
    </row>
    <row r="380" spans="15:16" x14ac:dyDescent="0.25">
      <c r="O380" s="67">
        <f ca="1"/>
        <v>204.5607865013755</v>
      </c>
      <c r="P380" s="67">
        <f ca="1"/>
        <v>205.1800303167588</v>
      </c>
    </row>
    <row r="381" spans="15:16" x14ac:dyDescent="0.25">
      <c r="O381" s="67">
        <f ca="1"/>
        <v>201.19371101186914</v>
      </c>
      <c r="P381" s="67">
        <f ca="1"/>
        <v>203.1603035163501</v>
      </c>
    </row>
    <row r="382" spans="15:16" x14ac:dyDescent="0.25">
      <c r="O382" s="67">
        <f ca="1"/>
        <v>195.12054988377378</v>
      </c>
      <c r="P382" s="67">
        <f ca="1"/>
        <v>195.98496992895949</v>
      </c>
    </row>
    <row r="383" spans="15:16" x14ac:dyDescent="0.25">
      <c r="O383" s="67">
        <f ca="1"/>
        <v>205.49688067456034</v>
      </c>
      <c r="P383" s="67">
        <f ca="1"/>
        <v>205.6209010924243</v>
      </c>
    </row>
    <row r="384" spans="15:16" x14ac:dyDescent="0.25">
      <c r="O384" s="67">
        <f ca="1"/>
        <v>199.32722736784081</v>
      </c>
      <c r="P384" s="67">
        <f ca="1"/>
        <v>200.85653124277306</v>
      </c>
    </row>
    <row r="385" spans="15:16" x14ac:dyDescent="0.25">
      <c r="O385" s="67">
        <f ca="1"/>
        <v>200.55889653966875</v>
      </c>
      <c r="P385" s="67">
        <f ca="1"/>
        <v>198.87375140392777</v>
      </c>
    </row>
    <row r="386" spans="15:16" x14ac:dyDescent="0.25">
      <c r="O386" s="67">
        <f ca="1"/>
        <v>188.87238928532892</v>
      </c>
      <c r="P386" s="67">
        <f ca="1"/>
        <v>189.68096549138554</v>
      </c>
    </row>
    <row r="387" spans="15:16" x14ac:dyDescent="0.25">
      <c r="O387" s="67">
        <f ca="1"/>
        <v>202.42789170204335</v>
      </c>
      <c r="P387" s="67">
        <f ca="1"/>
        <v>203.90317181401829</v>
      </c>
    </row>
    <row r="388" spans="15:16" x14ac:dyDescent="0.25">
      <c r="O388" s="67">
        <f ca="1"/>
        <v>202.55664037868382</v>
      </c>
      <c r="P388" s="67">
        <f ca="1"/>
        <v>200.2639165654771</v>
      </c>
    </row>
    <row r="389" spans="15:16" x14ac:dyDescent="0.25">
      <c r="O389" s="67">
        <f ca="1"/>
        <v>202.68924331867458</v>
      </c>
      <c r="P389" s="67">
        <f ca="1"/>
        <v>202.62273354573477</v>
      </c>
    </row>
    <row r="390" spans="15:16" x14ac:dyDescent="0.25">
      <c r="O390" s="67">
        <f ca="1"/>
        <v>199.20029457914532</v>
      </c>
      <c r="P390" s="67">
        <f ca="1"/>
        <v>198.86038010212789</v>
      </c>
    </row>
    <row r="391" spans="15:16" x14ac:dyDescent="0.25">
      <c r="O391" s="67">
        <f ca="1"/>
        <v>195.731024189712</v>
      </c>
      <c r="P391" s="67">
        <f ca="1"/>
        <v>194.11648026759852</v>
      </c>
    </row>
    <row r="392" spans="15:16" x14ac:dyDescent="0.25">
      <c r="O392" s="67">
        <f ca="1"/>
        <v>198.03597778705839</v>
      </c>
      <c r="P392" s="67">
        <f ca="1"/>
        <v>198.08143199260326</v>
      </c>
    </row>
    <row r="393" spans="15:16" x14ac:dyDescent="0.25">
      <c r="O393" s="67">
        <f ca="1"/>
        <v>201.9285776101955</v>
      </c>
      <c r="P393" s="67">
        <f ca="1"/>
        <v>201.78936318884894</v>
      </c>
    </row>
    <row r="394" spans="15:16" x14ac:dyDescent="0.25">
      <c r="O394" s="67">
        <f ca="1"/>
        <v>204.36493210014126</v>
      </c>
      <c r="P394" s="67">
        <f ca="1"/>
        <v>204.93112299253536</v>
      </c>
    </row>
    <row r="395" spans="15:16" x14ac:dyDescent="0.25">
      <c r="O395" s="67">
        <f ca="1"/>
        <v>193.29223247232585</v>
      </c>
      <c r="P395" s="67">
        <f ca="1"/>
        <v>194.35722732831184</v>
      </c>
    </row>
    <row r="396" spans="15:16" x14ac:dyDescent="0.25">
      <c r="O396" s="67">
        <f ca="1"/>
        <v>206.21709844529943</v>
      </c>
      <c r="P396" s="67">
        <f ca="1"/>
        <v>207.07616781419614</v>
      </c>
    </row>
    <row r="397" spans="15:16" x14ac:dyDescent="0.25">
      <c r="O397" s="67">
        <f ca="1"/>
        <v>196.57573487768857</v>
      </c>
      <c r="P397" s="67">
        <f ca="1"/>
        <v>197.69226579336683</v>
      </c>
    </row>
    <row r="398" spans="15:16" x14ac:dyDescent="0.25">
      <c r="O398" s="67">
        <f ca="1"/>
        <v>201.47189306842665</v>
      </c>
      <c r="P398" s="67">
        <f ca="1"/>
        <v>202.58043772715899</v>
      </c>
    </row>
    <row r="399" spans="15:16" x14ac:dyDescent="0.25">
      <c r="O399" s="67">
        <f ca="1"/>
        <v>204.25197264769884</v>
      </c>
      <c r="P399" s="67">
        <f ca="1"/>
        <v>204.21994781451536</v>
      </c>
    </row>
    <row r="400" spans="15:16" x14ac:dyDescent="0.25">
      <c r="O400" s="67">
        <f ca="1"/>
        <v>200.82229236756865</v>
      </c>
      <c r="P400" s="67">
        <f ca="1"/>
        <v>200.38224847035681</v>
      </c>
    </row>
    <row r="401" spans="15:16" x14ac:dyDescent="0.25">
      <c r="O401" s="67">
        <f ca="1"/>
        <v>199.73792395331679</v>
      </c>
      <c r="P401" s="67">
        <f ca="1"/>
        <v>199.82847786316117</v>
      </c>
    </row>
    <row r="402" spans="15:16" x14ac:dyDescent="0.25">
      <c r="O402" s="67">
        <f ca="1"/>
        <v>198.48453351406781</v>
      </c>
      <c r="P402" s="67">
        <f ca="1"/>
        <v>199.41014406694003</v>
      </c>
    </row>
    <row r="403" spans="15:16" x14ac:dyDescent="0.25">
      <c r="O403" s="67">
        <f ca="1"/>
        <v>200.55905180827372</v>
      </c>
      <c r="P403" s="67">
        <f ca="1"/>
        <v>199.98710058732078</v>
      </c>
    </row>
    <row r="404" spans="15:16" x14ac:dyDescent="0.25">
      <c r="O404" s="67">
        <f ca="1"/>
        <v>200.16179549554585</v>
      </c>
      <c r="P404" s="67">
        <f ca="1"/>
        <v>201.11750307296032</v>
      </c>
    </row>
    <row r="405" spans="15:16" x14ac:dyDescent="0.25">
      <c r="O405" s="67">
        <f ca="1"/>
        <v>199.68185175947406</v>
      </c>
      <c r="P405" s="67">
        <f ca="1"/>
        <v>199.60104415113031</v>
      </c>
    </row>
    <row r="406" spans="15:16" x14ac:dyDescent="0.25">
      <c r="O406" s="67">
        <f ca="1"/>
        <v>203.38244795166187</v>
      </c>
      <c r="P406" s="67">
        <f ca="1"/>
        <v>202.05481929701034</v>
      </c>
    </row>
    <row r="407" spans="15:16" x14ac:dyDescent="0.25">
      <c r="O407" s="67">
        <f ca="1"/>
        <v>205.57726552178696</v>
      </c>
      <c r="P407" s="67">
        <f ca="1"/>
        <v>204.76955572689613</v>
      </c>
    </row>
    <row r="408" spans="15:16" x14ac:dyDescent="0.25">
      <c r="O408" s="67">
        <f ca="1"/>
        <v>200.34171055791617</v>
      </c>
      <c r="P408" s="67">
        <f ca="1"/>
        <v>200.08148328974852</v>
      </c>
    </row>
    <row r="409" spans="15:16" x14ac:dyDescent="0.25">
      <c r="O409" s="67">
        <f ca="1"/>
        <v>200.61845137684634</v>
      </c>
      <c r="P409" s="67">
        <f ca="1"/>
        <v>198.81272558592138</v>
      </c>
    </row>
    <row r="410" spans="15:16" x14ac:dyDescent="0.25">
      <c r="O410" s="67">
        <f ca="1"/>
        <v>200.30435420621308</v>
      </c>
      <c r="P410" s="67">
        <f ca="1"/>
        <v>199.62703045886084</v>
      </c>
    </row>
    <row r="411" spans="15:16" x14ac:dyDescent="0.25">
      <c r="O411" s="67">
        <f ca="1"/>
        <v>199.07275672108497</v>
      </c>
      <c r="P411" s="67">
        <f ca="1"/>
        <v>199.50209179407034</v>
      </c>
    </row>
    <row r="412" spans="15:16" x14ac:dyDescent="0.25">
      <c r="O412" s="67">
        <f ca="1"/>
        <v>195.68957742715514</v>
      </c>
      <c r="P412" s="67">
        <f ca="1"/>
        <v>194.94919920180939</v>
      </c>
    </row>
    <row r="413" spans="15:16" x14ac:dyDescent="0.25">
      <c r="O413" s="67">
        <f ca="1"/>
        <v>195.93151679904699</v>
      </c>
      <c r="P413" s="67">
        <f ca="1"/>
        <v>194.76125895758011</v>
      </c>
    </row>
    <row r="414" spans="15:16" x14ac:dyDescent="0.25">
      <c r="O414" s="67">
        <f ca="1"/>
        <v>201.00473048503551</v>
      </c>
      <c r="P414" s="67">
        <f ca="1"/>
        <v>203.18900035178126</v>
      </c>
    </row>
    <row r="415" spans="15:16" x14ac:dyDescent="0.25">
      <c r="O415" s="67">
        <f ca="1"/>
        <v>202.79945709979202</v>
      </c>
      <c r="P415" s="67">
        <f ca="1"/>
        <v>200.58482401865538</v>
      </c>
    </row>
    <row r="416" spans="15:16" x14ac:dyDescent="0.25">
      <c r="O416" s="67">
        <f ca="1"/>
        <v>201.70662443582145</v>
      </c>
      <c r="P416" s="67">
        <f ca="1"/>
        <v>201.62006597615868</v>
      </c>
    </row>
    <row r="417" spans="15:16" x14ac:dyDescent="0.25">
      <c r="O417" s="67">
        <f ca="1"/>
        <v>206.41651657933468</v>
      </c>
      <c r="P417" s="67">
        <f ca="1"/>
        <v>207.62922913125416</v>
      </c>
    </row>
    <row r="418" spans="15:16" x14ac:dyDescent="0.25">
      <c r="O418" s="67">
        <f ca="1"/>
        <v>201.15828509410395</v>
      </c>
      <c r="P418" s="67">
        <f ca="1"/>
        <v>198.99519365284939</v>
      </c>
    </row>
    <row r="419" spans="15:16" x14ac:dyDescent="0.25">
      <c r="O419" s="67">
        <f ca="1"/>
        <v>194.15724403972825</v>
      </c>
      <c r="P419" s="67">
        <f ca="1"/>
        <v>194.79964429414409</v>
      </c>
    </row>
    <row r="420" spans="15:16" x14ac:dyDescent="0.25">
      <c r="O420" s="67">
        <f ca="1"/>
        <v>202.70989146762733</v>
      </c>
      <c r="P420" s="67">
        <f ca="1"/>
        <v>203.41139917758159</v>
      </c>
    </row>
    <row r="421" spans="15:16" x14ac:dyDescent="0.25">
      <c r="O421" s="67">
        <f ca="1"/>
        <v>202.22607793098874</v>
      </c>
      <c r="P421" s="67">
        <f ca="1"/>
        <v>202.63172912349111</v>
      </c>
    </row>
    <row r="422" spans="15:16" x14ac:dyDescent="0.25">
      <c r="O422" s="67">
        <f ca="1"/>
        <v>204.64770917333817</v>
      </c>
      <c r="P422" s="67">
        <f ca="1"/>
        <v>203.85796566687998</v>
      </c>
    </row>
    <row r="423" spans="15:16" x14ac:dyDescent="0.25">
      <c r="O423" s="67">
        <f ca="1"/>
        <v>203.25854317987961</v>
      </c>
      <c r="P423" s="67">
        <f ca="1"/>
        <v>204.04351132110455</v>
      </c>
    </row>
    <row r="424" spans="15:16" x14ac:dyDescent="0.25">
      <c r="O424" s="67">
        <f ca="1"/>
        <v>200.47616220400798</v>
      </c>
      <c r="P424" s="67">
        <f ca="1"/>
        <v>200.26490116319809</v>
      </c>
    </row>
    <row r="425" spans="15:16" x14ac:dyDescent="0.25">
      <c r="O425" s="67">
        <f ca="1"/>
        <v>197.83430265829136</v>
      </c>
      <c r="P425" s="67">
        <f ca="1"/>
        <v>196.58088146663044</v>
      </c>
    </row>
    <row r="426" spans="15:16" x14ac:dyDescent="0.25">
      <c r="O426" s="67">
        <f ca="1"/>
        <v>199.21752733431177</v>
      </c>
      <c r="P426" s="67">
        <f ca="1"/>
        <v>200.92023840981759</v>
      </c>
    </row>
    <row r="427" spans="15:16" x14ac:dyDescent="0.25">
      <c r="O427" s="67">
        <f ca="1"/>
        <v>201.18525708065758</v>
      </c>
      <c r="P427" s="67">
        <f ca="1"/>
        <v>201.43663928209725</v>
      </c>
    </row>
    <row r="428" spans="15:16" x14ac:dyDescent="0.25">
      <c r="O428" s="67">
        <f ca="1"/>
        <v>202.86751548024986</v>
      </c>
      <c r="P428" s="67">
        <f ca="1"/>
        <v>202.47408194658217</v>
      </c>
    </row>
    <row r="429" spans="15:16" x14ac:dyDescent="0.25">
      <c r="O429" s="67">
        <f ca="1"/>
        <v>200.83533128721015</v>
      </c>
      <c r="P429" s="67">
        <f ca="1"/>
        <v>202.03945050564946</v>
      </c>
    </row>
    <row r="430" spans="15:16" x14ac:dyDescent="0.25">
      <c r="O430" s="67">
        <f ca="1"/>
        <v>205.20804706921922</v>
      </c>
      <c r="P430" s="67">
        <f ca="1"/>
        <v>206.18177162802601</v>
      </c>
    </row>
    <row r="431" spans="15:16" x14ac:dyDescent="0.25">
      <c r="O431" s="67">
        <f ca="1"/>
        <v>201.52366221036999</v>
      </c>
      <c r="P431" s="67">
        <f ca="1"/>
        <v>201.39319715610134</v>
      </c>
    </row>
    <row r="432" spans="15:16" x14ac:dyDescent="0.25">
      <c r="O432" s="67">
        <f ca="1"/>
        <v>196.10405284082253</v>
      </c>
      <c r="P432" s="67">
        <f ca="1"/>
        <v>196.14902081810348</v>
      </c>
    </row>
    <row r="433" spans="15:16" x14ac:dyDescent="0.25">
      <c r="O433" s="67">
        <f ca="1"/>
        <v>199.01135131543455</v>
      </c>
      <c r="P433" s="67">
        <f ca="1"/>
        <v>198.44045043759934</v>
      </c>
    </row>
    <row r="434" spans="15:16" x14ac:dyDescent="0.25">
      <c r="O434" s="67">
        <f ca="1"/>
        <v>204.94128692330619</v>
      </c>
      <c r="P434" s="67">
        <f ca="1"/>
        <v>204.62625291561039</v>
      </c>
    </row>
    <row r="435" spans="15:16" x14ac:dyDescent="0.25">
      <c r="O435" s="67">
        <f ca="1"/>
        <v>202.14340456889329</v>
      </c>
      <c r="P435" s="67">
        <f ca="1"/>
        <v>201.15540728554964</v>
      </c>
    </row>
    <row r="436" spans="15:16" x14ac:dyDescent="0.25">
      <c r="O436" s="67">
        <f ca="1"/>
        <v>201.80106231815634</v>
      </c>
      <c r="P436" s="67">
        <f ca="1"/>
        <v>202.10919321315089</v>
      </c>
    </row>
    <row r="437" spans="15:16" x14ac:dyDescent="0.25">
      <c r="O437" s="67">
        <f ca="1"/>
        <v>204.67684350271585</v>
      </c>
      <c r="P437" s="67">
        <f ca="1"/>
        <v>204.09680097447807</v>
      </c>
    </row>
    <row r="438" spans="15:16" x14ac:dyDescent="0.25">
      <c r="O438" s="67">
        <f ca="1"/>
        <v>204.7400493698828</v>
      </c>
      <c r="P438" s="67">
        <f ca="1"/>
        <v>204.4767049117618</v>
      </c>
    </row>
    <row r="439" spans="15:16" x14ac:dyDescent="0.25">
      <c r="O439" s="67">
        <f ca="1"/>
        <v>201.1687152006175</v>
      </c>
      <c r="P439" s="67">
        <f ca="1"/>
        <v>201.39916032578037</v>
      </c>
    </row>
    <row r="440" spans="15:16" x14ac:dyDescent="0.25">
      <c r="O440" s="67">
        <f ca="1"/>
        <v>196.76243879308376</v>
      </c>
      <c r="P440" s="67">
        <f ca="1"/>
        <v>197.94369867211333</v>
      </c>
    </row>
    <row r="441" spans="15:16" x14ac:dyDescent="0.25">
      <c r="O441" s="67">
        <f ca="1"/>
        <v>196.19660640499174</v>
      </c>
      <c r="P441" s="67">
        <f ca="1"/>
        <v>196.5277644125932</v>
      </c>
    </row>
    <row r="442" spans="15:16" x14ac:dyDescent="0.25">
      <c r="O442" s="67">
        <f ca="1"/>
        <v>200.52583348705357</v>
      </c>
      <c r="P442" s="67">
        <f ca="1"/>
        <v>198.40550671443188</v>
      </c>
    </row>
    <row r="443" spans="15:16" x14ac:dyDescent="0.25">
      <c r="O443" s="67">
        <f ca="1"/>
        <v>202.86377493850034</v>
      </c>
      <c r="P443" s="67">
        <f ca="1"/>
        <v>203.54865761305135</v>
      </c>
    </row>
    <row r="444" spans="15:16" x14ac:dyDescent="0.25">
      <c r="O444" s="67">
        <f ca="1"/>
        <v>198.39245906926519</v>
      </c>
      <c r="P444" s="67">
        <f ca="1"/>
        <v>196.69444706666397</v>
      </c>
    </row>
    <row r="445" spans="15:16" x14ac:dyDescent="0.25">
      <c r="O445" s="67">
        <f ca="1"/>
        <v>193.74408112555017</v>
      </c>
      <c r="P445" s="67">
        <f ca="1"/>
        <v>193.29146719325246</v>
      </c>
    </row>
    <row r="446" spans="15:16" x14ac:dyDescent="0.25">
      <c r="O446" s="67">
        <f ca="1"/>
        <v>203.62780516582447</v>
      </c>
      <c r="P446" s="67">
        <f ca="1"/>
        <v>204.47126897630707</v>
      </c>
    </row>
    <row r="447" spans="15:16" x14ac:dyDescent="0.25">
      <c r="O447" s="67">
        <f ca="1"/>
        <v>195.30411178400149</v>
      </c>
      <c r="P447" s="67">
        <f ca="1"/>
        <v>195.94085275633174</v>
      </c>
    </row>
    <row r="448" spans="15:16" x14ac:dyDescent="0.25">
      <c r="O448" s="67">
        <f ca="1"/>
        <v>196.55667507178842</v>
      </c>
      <c r="P448" s="67">
        <f ca="1"/>
        <v>196.95826331502224</v>
      </c>
    </row>
    <row r="449" spans="15:16" x14ac:dyDescent="0.25">
      <c r="O449" s="67">
        <f ca="1"/>
        <v>200.39116758694783</v>
      </c>
      <c r="P449" s="67">
        <f ca="1"/>
        <v>199.43870006713661</v>
      </c>
    </row>
    <row r="450" spans="15:16" x14ac:dyDescent="0.25">
      <c r="O450" s="67">
        <f ca="1"/>
        <v>198.23019410217637</v>
      </c>
      <c r="P450" s="67">
        <f ca="1"/>
        <v>198.22551327149986</v>
      </c>
    </row>
    <row r="451" spans="15:16" x14ac:dyDescent="0.25">
      <c r="O451" s="67">
        <f ca="1"/>
        <v>203.98786629332966</v>
      </c>
      <c r="P451" s="67">
        <f ca="1"/>
        <v>204.74597159122342</v>
      </c>
    </row>
    <row r="452" spans="15:16" x14ac:dyDescent="0.25">
      <c r="O452" s="67">
        <f ca="1"/>
        <v>200.73632617954388</v>
      </c>
      <c r="P452" s="67">
        <f ca="1"/>
        <v>201.03901372256166</v>
      </c>
    </row>
    <row r="453" spans="15:16" x14ac:dyDescent="0.25">
      <c r="O453" s="67">
        <f ca="1"/>
        <v>200.41840452594937</v>
      </c>
      <c r="P453" s="67">
        <f ca="1"/>
        <v>202.15472310018947</v>
      </c>
    </row>
    <row r="454" spans="15:16" x14ac:dyDescent="0.25">
      <c r="O454" s="67">
        <f ca="1"/>
        <v>197.43669129174265</v>
      </c>
      <c r="P454" s="67">
        <f ca="1"/>
        <v>197.16096707544668</v>
      </c>
    </row>
    <row r="455" spans="15:16" x14ac:dyDescent="0.25">
      <c r="O455" s="67">
        <f ca="1"/>
        <v>197.24557864264349</v>
      </c>
      <c r="P455" s="67">
        <f ca="1"/>
        <v>197.61978039579733</v>
      </c>
    </row>
    <row r="456" spans="15:16" x14ac:dyDescent="0.25">
      <c r="O456" s="67">
        <f ca="1"/>
        <v>202.44383753041171</v>
      </c>
      <c r="P456" s="67">
        <f ca="1"/>
        <v>202.04505890179607</v>
      </c>
    </row>
    <row r="457" spans="15:16" x14ac:dyDescent="0.25">
      <c r="O457" s="67">
        <f ca="1"/>
        <v>201.56519883820545</v>
      </c>
      <c r="P457" s="67">
        <f ca="1"/>
        <v>199.85022968886548</v>
      </c>
    </row>
    <row r="458" spans="15:16" x14ac:dyDescent="0.25">
      <c r="O458" s="67">
        <f ca="1"/>
        <v>202.21930638857052</v>
      </c>
      <c r="P458" s="67">
        <f ca="1"/>
        <v>202.21038371222198</v>
      </c>
    </row>
    <row r="459" spans="15:16" x14ac:dyDescent="0.25">
      <c r="O459" s="67">
        <f ca="1"/>
        <v>202.61748146934372</v>
      </c>
      <c r="P459" s="67">
        <f ca="1"/>
        <v>203.61771758540232</v>
      </c>
    </row>
    <row r="460" spans="15:16" x14ac:dyDescent="0.25">
      <c r="O460" s="67">
        <f ca="1"/>
        <v>201.20913271297968</v>
      </c>
      <c r="P460" s="67">
        <f ca="1"/>
        <v>200.8293896866941</v>
      </c>
    </row>
    <row r="461" spans="15:16" x14ac:dyDescent="0.25">
      <c r="O461" s="67">
        <f ca="1"/>
        <v>201.20980247070119</v>
      </c>
      <c r="P461" s="67">
        <f ca="1"/>
        <v>200.37096873788403</v>
      </c>
    </row>
    <row r="462" spans="15:16" x14ac:dyDescent="0.25">
      <c r="O462" s="67">
        <f ca="1"/>
        <v>204.68857777838573</v>
      </c>
      <c r="P462" s="67">
        <f ca="1"/>
        <v>203.34809687922595</v>
      </c>
    </row>
    <row r="463" spans="15:16" x14ac:dyDescent="0.25">
      <c r="O463" s="67">
        <f ca="1"/>
        <v>196.97359826333084</v>
      </c>
      <c r="P463" s="67">
        <f ca="1"/>
        <v>197.0818232059126</v>
      </c>
    </row>
    <row r="464" spans="15:16" x14ac:dyDescent="0.25">
      <c r="O464" s="67">
        <f ca="1"/>
        <v>204.32526106091467</v>
      </c>
      <c r="P464" s="67">
        <f ca="1"/>
        <v>204.04974880173873</v>
      </c>
    </row>
    <row r="465" spans="15:16" x14ac:dyDescent="0.25">
      <c r="O465" s="67">
        <f ca="1"/>
        <v>197.29014420498393</v>
      </c>
      <c r="P465" s="67">
        <f ca="1"/>
        <v>198.03586537138807</v>
      </c>
    </row>
    <row r="466" spans="15:16" x14ac:dyDescent="0.25">
      <c r="O466" s="67">
        <f ca="1"/>
        <v>200.80960592261053</v>
      </c>
      <c r="P466" s="67">
        <f ca="1"/>
        <v>200.81674863344367</v>
      </c>
    </row>
    <row r="467" spans="15:16" x14ac:dyDescent="0.25">
      <c r="O467" s="67">
        <f ca="1"/>
        <v>196.27744386923666</v>
      </c>
      <c r="P467" s="67">
        <f ca="1"/>
        <v>196.9165965471382</v>
      </c>
    </row>
    <row r="468" spans="15:16" x14ac:dyDescent="0.25">
      <c r="O468" s="67">
        <f ca="1"/>
        <v>198.06293209425752</v>
      </c>
      <c r="P468" s="67">
        <f ca="1"/>
        <v>198.58929838126051</v>
      </c>
    </row>
    <row r="469" spans="15:16" x14ac:dyDescent="0.25">
      <c r="O469" s="67">
        <f ca="1"/>
        <v>197.93935776316553</v>
      </c>
      <c r="P469" s="67">
        <f ca="1"/>
        <v>199.51447910073617</v>
      </c>
    </row>
    <row r="470" spans="15:16" x14ac:dyDescent="0.25">
      <c r="O470" s="67">
        <f ca="1"/>
        <v>202.06099642583294</v>
      </c>
      <c r="P470" s="67">
        <f ca="1"/>
        <v>202.95008627665194</v>
      </c>
    </row>
    <row r="471" spans="15:16" x14ac:dyDescent="0.25">
      <c r="O471" s="67">
        <f ca="1"/>
        <v>200.43876312938178</v>
      </c>
      <c r="P471" s="67">
        <f ca="1"/>
        <v>200.81237371452619</v>
      </c>
    </row>
    <row r="472" spans="15:16" x14ac:dyDescent="0.25">
      <c r="O472" s="67">
        <f ca="1"/>
        <v>194.25944249167958</v>
      </c>
      <c r="P472" s="67">
        <f ca="1"/>
        <v>195.33580192548203</v>
      </c>
    </row>
    <row r="473" spans="15:16" x14ac:dyDescent="0.25">
      <c r="O473" s="67">
        <f ca="1"/>
        <v>200.70331447189457</v>
      </c>
      <c r="P473" s="67">
        <f ca="1"/>
        <v>200.32188751179902</v>
      </c>
    </row>
    <row r="474" spans="15:16" x14ac:dyDescent="0.25">
      <c r="O474" s="67">
        <f ca="1"/>
        <v>192.81499188304269</v>
      </c>
      <c r="P474" s="67">
        <f ca="1"/>
        <v>190.99993405399013</v>
      </c>
    </row>
    <row r="475" spans="15:16" x14ac:dyDescent="0.25">
      <c r="O475" s="67">
        <f ca="1"/>
        <v>199.69525140134499</v>
      </c>
      <c r="P475" s="67">
        <f ca="1"/>
        <v>200.28353302700026</v>
      </c>
    </row>
    <row r="476" spans="15:16" x14ac:dyDescent="0.25">
      <c r="O476" s="67">
        <f ca="1"/>
        <v>197.62689938144544</v>
      </c>
      <c r="P476" s="67">
        <f ca="1"/>
        <v>197.83818752080469</v>
      </c>
    </row>
    <row r="477" spans="15:16" x14ac:dyDescent="0.25">
      <c r="O477" s="67">
        <f ca="1"/>
        <v>204.72888126833061</v>
      </c>
      <c r="P477" s="67">
        <f ca="1"/>
        <v>203.1121367233124</v>
      </c>
    </row>
    <row r="478" spans="15:16" x14ac:dyDescent="0.25">
      <c r="O478" s="67">
        <f ca="1"/>
        <v>205.64043064487058</v>
      </c>
      <c r="P478" s="67">
        <f ca="1"/>
        <v>205.82426114559797</v>
      </c>
    </row>
    <row r="479" spans="15:16" x14ac:dyDescent="0.25">
      <c r="O479" s="67">
        <f ca="1"/>
        <v>204.44371450566507</v>
      </c>
      <c r="P479" s="67">
        <f ca="1"/>
        <v>205.24235445875931</v>
      </c>
    </row>
    <row r="480" spans="15:16" x14ac:dyDescent="0.25">
      <c r="O480" s="67">
        <f ca="1"/>
        <v>206.21168600370945</v>
      </c>
      <c r="P480" s="67">
        <f ca="1"/>
        <v>206.00734724406618</v>
      </c>
    </row>
    <row r="481" spans="15:16" x14ac:dyDescent="0.25">
      <c r="O481" s="67">
        <f ca="1"/>
        <v>203.16617876725837</v>
      </c>
      <c r="P481" s="67">
        <f ca="1"/>
        <v>202.9454848588577</v>
      </c>
    </row>
    <row r="482" spans="15:16" x14ac:dyDescent="0.25">
      <c r="O482" s="67">
        <f ca="1"/>
        <v>203.71614198963627</v>
      </c>
      <c r="P482" s="67">
        <f ca="1"/>
        <v>205.13820151719071</v>
      </c>
    </row>
    <row r="483" spans="15:16" x14ac:dyDescent="0.25">
      <c r="O483" s="67">
        <f ca="1"/>
        <v>206.26860670487844</v>
      </c>
      <c r="P483" s="67">
        <f ca="1"/>
        <v>207.05597400855746</v>
      </c>
    </row>
    <row r="484" spans="15:16" x14ac:dyDescent="0.25">
      <c r="O484" s="67">
        <f ca="1"/>
        <v>203.28804904900949</v>
      </c>
      <c r="P484" s="67">
        <f ca="1"/>
        <v>202.88693640168336</v>
      </c>
    </row>
    <row r="485" spans="15:16" x14ac:dyDescent="0.25">
      <c r="O485" s="67">
        <f ca="1"/>
        <v>200.77773563337971</v>
      </c>
      <c r="P485" s="67">
        <f ca="1"/>
        <v>201.34983001452844</v>
      </c>
    </row>
    <row r="486" spans="15:16" x14ac:dyDescent="0.25">
      <c r="O486" s="67">
        <f ca="1"/>
        <v>200.94579211667528</v>
      </c>
      <c r="P486" s="67">
        <f ca="1"/>
        <v>201.5732987461889</v>
      </c>
    </row>
    <row r="487" spans="15:16" x14ac:dyDescent="0.25">
      <c r="O487" s="67">
        <f ca="1"/>
        <v>198.60783581654943</v>
      </c>
      <c r="P487" s="67">
        <f ca="1"/>
        <v>199.04355570364507</v>
      </c>
    </row>
    <row r="488" spans="15:16" x14ac:dyDescent="0.25">
      <c r="O488" s="67">
        <f ca="1"/>
        <v>197.10012359930991</v>
      </c>
      <c r="P488" s="67">
        <f ca="1"/>
        <v>196.86820984530482</v>
      </c>
    </row>
    <row r="489" spans="15:16" x14ac:dyDescent="0.25">
      <c r="O489" s="67">
        <f ca="1"/>
        <v>202.80190874519076</v>
      </c>
      <c r="P489" s="67">
        <f ca="1"/>
        <v>203.61938279165764</v>
      </c>
    </row>
    <row r="490" spans="15:16" x14ac:dyDescent="0.25">
      <c r="O490" s="67">
        <f ca="1"/>
        <v>202.95905729335931</v>
      </c>
      <c r="P490" s="67">
        <f ca="1"/>
        <v>201.26067775760802</v>
      </c>
    </row>
    <row r="491" spans="15:16" x14ac:dyDescent="0.25">
      <c r="O491" s="67">
        <f ca="1"/>
        <v>203.33268686515328</v>
      </c>
      <c r="P491" s="67">
        <f ca="1"/>
        <v>203.24229360305571</v>
      </c>
    </row>
    <row r="492" spans="15:16" x14ac:dyDescent="0.25">
      <c r="O492" s="67">
        <f ca="1"/>
        <v>200.2380515637073</v>
      </c>
      <c r="P492" s="67">
        <f ca="1"/>
        <v>199.40407466644351</v>
      </c>
    </row>
    <row r="493" spans="15:16" x14ac:dyDescent="0.25">
      <c r="O493" s="67">
        <f ca="1"/>
        <v>192.97493591886945</v>
      </c>
      <c r="P493" s="67">
        <f ca="1"/>
        <v>193.09773685627911</v>
      </c>
    </row>
    <row r="494" spans="15:16" x14ac:dyDescent="0.25">
      <c r="O494" s="67">
        <f ca="1"/>
        <v>200.30157205383657</v>
      </c>
      <c r="P494" s="67">
        <f ca="1"/>
        <v>201.21239969460134</v>
      </c>
    </row>
    <row r="495" spans="15:16" x14ac:dyDescent="0.25">
      <c r="O495" s="67">
        <f ca="1"/>
        <v>195.95756124653482</v>
      </c>
      <c r="P495" s="67">
        <f ca="1"/>
        <v>196.40194111022635</v>
      </c>
    </row>
    <row r="496" spans="15:16" x14ac:dyDescent="0.25">
      <c r="O496" s="67">
        <f ca="1"/>
        <v>197.55925928525559</v>
      </c>
      <c r="P496" s="67">
        <f ca="1"/>
        <v>197.20512770783822</v>
      </c>
    </row>
    <row r="497" spans="15:16" x14ac:dyDescent="0.25">
      <c r="O497" s="67">
        <f ca="1"/>
        <v>198.64380280179131</v>
      </c>
      <c r="P497" s="67">
        <f ca="1"/>
        <v>199.6350043471389</v>
      </c>
    </row>
    <row r="498" spans="15:16" x14ac:dyDescent="0.25">
      <c r="O498" s="67">
        <f ca="1"/>
        <v>200.21892509400894</v>
      </c>
      <c r="P498" s="67">
        <f ca="1"/>
        <v>199.13515202463921</v>
      </c>
    </row>
    <row r="499" spans="15:16" x14ac:dyDescent="0.25">
      <c r="O499" s="67">
        <f ca="1"/>
        <v>193.69073771303013</v>
      </c>
      <c r="P499" s="67">
        <f ca="1"/>
        <v>193.47829088810838</v>
      </c>
    </row>
    <row r="500" spans="15:16" x14ac:dyDescent="0.25">
      <c r="O500" s="67">
        <f ca="1"/>
        <v>202.05580702108907</v>
      </c>
      <c r="P500" s="67">
        <f ca="1"/>
        <v>201.21250062427211</v>
      </c>
    </row>
    <row r="501" spans="15:16" x14ac:dyDescent="0.25">
      <c r="O501" s="67">
        <f ca="1"/>
        <v>200.48274586883846</v>
      </c>
      <c r="P501" s="67">
        <f ca="1"/>
        <v>200.39391454426826</v>
      </c>
    </row>
    <row r="502" spans="15:16" x14ac:dyDescent="0.25">
      <c r="O502" s="67">
        <f ca="1"/>
        <v>199.58885908140124</v>
      </c>
      <c r="P502" s="67">
        <f ca="1"/>
        <v>199.7124638737865</v>
      </c>
    </row>
    <row r="503" spans="15:16" x14ac:dyDescent="0.25">
      <c r="O503" s="67">
        <f ca="1"/>
        <v>197.7361023473226</v>
      </c>
      <c r="P503" s="67">
        <f ca="1"/>
        <v>198.50673151566068</v>
      </c>
    </row>
    <row r="504" spans="15:16" x14ac:dyDescent="0.25">
      <c r="O504" s="67">
        <f ca="1"/>
        <v>203.53376463290991</v>
      </c>
      <c r="P504" s="67">
        <f ca="1"/>
        <v>203.51635524198136</v>
      </c>
    </row>
    <row r="505" spans="15:16" x14ac:dyDescent="0.25">
      <c r="O505" s="67">
        <f ca="1"/>
        <v>203.08559198252087</v>
      </c>
      <c r="P505" s="67">
        <f ca="1"/>
        <v>204.66467777106323</v>
      </c>
    </row>
    <row r="506" spans="15:16" x14ac:dyDescent="0.25">
      <c r="O506" s="67">
        <f ca="1"/>
        <v>201.3713288282211</v>
      </c>
      <c r="P506" s="67">
        <f ca="1"/>
        <v>201.92440171652069</v>
      </c>
    </row>
    <row r="507" spans="15:16" x14ac:dyDescent="0.25">
      <c r="O507" s="67">
        <f ca="1"/>
        <v>210.0656809346178</v>
      </c>
      <c r="P507" s="67">
        <f ca="1"/>
        <v>211.00185357735475</v>
      </c>
    </row>
    <row r="508" spans="15:16" x14ac:dyDescent="0.25">
      <c r="O508" s="67">
        <f ca="1"/>
        <v>201.52698099752962</v>
      </c>
      <c r="P508" s="67">
        <f ca="1"/>
        <v>201.39787109869087</v>
      </c>
    </row>
    <row r="509" spans="15:16" x14ac:dyDescent="0.25">
      <c r="O509" s="67">
        <f ca="1"/>
        <v>198.63866200567136</v>
      </c>
      <c r="P509" s="67">
        <f ca="1"/>
        <v>199.33801965758209</v>
      </c>
    </row>
    <row r="510" spans="15:16" x14ac:dyDescent="0.25">
      <c r="O510" s="67">
        <f ca="1"/>
        <v>200.76556818922043</v>
      </c>
      <c r="P510" s="67">
        <f ca="1"/>
        <v>200.82139315530623</v>
      </c>
    </row>
    <row r="511" spans="15:16" x14ac:dyDescent="0.25">
      <c r="O511" s="67">
        <f ca="1"/>
        <v>200.10894524163749</v>
      </c>
      <c r="P511" s="67">
        <f ca="1"/>
        <v>200.18462593809389</v>
      </c>
    </row>
    <row r="512" spans="15:16" x14ac:dyDescent="0.25">
      <c r="O512" s="67">
        <f ca="1"/>
        <v>199.52718372831191</v>
      </c>
      <c r="P512" s="67">
        <f ca="1"/>
        <v>199.21108033653061</v>
      </c>
    </row>
    <row r="513" spans="15:16" x14ac:dyDescent="0.25">
      <c r="O513" s="67">
        <f ca="1"/>
        <v>201.40431588667337</v>
      </c>
      <c r="P513" s="67">
        <f ca="1"/>
        <v>200.83380401554706</v>
      </c>
    </row>
    <row r="514" spans="15:16" x14ac:dyDescent="0.25">
      <c r="O514" s="67">
        <f ca="1"/>
        <v>197.80827621967356</v>
      </c>
      <c r="P514" s="67">
        <f ca="1"/>
        <v>197.46690833221029</v>
      </c>
    </row>
    <row r="515" spans="15:16" x14ac:dyDescent="0.25">
      <c r="O515" s="67">
        <f ca="1"/>
        <v>199.77946440308639</v>
      </c>
      <c r="P515" s="67">
        <f ca="1"/>
        <v>200.29246508101969</v>
      </c>
    </row>
    <row r="516" spans="15:16" x14ac:dyDescent="0.25">
      <c r="O516" s="67">
        <f ca="1"/>
        <v>195.65019305962321</v>
      </c>
      <c r="P516" s="67">
        <f ca="1"/>
        <v>195.19696357559761</v>
      </c>
    </row>
    <row r="517" spans="15:16" x14ac:dyDescent="0.25">
      <c r="O517" s="67">
        <f ca="1"/>
        <v>201.58961557768217</v>
      </c>
      <c r="P517" s="67">
        <f ca="1"/>
        <v>201.91938020829261</v>
      </c>
    </row>
    <row r="518" spans="15:16" x14ac:dyDescent="0.25">
      <c r="O518" s="67">
        <f ca="1"/>
        <v>206.09798085560357</v>
      </c>
      <c r="P518" s="67">
        <f ca="1"/>
        <v>206.12816675441522</v>
      </c>
    </row>
    <row r="519" spans="15:16" x14ac:dyDescent="0.25">
      <c r="O519" s="67">
        <f ca="1"/>
        <v>207.47460107655544</v>
      </c>
      <c r="P519" s="67">
        <f ca="1"/>
        <v>207.93593430116536</v>
      </c>
    </row>
    <row r="520" spans="15:16" x14ac:dyDescent="0.25">
      <c r="O520" s="67">
        <f ca="1"/>
        <v>200.10113196334129</v>
      </c>
      <c r="P520" s="67">
        <f ca="1"/>
        <v>199.78257585461074</v>
      </c>
    </row>
    <row r="521" spans="15:16" x14ac:dyDescent="0.25">
      <c r="O521" s="67">
        <f ca="1"/>
        <v>198.74743463567432</v>
      </c>
      <c r="P521" s="67">
        <f ca="1"/>
        <v>197.71859527993965</v>
      </c>
    </row>
    <row r="522" spans="15:16" x14ac:dyDescent="0.25">
      <c r="O522" s="67">
        <f ca="1"/>
        <v>195.31403775756201</v>
      </c>
      <c r="P522" s="67">
        <f ca="1"/>
        <v>194.578402029009</v>
      </c>
    </row>
    <row r="523" spans="15:16" x14ac:dyDescent="0.25">
      <c r="O523" s="67">
        <f ca="1"/>
        <v>204.11609113938746</v>
      </c>
      <c r="P523" s="67">
        <f ca="1"/>
        <v>203.94466350502205</v>
      </c>
    </row>
    <row r="524" spans="15:16" x14ac:dyDescent="0.25">
      <c r="O524" s="67">
        <f ca="1"/>
        <v>204.01247049297177</v>
      </c>
      <c r="P524" s="67">
        <f ca="1"/>
        <v>202.46829495490229</v>
      </c>
    </row>
    <row r="525" spans="15:16" x14ac:dyDescent="0.25">
      <c r="O525" s="67">
        <f ca="1"/>
        <v>201.23955623561423</v>
      </c>
      <c r="P525" s="67">
        <f ca="1"/>
        <v>201.54455404850987</v>
      </c>
    </row>
    <row r="526" spans="15:16" x14ac:dyDescent="0.25">
      <c r="O526" s="67">
        <f ca="1"/>
        <v>200.37757436415183</v>
      </c>
      <c r="P526" s="67">
        <f ca="1"/>
        <v>201.22482391770944</v>
      </c>
    </row>
    <row r="527" spans="15:16" x14ac:dyDescent="0.25">
      <c r="O527" s="67">
        <f ca="1"/>
        <v>199.03548787299647</v>
      </c>
      <c r="P527" s="67">
        <f ca="1"/>
        <v>199.50080216423837</v>
      </c>
    </row>
    <row r="528" spans="15:16" x14ac:dyDescent="0.25">
      <c r="O528" s="67">
        <f ca="1"/>
        <v>196.50232406203071</v>
      </c>
      <c r="P528" s="67">
        <f ca="1"/>
        <v>195.6882777638848</v>
      </c>
    </row>
    <row r="529" spans="15:16" x14ac:dyDescent="0.25">
      <c r="O529" s="67">
        <f ca="1"/>
        <v>201.77693713358744</v>
      </c>
      <c r="P529" s="67">
        <f ca="1"/>
        <v>202.4157187853842</v>
      </c>
    </row>
    <row r="530" spans="15:16" x14ac:dyDescent="0.25">
      <c r="O530" s="67">
        <f ca="1"/>
        <v>203.17806261594896</v>
      </c>
      <c r="P530" s="67">
        <f ca="1"/>
        <v>202.10226775112307</v>
      </c>
    </row>
    <row r="531" spans="15:16" x14ac:dyDescent="0.25">
      <c r="O531" s="67">
        <f ca="1"/>
        <v>203.86060696981042</v>
      </c>
      <c r="P531" s="67">
        <f ca="1"/>
        <v>203.04401223414774</v>
      </c>
    </row>
    <row r="532" spans="15:16" x14ac:dyDescent="0.25">
      <c r="O532" s="67">
        <f ca="1"/>
        <v>195.87221275679073</v>
      </c>
      <c r="P532" s="67">
        <f ca="1"/>
        <v>196.51725754694689</v>
      </c>
    </row>
    <row r="533" spans="15:16" x14ac:dyDescent="0.25">
      <c r="O533" s="67">
        <f ca="1"/>
        <v>197.3323156527585</v>
      </c>
      <c r="P533" s="67">
        <f ca="1"/>
        <v>197.76784591320143</v>
      </c>
    </row>
    <row r="534" spans="15:16" x14ac:dyDescent="0.25">
      <c r="O534" s="67">
        <f ca="1"/>
        <v>198.97862943329284</v>
      </c>
      <c r="P534" s="67">
        <f ca="1"/>
        <v>197.7021045781822</v>
      </c>
    </row>
    <row r="535" spans="15:16" x14ac:dyDescent="0.25">
      <c r="O535" s="67">
        <f ca="1"/>
        <v>197.80520999705809</v>
      </c>
      <c r="P535" s="67">
        <f ca="1"/>
        <v>197.91204677252514</v>
      </c>
    </row>
    <row r="536" spans="15:16" x14ac:dyDescent="0.25">
      <c r="O536" s="67">
        <f ca="1"/>
        <v>192.91610344386828</v>
      </c>
      <c r="P536" s="67">
        <f ca="1"/>
        <v>192.06042920692289</v>
      </c>
    </row>
    <row r="537" spans="15:16" x14ac:dyDescent="0.25">
      <c r="O537" s="67">
        <f ca="1"/>
        <v>190.1085056990234</v>
      </c>
      <c r="P537" s="67">
        <f ca="1"/>
        <v>191.32261876656645</v>
      </c>
    </row>
    <row r="538" spans="15:16" x14ac:dyDescent="0.25">
      <c r="O538" s="67">
        <f ca="1"/>
        <v>201.05249260287914</v>
      </c>
      <c r="P538" s="67">
        <f ca="1"/>
        <v>199.62707844263542</v>
      </c>
    </row>
    <row r="539" spans="15:16" x14ac:dyDescent="0.25">
      <c r="O539" s="67">
        <f ca="1"/>
        <v>195.45222123251435</v>
      </c>
      <c r="P539" s="67">
        <f ca="1"/>
        <v>195.21634964738271</v>
      </c>
    </row>
    <row r="540" spans="15:16" x14ac:dyDescent="0.25">
      <c r="O540" s="67">
        <f ca="1"/>
        <v>197.62745520051112</v>
      </c>
      <c r="P540" s="67">
        <f ca="1"/>
        <v>196.83255953110992</v>
      </c>
    </row>
    <row r="541" spans="15:16" x14ac:dyDescent="0.25">
      <c r="O541" s="67">
        <f ca="1"/>
        <v>199.50465121357249</v>
      </c>
      <c r="P541" s="67">
        <f ca="1"/>
        <v>200.72426733766534</v>
      </c>
    </row>
    <row r="542" spans="15:16" x14ac:dyDescent="0.25">
      <c r="O542" s="67">
        <f ca="1"/>
        <v>197.85322634590372</v>
      </c>
      <c r="P542" s="67">
        <f ca="1"/>
        <v>196.60340438295867</v>
      </c>
    </row>
    <row r="543" spans="15:16" x14ac:dyDescent="0.25">
      <c r="O543" s="67">
        <f ca="1"/>
        <v>211.50328166873146</v>
      </c>
      <c r="P543" s="67">
        <f ca="1"/>
        <v>212.37768992142915</v>
      </c>
    </row>
    <row r="544" spans="15:16" x14ac:dyDescent="0.25">
      <c r="O544" s="67">
        <f ca="1"/>
        <v>195.89694889895196</v>
      </c>
      <c r="P544" s="67">
        <f ca="1"/>
        <v>195.73715383479905</v>
      </c>
    </row>
    <row r="545" spans="15:16" x14ac:dyDescent="0.25">
      <c r="O545" s="67">
        <f ca="1"/>
        <v>200.53910361479004</v>
      </c>
      <c r="P545" s="67">
        <f ca="1"/>
        <v>201.57510845950179</v>
      </c>
    </row>
    <row r="546" spans="15:16" x14ac:dyDescent="0.25">
      <c r="O546" s="67">
        <f ca="1"/>
        <v>202.21896091233185</v>
      </c>
      <c r="P546" s="67">
        <f ca="1"/>
        <v>203.41518251107229</v>
      </c>
    </row>
    <row r="547" spans="15:16" x14ac:dyDescent="0.25">
      <c r="O547" s="67">
        <f ca="1"/>
        <v>200.27831753845828</v>
      </c>
      <c r="P547" s="67">
        <f ca="1"/>
        <v>200.60818860602939</v>
      </c>
    </row>
    <row r="548" spans="15:16" x14ac:dyDescent="0.25">
      <c r="O548" s="67">
        <f ca="1"/>
        <v>203.27709765092573</v>
      </c>
      <c r="P548" s="67">
        <f ca="1"/>
        <v>202.83426127167743</v>
      </c>
    </row>
    <row r="549" spans="15:16" x14ac:dyDescent="0.25">
      <c r="O549" s="67">
        <f ca="1"/>
        <v>200.52769789070442</v>
      </c>
      <c r="P549" s="67">
        <f ca="1"/>
        <v>200.81012710539846</v>
      </c>
    </row>
    <row r="550" spans="15:16" x14ac:dyDescent="0.25">
      <c r="O550" s="67">
        <f ca="1"/>
        <v>201.34679976203009</v>
      </c>
      <c r="P550" s="67">
        <f ca="1"/>
        <v>202.40217221536619</v>
      </c>
    </row>
    <row r="551" spans="15:16" x14ac:dyDescent="0.25">
      <c r="O551" s="67">
        <f ca="1"/>
        <v>193.71757267643747</v>
      </c>
      <c r="P551" s="67">
        <f ca="1"/>
        <v>194.68468227754104</v>
      </c>
    </row>
    <row r="552" spans="15:16" x14ac:dyDescent="0.25">
      <c r="O552" s="67">
        <f ca="1"/>
        <v>199.44003178708209</v>
      </c>
      <c r="P552" s="67">
        <f ca="1"/>
        <v>201.62463828017133</v>
      </c>
    </row>
    <row r="553" spans="15:16" x14ac:dyDescent="0.25">
      <c r="O553" s="67">
        <f ca="1"/>
        <v>199.35002764697595</v>
      </c>
      <c r="P553" s="67">
        <f ca="1"/>
        <v>199.51388863804613</v>
      </c>
    </row>
    <row r="554" spans="15:16" x14ac:dyDescent="0.25">
      <c r="O554" s="67">
        <f ca="1"/>
        <v>194.46076760163325</v>
      </c>
      <c r="P554" s="67">
        <f ca="1"/>
        <v>193.05422867173311</v>
      </c>
    </row>
    <row r="555" spans="15:16" x14ac:dyDescent="0.25">
      <c r="O555" s="67">
        <f ca="1"/>
        <v>199.02196809622825</v>
      </c>
      <c r="P555" s="67">
        <f ca="1"/>
        <v>196.80705273160754</v>
      </c>
    </row>
    <row r="556" spans="15:16" x14ac:dyDescent="0.25">
      <c r="O556" s="67">
        <f ca="1"/>
        <v>203.5842458791808</v>
      </c>
      <c r="P556" s="67">
        <f ca="1"/>
        <v>204.66974398321878</v>
      </c>
    </row>
    <row r="557" spans="15:16" x14ac:dyDescent="0.25">
      <c r="O557" s="67">
        <f ca="1"/>
        <v>201.59163998733439</v>
      </c>
      <c r="P557" s="67">
        <f ca="1"/>
        <v>203.11626810961673</v>
      </c>
    </row>
    <row r="558" spans="15:16" x14ac:dyDescent="0.25">
      <c r="O558" s="67">
        <f ca="1"/>
        <v>200.16904212643482</v>
      </c>
      <c r="P558" s="67">
        <f ca="1"/>
        <v>199.33053163929475</v>
      </c>
    </row>
    <row r="559" spans="15:16" x14ac:dyDescent="0.25">
      <c r="O559" s="67">
        <f ca="1"/>
        <v>197.17513487950549</v>
      </c>
      <c r="P559" s="67">
        <f ca="1"/>
        <v>197.32765410254092</v>
      </c>
    </row>
    <row r="560" spans="15:16" x14ac:dyDescent="0.25">
      <c r="O560" s="67">
        <f ca="1"/>
        <v>199.45077150157326</v>
      </c>
      <c r="P560" s="67">
        <f ca="1"/>
        <v>200.80452460522045</v>
      </c>
    </row>
    <row r="561" spans="15:16" x14ac:dyDescent="0.25">
      <c r="O561" s="67">
        <f ca="1"/>
        <v>196.44456926488292</v>
      </c>
      <c r="P561" s="67">
        <f ca="1"/>
        <v>195.36539533842438</v>
      </c>
    </row>
    <row r="562" spans="15:16" x14ac:dyDescent="0.25">
      <c r="O562" s="67">
        <f ca="1"/>
        <v>199.55348690269673</v>
      </c>
      <c r="P562" s="67">
        <f ca="1"/>
        <v>199.8677950989628</v>
      </c>
    </row>
    <row r="563" spans="15:16" x14ac:dyDescent="0.25">
      <c r="O563" s="67">
        <f ca="1"/>
        <v>203.33100085518086</v>
      </c>
      <c r="P563" s="67">
        <f ca="1"/>
        <v>202.28898338051582</v>
      </c>
    </row>
    <row r="564" spans="15:16" x14ac:dyDescent="0.25">
      <c r="O564" s="67">
        <f ca="1"/>
        <v>202.86417122732749</v>
      </c>
      <c r="P564" s="67">
        <f ca="1"/>
        <v>203.03627581306282</v>
      </c>
    </row>
    <row r="565" spans="15:16" x14ac:dyDescent="0.25">
      <c r="O565" s="67">
        <f ca="1"/>
        <v>201.99968445448297</v>
      </c>
      <c r="P565" s="67">
        <f ca="1"/>
        <v>201.99415910822128</v>
      </c>
    </row>
    <row r="566" spans="15:16" x14ac:dyDescent="0.25">
      <c r="O566" s="67">
        <f ca="1"/>
        <v>197.79702736697487</v>
      </c>
      <c r="P566" s="67">
        <f ca="1"/>
        <v>197.81435275096226</v>
      </c>
    </row>
    <row r="567" spans="15:16" x14ac:dyDescent="0.25">
      <c r="O567" s="67">
        <f ca="1"/>
        <v>200.72587876363542</v>
      </c>
      <c r="P567" s="67">
        <f ca="1"/>
        <v>200.38184272784804</v>
      </c>
    </row>
    <row r="568" spans="15:16" x14ac:dyDescent="0.25">
      <c r="O568" s="67">
        <f ca="1"/>
        <v>196.70094415495791</v>
      </c>
      <c r="P568" s="67">
        <f ca="1"/>
        <v>198.78310092131602</v>
      </c>
    </row>
    <row r="569" spans="15:16" x14ac:dyDescent="0.25">
      <c r="O569" s="67">
        <f ca="1"/>
        <v>200.2789815834777</v>
      </c>
      <c r="P569" s="67">
        <f ca="1"/>
        <v>200.4300289017624</v>
      </c>
    </row>
    <row r="570" spans="15:16" x14ac:dyDescent="0.25">
      <c r="O570" s="67">
        <f ca="1"/>
        <v>192.75603660001096</v>
      </c>
      <c r="P570" s="67">
        <f ca="1"/>
        <v>192.19771186362144</v>
      </c>
    </row>
    <row r="571" spans="15:16" x14ac:dyDescent="0.25">
      <c r="O571" s="67">
        <f ca="1"/>
        <v>192.87201362876519</v>
      </c>
      <c r="P571" s="67">
        <f ca="1"/>
        <v>192.07125190638456</v>
      </c>
    </row>
    <row r="572" spans="15:16" x14ac:dyDescent="0.25">
      <c r="O572" s="67">
        <f ca="1"/>
        <v>199.084715739903</v>
      </c>
      <c r="P572" s="67">
        <f ca="1"/>
        <v>198.30039102662192</v>
      </c>
    </row>
    <row r="573" spans="15:16" x14ac:dyDescent="0.25">
      <c r="O573" s="67">
        <f ca="1"/>
        <v>202.23660981423743</v>
      </c>
      <c r="P573" s="67">
        <f ca="1"/>
        <v>203.5037839047165</v>
      </c>
    </row>
    <row r="574" spans="15:16" x14ac:dyDescent="0.25">
      <c r="O574" s="67">
        <f ca="1"/>
        <v>199.23425737323717</v>
      </c>
      <c r="P574" s="67">
        <f ca="1"/>
        <v>198.94952121010678</v>
      </c>
    </row>
    <row r="575" spans="15:16" x14ac:dyDescent="0.25">
      <c r="O575" s="67">
        <f ca="1"/>
        <v>207.35196657010044</v>
      </c>
      <c r="P575" s="67">
        <f ca="1"/>
        <v>206.60803261609936</v>
      </c>
    </row>
    <row r="576" spans="15:16" x14ac:dyDescent="0.25">
      <c r="O576" s="67">
        <f ca="1"/>
        <v>196.89585106602212</v>
      </c>
      <c r="P576" s="67">
        <f ca="1"/>
        <v>198.12451239620933</v>
      </c>
    </row>
    <row r="577" spans="15:16" x14ac:dyDescent="0.25">
      <c r="O577" s="67">
        <f ca="1"/>
        <v>195.89666311960511</v>
      </c>
      <c r="P577" s="67">
        <f ca="1"/>
        <v>197.73277278127972</v>
      </c>
    </row>
    <row r="578" spans="15:16" x14ac:dyDescent="0.25">
      <c r="O578" s="67">
        <f ca="1"/>
        <v>201.3539031270731</v>
      </c>
      <c r="P578" s="67">
        <f ca="1"/>
        <v>201.00318896575902</v>
      </c>
    </row>
    <row r="579" spans="15:16" x14ac:dyDescent="0.25">
      <c r="O579" s="67">
        <f ca="1"/>
        <v>199.38198098014817</v>
      </c>
      <c r="P579" s="67">
        <f ca="1"/>
        <v>197.15256257457494</v>
      </c>
    </row>
    <row r="580" spans="15:16" x14ac:dyDescent="0.25">
      <c r="O580" s="67">
        <f ca="1"/>
        <v>202.37512046459878</v>
      </c>
      <c r="P580" s="67">
        <f ca="1"/>
        <v>203.09482811424084</v>
      </c>
    </row>
    <row r="581" spans="15:16" x14ac:dyDescent="0.25">
      <c r="O581" s="67">
        <f ca="1"/>
        <v>196.15043724252567</v>
      </c>
      <c r="P581" s="67">
        <f ca="1"/>
        <v>198.07425190626805</v>
      </c>
    </row>
    <row r="582" spans="15:16" x14ac:dyDescent="0.25">
      <c r="O582" s="67">
        <f ca="1"/>
        <v>199.87535204318641</v>
      </c>
      <c r="P582" s="67">
        <f ca="1"/>
        <v>199.90886120594774</v>
      </c>
    </row>
    <row r="583" spans="15:16" x14ac:dyDescent="0.25">
      <c r="O583" s="67">
        <f ca="1"/>
        <v>197.80319150021816</v>
      </c>
      <c r="P583" s="67">
        <f ca="1"/>
        <v>200.0041012146545</v>
      </c>
    </row>
    <row r="584" spans="15:16" x14ac:dyDescent="0.25">
      <c r="O584" s="67">
        <f ca="1"/>
        <v>200.32589494352547</v>
      </c>
      <c r="P584" s="67">
        <f ca="1"/>
        <v>200.03347575422447</v>
      </c>
    </row>
    <row r="585" spans="15:16" x14ac:dyDescent="0.25">
      <c r="O585" s="67">
        <f ca="1"/>
        <v>199.43419435841585</v>
      </c>
      <c r="P585" s="67">
        <f ca="1"/>
        <v>198.43827561305275</v>
      </c>
    </row>
    <row r="586" spans="15:16" x14ac:dyDescent="0.25">
      <c r="O586" s="67">
        <f ca="1"/>
        <v>202.17329839159919</v>
      </c>
      <c r="P586" s="67">
        <f ca="1"/>
        <v>201.69584354366049</v>
      </c>
    </row>
    <row r="587" spans="15:16" x14ac:dyDescent="0.25">
      <c r="O587" s="67">
        <f ca="1"/>
        <v>197.77761451031938</v>
      </c>
      <c r="P587" s="67">
        <f ca="1"/>
        <v>198.09459839191459</v>
      </c>
    </row>
    <row r="588" spans="15:16" x14ac:dyDescent="0.25">
      <c r="O588" s="67">
        <f ca="1"/>
        <v>199.64616181566785</v>
      </c>
      <c r="P588" s="67">
        <f ca="1"/>
        <v>199.679456794635</v>
      </c>
    </row>
    <row r="589" spans="15:16" x14ac:dyDescent="0.25">
      <c r="O589" s="67">
        <f ca="1"/>
        <v>202.15645033176514</v>
      </c>
      <c r="P589" s="67">
        <f ca="1"/>
        <v>201.73197771804774</v>
      </c>
    </row>
    <row r="590" spans="15:16" x14ac:dyDescent="0.25">
      <c r="O590" s="67">
        <f ca="1"/>
        <v>205.34334746037348</v>
      </c>
      <c r="P590" s="67">
        <f ca="1"/>
        <v>204.27563990817356</v>
      </c>
    </row>
    <row r="591" spans="15:16" x14ac:dyDescent="0.25">
      <c r="O591" s="67">
        <f ca="1"/>
        <v>195.93926875706617</v>
      </c>
      <c r="P591" s="67">
        <f ca="1"/>
        <v>197.40439489646366</v>
      </c>
    </row>
    <row r="592" spans="15:16" x14ac:dyDescent="0.25">
      <c r="O592" s="67">
        <f ca="1"/>
        <v>201.22800456681381</v>
      </c>
      <c r="P592" s="67">
        <f ca="1"/>
        <v>201.43719622780867</v>
      </c>
    </row>
    <row r="593" spans="15:16" x14ac:dyDescent="0.25">
      <c r="O593" s="67">
        <f ca="1"/>
        <v>198.47255715274156</v>
      </c>
      <c r="P593" s="67">
        <f ca="1"/>
        <v>197.55772867391374</v>
      </c>
    </row>
    <row r="594" spans="15:16" x14ac:dyDescent="0.25">
      <c r="O594" s="67">
        <f ca="1"/>
        <v>199.05294630041098</v>
      </c>
      <c r="P594" s="67">
        <f ca="1"/>
        <v>198.93813472270821</v>
      </c>
    </row>
    <row r="595" spans="15:16" x14ac:dyDescent="0.25">
      <c r="O595" s="67">
        <f ca="1"/>
        <v>196.69435289114975</v>
      </c>
      <c r="P595" s="67">
        <f ca="1"/>
        <v>197.43484459160422</v>
      </c>
    </row>
    <row r="596" spans="15:16" x14ac:dyDescent="0.25">
      <c r="O596" s="67">
        <f ca="1"/>
        <v>194.09731337886302</v>
      </c>
      <c r="P596" s="67">
        <f ca="1"/>
        <v>192.94467475514975</v>
      </c>
    </row>
    <row r="597" spans="15:16" x14ac:dyDescent="0.25">
      <c r="O597" s="67">
        <f ca="1"/>
        <v>197.708133064636</v>
      </c>
      <c r="P597" s="67">
        <f ca="1"/>
        <v>198.12315019911986</v>
      </c>
    </row>
    <row r="598" spans="15:16" x14ac:dyDescent="0.25">
      <c r="O598" s="67">
        <f ca="1"/>
        <v>201.48650233108657</v>
      </c>
      <c r="P598" s="67">
        <f ca="1"/>
        <v>201.41285468558249</v>
      </c>
    </row>
    <row r="599" spans="15:16" x14ac:dyDescent="0.25">
      <c r="O599" s="67">
        <f ca="1"/>
        <v>197.94661801844256</v>
      </c>
      <c r="P599" s="67">
        <f ca="1"/>
        <v>197.17140406000797</v>
      </c>
    </row>
    <row r="600" spans="15:16" x14ac:dyDescent="0.25">
      <c r="O600" s="67">
        <f ca="1"/>
        <v>199.56375904723251</v>
      </c>
      <c r="P600" s="67">
        <f ca="1"/>
        <v>200.80174489719002</v>
      </c>
    </row>
    <row r="601" spans="15:16" x14ac:dyDescent="0.25">
      <c r="O601" s="67">
        <f ca="1"/>
        <v>192.8579578290101</v>
      </c>
      <c r="P601" s="67">
        <f ca="1"/>
        <v>193.0526571772312</v>
      </c>
    </row>
    <row r="602" spans="15:16" x14ac:dyDescent="0.25">
      <c r="O602" s="67">
        <f ca="1"/>
        <v>196.13813433058655</v>
      </c>
      <c r="P602" s="67">
        <f ca="1"/>
        <v>196.31855648909706</v>
      </c>
    </row>
    <row r="603" spans="15:16" x14ac:dyDescent="0.25">
      <c r="O603" s="67">
        <f ca="1"/>
        <v>200.44407700148392</v>
      </c>
      <c r="P603" s="67">
        <f ca="1"/>
        <v>200.65654191368768</v>
      </c>
    </row>
    <row r="604" spans="15:16" x14ac:dyDescent="0.25">
      <c r="O604" s="67">
        <f ca="1"/>
        <v>195.43797746084357</v>
      </c>
      <c r="P604" s="67">
        <f ca="1"/>
        <v>196.46986258992575</v>
      </c>
    </row>
    <row r="605" spans="15:16" x14ac:dyDescent="0.25">
      <c r="O605" s="67">
        <f ca="1"/>
        <v>195.53907824734756</v>
      </c>
      <c r="P605" s="67">
        <f ca="1"/>
        <v>196.06032044013284</v>
      </c>
    </row>
    <row r="606" spans="15:16" x14ac:dyDescent="0.25">
      <c r="O606" s="67">
        <f ca="1"/>
        <v>202.63414251056548</v>
      </c>
      <c r="P606" s="67">
        <f ca="1"/>
        <v>202.05132458085879</v>
      </c>
    </row>
    <row r="607" spans="15:16" x14ac:dyDescent="0.25">
      <c r="O607" s="67">
        <f ca="1"/>
        <v>205.34376415249758</v>
      </c>
      <c r="P607" s="67">
        <f ca="1"/>
        <v>206.20295683906079</v>
      </c>
    </row>
    <row r="608" spans="15:16" x14ac:dyDescent="0.25">
      <c r="O608" s="67">
        <f ca="1"/>
        <v>198.32135656196792</v>
      </c>
      <c r="P608" s="67">
        <f ca="1"/>
        <v>198.72195745133092</v>
      </c>
    </row>
    <row r="609" spans="15:16" x14ac:dyDescent="0.25">
      <c r="O609" s="67">
        <f ca="1"/>
        <v>197.19421195630787</v>
      </c>
      <c r="P609" s="67">
        <f ca="1"/>
        <v>198.11858982816787</v>
      </c>
    </row>
    <row r="610" spans="15:16" x14ac:dyDescent="0.25">
      <c r="O610" s="67">
        <f ca="1"/>
        <v>204.72859594242323</v>
      </c>
      <c r="P610" s="67">
        <f ca="1"/>
        <v>204.09162348925852</v>
      </c>
    </row>
    <row r="611" spans="15:16" x14ac:dyDescent="0.25">
      <c r="O611" s="67">
        <f ca="1"/>
        <v>198.91910917616937</v>
      </c>
      <c r="P611" s="67">
        <f ca="1"/>
        <v>200.11562652957673</v>
      </c>
    </row>
    <row r="612" spans="15:16" x14ac:dyDescent="0.25">
      <c r="O612" s="67">
        <f ca="1"/>
        <v>193.6999486728142</v>
      </c>
      <c r="P612" s="67">
        <f ca="1"/>
        <v>192.97745751520199</v>
      </c>
    </row>
    <row r="613" spans="15:16" x14ac:dyDescent="0.25">
      <c r="O613" s="67">
        <f ca="1"/>
        <v>197.24005977338575</v>
      </c>
      <c r="P613" s="67">
        <f ca="1"/>
        <v>197.30461989519472</v>
      </c>
    </row>
    <row r="614" spans="15:16" x14ac:dyDescent="0.25">
      <c r="O614" s="67">
        <f ca="1"/>
        <v>197.77216578344962</v>
      </c>
      <c r="P614" s="67">
        <f ca="1"/>
        <v>198.95879433298489</v>
      </c>
    </row>
    <row r="615" spans="15:16" x14ac:dyDescent="0.25">
      <c r="O615" s="67">
        <f ca="1"/>
        <v>201.0154484296763</v>
      </c>
      <c r="P615" s="67">
        <f ca="1"/>
        <v>200.69423944283085</v>
      </c>
    </row>
    <row r="616" spans="15:16" x14ac:dyDescent="0.25">
      <c r="O616" s="67">
        <f ca="1"/>
        <v>201.09099343214712</v>
      </c>
      <c r="P616" s="67">
        <f ca="1"/>
        <v>201.66060628666446</v>
      </c>
    </row>
    <row r="617" spans="15:16" x14ac:dyDescent="0.25">
      <c r="O617" s="67">
        <f ca="1"/>
        <v>199.88388936135814</v>
      </c>
      <c r="P617" s="67">
        <f ca="1"/>
        <v>200.44692798706677</v>
      </c>
    </row>
    <row r="618" spans="15:16" x14ac:dyDescent="0.25">
      <c r="O618" s="67">
        <f ca="1"/>
        <v>201.82422012646467</v>
      </c>
      <c r="P618" s="67">
        <f ca="1"/>
        <v>201.41239976938633</v>
      </c>
    </row>
    <row r="619" spans="15:16" x14ac:dyDescent="0.25">
      <c r="O619" s="67">
        <f ca="1"/>
        <v>201.91747646703018</v>
      </c>
      <c r="P619" s="67">
        <f ca="1"/>
        <v>201.46002891445187</v>
      </c>
    </row>
    <row r="620" spans="15:16" x14ac:dyDescent="0.25">
      <c r="O620" s="67">
        <f ca="1"/>
        <v>199.33777755659253</v>
      </c>
      <c r="P620" s="67">
        <f ca="1"/>
        <v>199.08621774781707</v>
      </c>
    </row>
    <row r="621" spans="15:16" x14ac:dyDescent="0.25">
      <c r="O621" s="67">
        <f ca="1"/>
        <v>197.08660012797023</v>
      </c>
      <c r="P621" s="67">
        <f ca="1"/>
        <v>195.39843557057623</v>
      </c>
    </row>
    <row r="622" spans="15:16" x14ac:dyDescent="0.25">
      <c r="O622" s="67">
        <f ca="1"/>
        <v>205.17628768549486</v>
      </c>
      <c r="P622" s="67">
        <f ca="1"/>
        <v>206.18804945174145</v>
      </c>
    </row>
    <row r="623" spans="15:16" x14ac:dyDescent="0.25">
      <c r="O623" s="67">
        <f ca="1"/>
        <v>195.48298623364676</v>
      </c>
      <c r="P623" s="67">
        <f ca="1"/>
        <v>195.18193987519595</v>
      </c>
    </row>
    <row r="624" spans="15:16" x14ac:dyDescent="0.25">
      <c r="O624" s="67">
        <f ca="1"/>
        <v>199.18481320533854</v>
      </c>
      <c r="P624" s="67">
        <f ca="1"/>
        <v>199.36334512188722</v>
      </c>
    </row>
    <row r="625" spans="15:16" x14ac:dyDescent="0.25">
      <c r="O625" s="67">
        <f ca="1"/>
        <v>197.59032148470197</v>
      </c>
      <c r="P625" s="67">
        <f ca="1"/>
        <v>195.3990635628181</v>
      </c>
    </row>
    <row r="626" spans="15:16" x14ac:dyDescent="0.25">
      <c r="O626" s="67">
        <f ca="1"/>
        <v>204.72814334068218</v>
      </c>
      <c r="P626" s="67">
        <f ca="1"/>
        <v>206.2693880755362</v>
      </c>
    </row>
    <row r="627" spans="15:16" x14ac:dyDescent="0.25">
      <c r="O627" s="67">
        <f ca="1"/>
        <v>198.26146146491257</v>
      </c>
      <c r="P627" s="67">
        <f ca="1"/>
        <v>199.13768720185152</v>
      </c>
    </row>
    <row r="628" spans="15:16" x14ac:dyDescent="0.25">
      <c r="O628" s="67">
        <f ca="1"/>
        <v>196.12140993745737</v>
      </c>
      <c r="P628" s="67">
        <f ca="1"/>
        <v>194.62034339088316</v>
      </c>
    </row>
    <row r="629" spans="15:16" x14ac:dyDescent="0.25">
      <c r="O629" s="67">
        <f ca="1"/>
        <v>198.29732728871355</v>
      </c>
      <c r="P629" s="67">
        <f ca="1"/>
        <v>197.58173315683462</v>
      </c>
    </row>
    <row r="630" spans="15:16" x14ac:dyDescent="0.25">
      <c r="O630" s="67">
        <f ca="1"/>
        <v>200.99352522076518</v>
      </c>
      <c r="P630" s="67">
        <f ca="1"/>
        <v>202.03853274496393</v>
      </c>
    </row>
    <row r="631" spans="15:16" x14ac:dyDescent="0.25">
      <c r="O631" s="67">
        <f ca="1"/>
        <v>193.65476119281911</v>
      </c>
      <c r="P631" s="67">
        <f ca="1"/>
        <v>192.23943645656939</v>
      </c>
    </row>
    <row r="632" spans="15:16" x14ac:dyDescent="0.25">
      <c r="O632" s="67">
        <f ca="1"/>
        <v>193.97587684839436</v>
      </c>
      <c r="P632" s="67">
        <f ca="1"/>
        <v>193.4726611484395</v>
      </c>
    </row>
    <row r="633" spans="15:16" x14ac:dyDescent="0.25">
      <c r="O633" s="67">
        <f ca="1"/>
        <v>196.72651811877654</v>
      </c>
      <c r="P633" s="67">
        <f ca="1"/>
        <v>195.58617072463881</v>
      </c>
    </row>
    <row r="634" spans="15:16" x14ac:dyDescent="0.25">
      <c r="O634" s="67">
        <f ca="1"/>
        <v>195.25331309100244</v>
      </c>
      <c r="P634" s="67">
        <f ca="1"/>
        <v>196.63488001486465</v>
      </c>
    </row>
    <row r="635" spans="15:16" x14ac:dyDescent="0.25">
      <c r="O635" s="67">
        <f ca="1"/>
        <v>198.23033070669842</v>
      </c>
      <c r="P635" s="67">
        <f ca="1"/>
        <v>199.21648976531895</v>
      </c>
    </row>
    <row r="636" spans="15:16" x14ac:dyDescent="0.25">
      <c r="O636" s="67">
        <f ca="1"/>
        <v>202.0938159529434</v>
      </c>
      <c r="P636" s="67">
        <f ca="1"/>
        <v>201.95988710822832</v>
      </c>
    </row>
    <row r="637" spans="15:16" x14ac:dyDescent="0.25">
      <c r="O637" s="67">
        <f ca="1"/>
        <v>199.33785784745027</v>
      </c>
      <c r="P637" s="67">
        <f ca="1"/>
        <v>198.67122685619145</v>
      </c>
    </row>
    <row r="638" spans="15:16" x14ac:dyDescent="0.25">
      <c r="O638" s="67">
        <f ca="1"/>
        <v>201.25140903349407</v>
      </c>
      <c r="P638" s="67">
        <f ca="1"/>
        <v>201.26659323823452</v>
      </c>
    </row>
    <row r="639" spans="15:16" x14ac:dyDescent="0.25">
      <c r="O639" s="67">
        <f ca="1"/>
        <v>201.29556431167953</v>
      </c>
      <c r="P639" s="67">
        <f ca="1"/>
        <v>201.9912731083939</v>
      </c>
    </row>
    <row r="640" spans="15:16" x14ac:dyDescent="0.25">
      <c r="O640" s="67">
        <f ca="1"/>
        <v>201.97150419471541</v>
      </c>
      <c r="P640" s="67">
        <f ca="1"/>
        <v>204.53925344529998</v>
      </c>
    </row>
    <row r="641" spans="15:16" x14ac:dyDescent="0.25">
      <c r="O641" s="67">
        <f ca="1"/>
        <v>202.3367535737847</v>
      </c>
      <c r="P641" s="67">
        <f ca="1"/>
        <v>200.30559328144696</v>
      </c>
    </row>
    <row r="642" spans="15:16" x14ac:dyDescent="0.25">
      <c r="O642" s="67">
        <f ca="1"/>
        <v>198.10969928196474</v>
      </c>
      <c r="P642" s="67">
        <f ca="1"/>
        <v>198.54883350354294</v>
      </c>
    </row>
    <row r="643" spans="15:16" x14ac:dyDescent="0.25">
      <c r="O643" s="67">
        <f ca="1"/>
        <v>202.64001164438619</v>
      </c>
      <c r="P643" s="67">
        <f ca="1"/>
        <v>204.0459550724228</v>
      </c>
    </row>
    <row r="644" spans="15:16" x14ac:dyDescent="0.25">
      <c r="O644" s="67">
        <f ca="1"/>
        <v>204.68317128439153</v>
      </c>
      <c r="P644" s="67">
        <f ca="1"/>
        <v>204.92963990048597</v>
      </c>
    </row>
    <row r="645" spans="15:16" x14ac:dyDescent="0.25">
      <c r="O645" s="67">
        <f ca="1"/>
        <v>199.6234374675972</v>
      </c>
      <c r="P645" s="67">
        <f ca="1"/>
        <v>199.8945309117793</v>
      </c>
    </row>
    <row r="646" spans="15:16" x14ac:dyDescent="0.25">
      <c r="O646" s="67">
        <f ca="1"/>
        <v>195.57988249520469</v>
      </c>
      <c r="P646" s="67">
        <f ca="1"/>
        <v>195.63199425035481</v>
      </c>
    </row>
    <row r="647" spans="15:16" x14ac:dyDescent="0.25">
      <c r="O647" s="67">
        <f ca="1"/>
        <v>198.44907142422409</v>
      </c>
      <c r="P647" s="67">
        <f ca="1"/>
        <v>197.60762597120853</v>
      </c>
    </row>
    <row r="648" spans="15:16" x14ac:dyDescent="0.25">
      <c r="O648" s="67">
        <f ca="1"/>
        <v>202.36333379544936</v>
      </c>
      <c r="P648" s="67">
        <f ca="1"/>
        <v>202.3927967104369</v>
      </c>
    </row>
    <row r="649" spans="15:16" x14ac:dyDescent="0.25">
      <c r="O649" s="67">
        <f ca="1"/>
        <v>203.32201825985999</v>
      </c>
      <c r="P649" s="67">
        <f ca="1"/>
        <v>204.35198632163815</v>
      </c>
    </row>
    <row r="650" spans="15:16" x14ac:dyDescent="0.25">
      <c r="O650" s="67">
        <f ca="1"/>
        <v>191.71746048658338</v>
      </c>
      <c r="P650" s="67">
        <f ca="1"/>
        <v>191.45697059229104</v>
      </c>
    </row>
    <row r="651" spans="15:16" x14ac:dyDescent="0.25">
      <c r="O651" s="67">
        <f ca="1"/>
        <v>192.86570141965061</v>
      </c>
      <c r="P651" s="67">
        <f ca="1"/>
        <v>192.1156266515022</v>
      </c>
    </row>
    <row r="652" spans="15:16" x14ac:dyDescent="0.25">
      <c r="O652" s="67">
        <f ca="1"/>
        <v>201.48509746452734</v>
      </c>
      <c r="P652" s="67">
        <f ca="1"/>
        <v>200.67906035708228</v>
      </c>
    </row>
    <row r="653" spans="15:16" x14ac:dyDescent="0.25">
      <c r="O653" s="67">
        <f ca="1"/>
        <v>205.70551016474602</v>
      </c>
      <c r="P653" s="67">
        <f ca="1"/>
        <v>205.31420004815587</v>
      </c>
    </row>
    <row r="654" spans="15:16" x14ac:dyDescent="0.25">
      <c r="O654" s="67">
        <f ca="1"/>
        <v>198.37418886077771</v>
      </c>
      <c r="P654" s="67">
        <f ca="1"/>
        <v>199.93361035809062</v>
      </c>
    </row>
    <row r="655" spans="15:16" x14ac:dyDescent="0.25">
      <c r="O655" s="67">
        <f ca="1"/>
        <v>204.51019845344405</v>
      </c>
      <c r="P655" s="67">
        <f ca="1"/>
        <v>203.49343660367009</v>
      </c>
    </row>
    <row r="656" spans="15:16" x14ac:dyDescent="0.25">
      <c r="O656" s="67">
        <f ca="1"/>
        <v>200.68485560942199</v>
      </c>
      <c r="P656" s="67">
        <f ca="1"/>
        <v>201.59995104021633</v>
      </c>
    </row>
    <row r="657" spans="15:16" x14ac:dyDescent="0.25">
      <c r="O657" s="67">
        <f ca="1"/>
        <v>199.41666779698284</v>
      </c>
      <c r="P657" s="67">
        <f ca="1"/>
        <v>199.12593322683827</v>
      </c>
    </row>
    <row r="658" spans="15:16" x14ac:dyDescent="0.25">
      <c r="O658" s="67">
        <f ca="1"/>
        <v>204.74975378785518</v>
      </c>
      <c r="P658" s="67">
        <f ca="1"/>
        <v>204.05125116635523</v>
      </c>
    </row>
    <row r="659" spans="15:16" x14ac:dyDescent="0.25">
      <c r="O659" s="67">
        <f ca="1"/>
        <v>202.67377206246599</v>
      </c>
      <c r="P659" s="67">
        <f ca="1"/>
        <v>202.143239532953</v>
      </c>
    </row>
    <row r="660" spans="15:16" x14ac:dyDescent="0.25">
      <c r="O660" s="67">
        <f ca="1"/>
        <v>197.79358813092523</v>
      </c>
      <c r="P660" s="67">
        <f ca="1"/>
        <v>198.72893543062125</v>
      </c>
    </row>
    <row r="661" spans="15:16" x14ac:dyDescent="0.25">
      <c r="O661" s="67">
        <f ca="1"/>
        <v>203.54789743764883</v>
      </c>
      <c r="P661" s="67">
        <f ca="1"/>
        <v>203.18299546869255</v>
      </c>
    </row>
    <row r="662" spans="15:16" x14ac:dyDescent="0.25">
      <c r="O662" s="67">
        <f ca="1"/>
        <v>203.49578763771819</v>
      </c>
      <c r="P662" s="67">
        <f ca="1"/>
        <v>202.03920461488886</v>
      </c>
    </row>
    <row r="663" spans="15:16" x14ac:dyDescent="0.25">
      <c r="O663" s="67">
        <f ca="1"/>
        <v>202.03788581016522</v>
      </c>
      <c r="P663" s="67">
        <f ca="1"/>
        <v>203.71112553582827</v>
      </c>
    </row>
    <row r="664" spans="15:16" x14ac:dyDescent="0.25">
      <c r="O664" s="67">
        <f ca="1"/>
        <v>205.2387938755985</v>
      </c>
      <c r="P664" s="67">
        <f ca="1"/>
        <v>205.26089453668098</v>
      </c>
    </row>
    <row r="665" spans="15:16" x14ac:dyDescent="0.25">
      <c r="O665" s="67">
        <f ca="1"/>
        <v>192.77341848542059</v>
      </c>
      <c r="P665" s="67">
        <f ca="1"/>
        <v>192.28311741054557</v>
      </c>
    </row>
    <row r="666" spans="15:16" x14ac:dyDescent="0.25">
      <c r="O666" s="67">
        <f ca="1"/>
        <v>198.09362086430974</v>
      </c>
      <c r="P666" s="67">
        <f ca="1"/>
        <v>198.15347348431743</v>
      </c>
    </row>
    <row r="667" spans="15:16" x14ac:dyDescent="0.25">
      <c r="O667" s="67">
        <f ca="1"/>
        <v>198.89132236561974</v>
      </c>
      <c r="P667" s="67">
        <f ca="1"/>
        <v>199.45912466611759</v>
      </c>
    </row>
    <row r="668" spans="15:16" x14ac:dyDescent="0.25">
      <c r="O668" s="67">
        <f ca="1"/>
        <v>205.33177804736093</v>
      </c>
      <c r="P668" s="67">
        <f ca="1"/>
        <v>205.48827682087469</v>
      </c>
    </row>
    <row r="669" spans="15:16" x14ac:dyDescent="0.25">
      <c r="O669" s="67">
        <f ca="1"/>
        <v>204.20093006656546</v>
      </c>
      <c r="P669" s="67">
        <f ca="1"/>
        <v>203.96559803109645</v>
      </c>
    </row>
    <row r="670" spans="15:16" x14ac:dyDescent="0.25">
      <c r="O670" s="67">
        <f ca="1"/>
        <v>190.15482579930483</v>
      </c>
      <c r="P670" s="67">
        <f ca="1"/>
        <v>190.10550269194445</v>
      </c>
    </row>
    <row r="671" spans="15:16" x14ac:dyDescent="0.25">
      <c r="O671" s="67">
        <f ca="1"/>
        <v>198.68736268135245</v>
      </c>
      <c r="P671" s="67">
        <f ca="1"/>
        <v>197.99036183621905</v>
      </c>
    </row>
    <row r="672" spans="15:16" x14ac:dyDescent="0.25">
      <c r="O672" s="67">
        <f ca="1"/>
        <v>199.00738505887463</v>
      </c>
      <c r="P672" s="67">
        <f ca="1"/>
        <v>198.70697222167826</v>
      </c>
    </row>
    <row r="673" spans="15:16" x14ac:dyDescent="0.25">
      <c r="O673" s="67">
        <f ca="1"/>
        <v>200.13541420877834</v>
      </c>
      <c r="P673" s="67">
        <f ca="1"/>
        <v>200.93667593470803</v>
      </c>
    </row>
    <row r="674" spans="15:16" x14ac:dyDescent="0.25">
      <c r="O674" s="67">
        <f ca="1"/>
        <v>198.5966298906834</v>
      </c>
      <c r="P674" s="67">
        <f ca="1"/>
        <v>197.91435087459263</v>
      </c>
    </row>
    <row r="675" spans="15:16" x14ac:dyDescent="0.25">
      <c r="O675" s="67">
        <f ca="1"/>
        <v>199.35789323568406</v>
      </c>
      <c r="P675" s="67">
        <f ca="1"/>
        <v>201.52528326382088</v>
      </c>
    </row>
    <row r="676" spans="15:16" x14ac:dyDescent="0.25">
      <c r="O676" s="67">
        <f ca="1"/>
        <v>200.99739107901584</v>
      </c>
      <c r="P676" s="67">
        <f ca="1"/>
        <v>200.24334681091227</v>
      </c>
    </row>
    <row r="677" spans="15:16" x14ac:dyDescent="0.25">
      <c r="O677" s="67">
        <f ca="1"/>
        <v>195.27973097251902</v>
      </c>
      <c r="P677" s="67">
        <f ca="1"/>
        <v>195.02210192603425</v>
      </c>
    </row>
    <row r="678" spans="15:16" x14ac:dyDescent="0.25">
      <c r="O678" s="67">
        <f ca="1"/>
        <v>202.31747628356788</v>
      </c>
      <c r="P678" s="67">
        <f ca="1"/>
        <v>201.45376926612266</v>
      </c>
    </row>
    <row r="679" spans="15:16" x14ac:dyDescent="0.25">
      <c r="O679" s="67">
        <f ca="1"/>
        <v>204.70315757001168</v>
      </c>
      <c r="P679" s="67">
        <f ca="1"/>
        <v>205.17607967255765</v>
      </c>
    </row>
    <row r="680" spans="15:16" x14ac:dyDescent="0.25">
      <c r="O680" s="67">
        <f ca="1"/>
        <v>197.13007687621081</v>
      </c>
      <c r="P680" s="67">
        <f ca="1"/>
        <v>195.90466554381348</v>
      </c>
    </row>
    <row r="681" spans="15:16" x14ac:dyDescent="0.25">
      <c r="O681" s="67">
        <f ca="1"/>
        <v>199.28930939679725</v>
      </c>
      <c r="P681" s="67">
        <f ca="1"/>
        <v>199.45548663102122</v>
      </c>
    </row>
    <row r="682" spans="15:16" x14ac:dyDescent="0.25">
      <c r="O682" s="67">
        <f ca="1"/>
        <v>201.0881564464531</v>
      </c>
      <c r="P682" s="67">
        <f ca="1"/>
        <v>201.28420838901658</v>
      </c>
    </row>
    <row r="683" spans="15:16" x14ac:dyDescent="0.25">
      <c r="O683" s="67">
        <f ca="1"/>
        <v>200.71465559499981</v>
      </c>
      <c r="P683" s="67">
        <f ca="1"/>
        <v>199.6426966649762</v>
      </c>
    </row>
    <row r="684" spans="15:16" x14ac:dyDescent="0.25">
      <c r="O684" s="67">
        <f ca="1"/>
        <v>198.73453376058117</v>
      </c>
      <c r="P684" s="67">
        <f ca="1"/>
        <v>198.5513883261641</v>
      </c>
    </row>
    <row r="685" spans="15:16" x14ac:dyDescent="0.25">
      <c r="O685" s="67">
        <f ca="1"/>
        <v>201.52660035372057</v>
      </c>
      <c r="P685" s="67">
        <f ca="1"/>
        <v>201.52621754127441</v>
      </c>
    </row>
    <row r="686" spans="15:16" x14ac:dyDescent="0.25">
      <c r="O686" s="67">
        <f ca="1"/>
        <v>198.13665007960864</v>
      </c>
      <c r="P686" s="67">
        <f ca="1"/>
        <v>199.19860458850133</v>
      </c>
    </row>
    <row r="687" spans="15:16" x14ac:dyDescent="0.25">
      <c r="O687" s="67">
        <f ca="1"/>
        <v>197.61637324977093</v>
      </c>
      <c r="P687" s="67">
        <f ca="1"/>
        <v>196.34190607943506</v>
      </c>
    </row>
    <row r="688" spans="15:16" x14ac:dyDescent="0.25">
      <c r="O688" s="67">
        <f ca="1"/>
        <v>205.47093838857569</v>
      </c>
      <c r="P688" s="67">
        <f ca="1"/>
        <v>205.61959269571517</v>
      </c>
    </row>
    <row r="689" spans="15:16" x14ac:dyDescent="0.25">
      <c r="O689" s="67">
        <f ca="1"/>
        <v>195.0089105463866</v>
      </c>
      <c r="P689" s="67">
        <f ca="1"/>
        <v>194.00438767541615</v>
      </c>
    </row>
    <row r="690" spans="15:16" x14ac:dyDescent="0.25">
      <c r="O690" s="67">
        <f ca="1"/>
        <v>195.07673565586791</v>
      </c>
      <c r="P690" s="67">
        <f ca="1"/>
        <v>196.11853453312824</v>
      </c>
    </row>
    <row r="691" spans="15:16" x14ac:dyDescent="0.25">
      <c r="O691" s="67">
        <f ca="1"/>
        <v>204.3703074939269</v>
      </c>
      <c r="P691" s="67">
        <f ca="1"/>
        <v>202.84960396057451</v>
      </c>
    </row>
    <row r="692" spans="15:16" x14ac:dyDescent="0.25">
      <c r="O692" s="67">
        <f ca="1"/>
        <v>203.00852784494933</v>
      </c>
      <c r="P692" s="67">
        <f ca="1"/>
        <v>203.17012609782708</v>
      </c>
    </row>
    <row r="693" spans="15:16" x14ac:dyDescent="0.25">
      <c r="O693" s="67">
        <f ca="1"/>
        <v>197.21504468290635</v>
      </c>
      <c r="P693" s="67">
        <f ca="1"/>
        <v>196.71010220425762</v>
      </c>
    </row>
    <row r="694" spans="15:16" x14ac:dyDescent="0.25">
      <c r="O694" s="67">
        <f ca="1"/>
        <v>207.34147261940021</v>
      </c>
      <c r="P694" s="67">
        <f ca="1"/>
        <v>205.7803784321402</v>
      </c>
    </row>
    <row r="695" spans="15:16" x14ac:dyDescent="0.25">
      <c r="O695" s="67">
        <f ca="1"/>
        <v>200.73422438815604</v>
      </c>
      <c r="P695" s="67">
        <f ca="1"/>
        <v>200.49073865983948</v>
      </c>
    </row>
    <row r="696" spans="15:16" x14ac:dyDescent="0.25">
      <c r="O696" s="67">
        <f ca="1"/>
        <v>205.30402400803908</v>
      </c>
      <c r="P696" s="67">
        <f ca="1"/>
        <v>207.53096722804483</v>
      </c>
    </row>
    <row r="697" spans="15:16" x14ac:dyDescent="0.25">
      <c r="O697" s="67">
        <f ca="1"/>
        <v>197.40461089262988</v>
      </c>
      <c r="P697" s="67">
        <f ca="1"/>
        <v>196.90198790971124</v>
      </c>
    </row>
    <row r="698" spans="15:16" x14ac:dyDescent="0.25">
      <c r="O698" s="67">
        <f ca="1"/>
        <v>206.04975314552752</v>
      </c>
      <c r="P698" s="67">
        <f ca="1"/>
        <v>205.4594732623641</v>
      </c>
    </row>
    <row r="699" spans="15:16" x14ac:dyDescent="0.25">
      <c r="O699" s="67">
        <f ca="1"/>
        <v>199.28098905735231</v>
      </c>
      <c r="P699" s="67">
        <f ca="1"/>
        <v>200.51336453862228</v>
      </c>
    </row>
    <row r="700" spans="15:16" x14ac:dyDescent="0.25">
      <c r="O700" s="67">
        <f ca="1"/>
        <v>196.77723590619709</v>
      </c>
      <c r="P700" s="67">
        <f ca="1"/>
        <v>197.60642538335426</v>
      </c>
    </row>
    <row r="701" spans="15:16" x14ac:dyDescent="0.25">
      <c r="O701" s="67">
        <f ca="1"/>
        <v>200.50285131696751</v>
      </c>
      <c r="P701" s="67">
        <f ca="1"/>
        <v>200.94166152718282</v>
      </c>
    </row>
    <row r="702" spans="15:16" x14ac:dyDescent="0.25">
      <c r="O702" s="67">
        <f ca="1"/>
        <v>197.18764146599042</v>
      </c>
      <c r="P702" s="67">
        <f ca="1"/>
        <v>195.90338745130768</v>
      </c>
    </row>
    <row r="703" spans="15:16" x14ac:dyDescent="0.25">
      <c r="O703" s="67">
        <f ca="1"/>
        <v>197.84380939551573</v>
      </c>
      <c r="P703" s="67">
        <f ca="1"/>
        <v>198.46366920597686</v>
      </c>
    </row>
    <row r="704" spans="15:16" x14ac:dyDescent="0.25">
      <c r="O704" s="67">
        <f ca="1"/>
        <v>199.36374898389104</v>
      </c>
      <c r="P704" s="67">
        <f ca="1"/>
        <v>198.42529263916191</v>
      </c>
    </row>
    <row r="705" spans="15:16" x14ac:dyDescent="0.25">
      <c r="O705" s="67">
        <f ca="1"/>
        <v>198.73052740642677</v>
      </c>
      <c r="P705" s="67">
        <f ca="1"/>
        <v>199.23526103349357</v>
      </c>
    </row>
    <row r="706" spans="15:16" x14ac:dyDescent="0.25">
      <c r="O706" s="67">
        <f ca="1"/>
        <v>198.20238325888903</v>
      </c>
      <c r="P706" s="67">
        <f ca="1"/>
        <v>195.80761122584477</v>
      </c>
    </row>
    <row r="707" spans="15:16" x14ac:dyDescent="0.25">
      <c r="O707" s="67">
        <f ca="1"/>
        <v>199.05691961256585</v>
      </c>
      <c r="P707" s="67">
        <f ca="1"/>
        <v>200.4049596865016</v>
      </c>
    </row>
    <row r="708" spans="15:16" x14ac:dyDescent="0.25">
      <c r="O708" s="67">
        <f ca="1"/>
        <v>203.73816124086585</v>
      </c>
      <c r="P708" s="67">
        <f ca="1"/>
        <v>203.89568519481293</v>
      </c>
    </row>
    <row r="709" spans="15:16" x14ac:dyDescent="0.25">
      <c r="O709" s="67">
        <f ca="1"/>
        <v>202.28994281943255</v>
      </c>
      <c r="P709" s="67">
        <f ca="1"/>
        <v>201.44792877434827</v>
      </c>
    </row>
    <row r="710" spans="15:16" x14ac:dyDescent="0.25">
      <c r="O710" s="67">
        <f ca="1"/>
        <v>198.66673493229871</v>
      </c>
      <c r="P710" s="67">
        <f ca="1"/>
        <v>198.56936394718016</v>
      </c>
    </row>
    <row r="711" spans="15:16" x14ac:dyDescent="0.25">
      <c r="O711" s="67">
        <f ca="1"/>
        <v>208.85467064217875</v>
      </c>
      <c r="P711" s="67">
        <f ca="1"/>
        <v>209.63315472305607</v>
      </c>
    </row>
    <row r="712" spans="15:16" x14ac:dyDescent="0.25">
      <c r="O712" s="67">
        <f ca="1"/>
        <v>195.44588789418654</v>
      </c>
      <c r="P712" s="67">
        <f ca="1"/>
        <v>195.74734400086825</v>
      </c>
    </row>
    <row r="713" spans="15:16" x14ac:dyDescent="0.25">
      <c r="O713" s="67">
        <f ca="1"/>
        <v>201.88847643162325</v>
      </c>
      <c r="P713" s="67">
        <f ca="1"/>
        <v>202.98467808150738</v>
      </c>
    </row>
    <row r="714" spans="15:16" x14ac:dyDescent="0.25">
      <c r="O714" s="67">
        <f ca="1"/>
        <v>199.89866963807444</v>
      </c>
      <c r="P714" s="67">
        <f ca="1"/>
        <v>198.75078941214136</v>
      </c>
    </row>
    <row r="715" spans="15:16" x14ac:dyDescent="0.25">
      <c r="O715" s="67">
        <f ca="1"/>
        <v>199.04776812345514</v>
      </c>
      <c r="P715" s="67">
        <f ca="1"/>
        <v>201.42461671359396</v>
      </c>
    </row>
    <row r="716" spans="15:16" x14ac:dyDescent="0.25">
      <c r="O716" s="67">
        <f ca="1"/>
        <v>199.67519726764951</v>
      </c>
      <c r="P716" s="67">
        <f ca="1"/>
        <v>200.27487507119008</v>
      </c>
    </row>
    <row r="717" spans="15:16" x14ac:dyDescent="0.25">
      <c r="O717" s="67">
        <f ca="1"/>
        <v>195.32368886938596</v>
      </c>
      <c r="P717" s="67">
        <f ca="1"/>
        <v>195.26875104794965</v>
      </c>
    </row>
    <row r="718" spans="15:16" x14ac:dyDescent="0.25">
      <c r="O718" s="67">
        <f ca="1"/>
        <v>202.28087897862807</v>
      </c>
      <c r="P718" s="67">
        <f ca="1"/>
        <v>201.43624653857776</v>
      </c>
    </row>
    <row r="719" spans="15:16" x14ac:dyDescent="0.25">
      <c r="O719" s="67">
        <f ca="1"/>
        <v>197.51230267980034</v>
      </c>
      <c r="P719" s="67">
        <f ca="1"/>
        <v>195.94557476662851</v>
      </c>
    </row>
    <row r="720" spans="15:16" x14ac:dyDescent="0.25">
      <c r="O720" s="67">
        <f ca="1"/>
        <v>201.45098253520447</v>
      </c>
      <c r="P720" s="67">
        <f ca="1"/>
        <v>202.37266887688983</v>
      </c>
    </row>
    <row r="721" spans="15:16" x14ac:dyDescent="0.25">
      <c r="O721" s="67">
        <f ca="1"/>
        <v>197.39004860322743</v>
      </c>
      <c r="P721" s="67">
        <f ca="1"/>
        <v>198.51495689554523</v>
      </c>
    </row>
    <row r="722" spans="15:16" x14ac:dyDescent="0.25">
      <c r="O722" s="67">
        <f ca="1"/>
        <v>202.1312906771193</v>
      </c>
      <c r="P722" s="67">
        <f ca="1"/>
        <v>202.83662557272581</v>
      </c>
    </row>
    <row r="723" spans="15:16" x14ac:dyDescent="0.25">
      <c r="O723" s="67">
        <f ca="1"/>
        <v>196.56920758878505</v>
      </c>
      <c r="P723" s="67">
        <f ca="1"/>
        <v>197.50042323785334</v>
      </c>
    </row>
    <row r="724" spans="15:16" x14ac:dyDescent="0.25">
      <c r="O724" s="67">
        <f ca="1"/>
        <v>203.16096214851254</v>
      </c>
      <c r="P724" s="67">
        <f ca="1"/>
        <v>201.84080835888543</v>
      </c>
    </row>
    <row r="725" spans="15:16" x14ac:dyDescent="0.25">
      <c r="O725" s="67">
        <f ca="1"/>
        <v>207.0927672678651</v>
      </c>
      <c r="P725" s="67">
        <f ca="1"/>
        <v>206.52002032136306</v>
      </c>
    </row>
    <row r="726" spans="15:16" x14ac:dyDescent="0.25">
      <c r="O726" s="67">
        <f ca="1"/>
        <v>200.61325089762258</v>
      </c>
      <c r="P726" s="67">
        <f ca="1"/>
        <v>199.20819273881389</v>
      </c>
    </row>
    <row r="727" spans="15:16" x14ac:dyDescent="0.25">
      <c r="O727" s="67">
        <f ca="1"/>
        <v>203.42256639544578</v>
      </c>
      <c r="P727" s="67">
        <f ca="1"/>
        <v>204.00725816705668</v>
      </c>
    </row>
    <row r="728" spans="15:16" x14ac:dyDescent="0.25">
      <c r="O728" s="67">
        <f ca="1"/>
        <v>203.43774905248677</v>
      </c>
      <c r="P728" s="67">
        <f ca="1"/>
        <v>202.08793299597772</v>
      </c>
    </row>
    <row r="729" spans="15:16" x14ac:dyDescent="0.25">
      <c r="O729" s="67">
        <f ca="1"/>
        <v>196.88895834034287</v>
      </c>
      <c r="P729" s="67">
        <f ca="1"/>
        <v>196.59402871966103</v>
      </c>
    </row>
    <row r="730" spans="15:16" x14ac:dyDescent="0.25">
      <c r="O730" s="67">
        <f ca="1"/>
        <v>202.01481592448636</v>
      </c>
      <c r="P730" s="67">
        <f ca="1"/>
        <v>203.10873116254047</v>
      </c>
    </row>
    <row r="731" spans="15:16" x14ac:dyDescent="0.25">
      <c r="O731" s="67">
        <f ca="1"/>
        <v>197.41031521404599</v>
      </c>
      <c r="P731" s="67">
        <f ca="1"/>
        <v>197.64055106942629</v>
      </c>
    </row>
    <row r="732" spans="15:16" x14ac:dyDescent="0.25">
      <c r="O732" s="67">
        <f ca="1"/>
        <v>197.64980256036003</v>
      </c>
      <c r="P732" s="67">
        <f ca="1"/>
        <v>197.39985894127702</v>
      </c>
    </row>
    <row r="733" spans="15:16" x14ac:dyDescent="0.25">
      <c r="O733" s="67">
        <f ca="1"/>
        <v>195.89135273294619</v>
      </c>
      <c r="P733" s="67">
        <f ca="1"/>
        <v>196.05491607223962</v>
      </c>
    </row>
    <row r="734" spans="15:16" x14ac:dyDescent="0.25">
      <c r="O734" s="67">
        <f ca="1"/>
        <v>205.61622413932918</v>
      </c>
      <c r="P734" s="67">
        <f ca="1"/>
        <v>206.37353144879967</v>
      </c>
    </row>
    <row r="735" spans="15:16" x14ac:dyDescent="0.25">
      <c r="O735" s="67">
        <f ca="1"/>
        <v>196.12673337277977</v>
      </c>
      <c r="P735" s="67">
        <f ca="1"/>
        <v>196.87675958788182</v>
      </c>
    </row>
    <row r="736" spans="15:16" x14ac:dyDescent="0.25">
      <c r="O736" s="67">
        <f ca="1"/>
        <v>196.80236241413004</v>
      </c>
      <c r="P736" s="67">
        <f ca="1"/>
        <v>198.62844977815985</v>
      </c>
    </row>
    <row r="737" spans="15:16" x14ac:dyDescent="0.25">
      <c r="O737" s="67">
        <f ca="1"/>
        <v>196.98545883999969</v>
      </c>
      <c r="P737" s="67">
        <f ca="1"/>
        <v>197.71735821157952</v>
      </c>
    </row>
    <row r="738" spans="15:16" x14ac:dyDescent="0.25">
      <c r="O738" s="67">
        <f ca="1"/>
        <v>204.77713956900433</v>
      </c>
      <c r="P738" s="67">
        <f ca="1"/>
        <v>205.07357293800064</v>
      </c>
    </row>
    <row r="739" spans="15:16" x14ac:dyDescent="0.25">
      <c r="O739" s="67">
        <f ca="1"/>
        <v>197.88772703498182</v>
      </c>
      <c r="P739" s="67">
        <f ca="1"/>
        <v>197.34521004039453</v>
      </c>
    </row>
    <row r="740" spans="15:16" x14ac:dyDescent="0.25">
      <c r="O740" s="67">
        <f ca="1"/>
        <v>199.85450387549565</v>
      </c>
      <c r="P740" s="67">
        <f ca="1"/>
        <v>199.37858233268264</v>
      </c>
    </row>
    <row r="741" spans="15:16" x14ac:dyDescent="0.25">
      <c r="O741" s="67">
        <f ca="1"/>
        <v>200.36883433200092</v>
      </c>
      <c r="P741" s="67">
        <f ca="1"/>
        <v>199.67343738885299</v>
      </c>
    </row>
    <row r="742" spans="15:16" x14ac:dyDescent="0.25">
      <c r="O742" s="67">
        <f ca="1"/>
        <v>197.84367380131403</v>
      </c>
      <c r="P742" s="67">
        <f ca="1"/>
        <v>198.80881068432399</v>
      </c>
    </row>
    <row r="743" spans="15:16" x14ac:dyDescent="0.25">
      <c r="O743" s="67">
        <f ca="1"/>
        <v>191.05243790393519</v>
      </c>
      <c r="P743" s="67">
        <f ca="1"/>
        <v>190.60333737827199</v>
      </c>
    </row>
    <row r="744" spans="15:16" x14ac:dyDescent="0.25">
      <c r="O744" s="67">
        <f ca="1"/>
        <v>202.09018328593126</v>
      </c>
      <c r="P744" s="67">
        <f ca="1"/>
        <v>200.2875734663821</v>
      </c>
    </row>
    <row r="745" spans="15:16" x14ac:dyDescent="0.25">
      <c r="O745" s="67">
        <f ca="1"/>
        <v>196.4683101154105</v>
      </c>
      <c r="P745" s="67">
        <f ca="1"/>
        <v>195.56940863596327</v>
      </c>
    </row>
    <row r="746" spans="15:16" x14ac:dyDescent="0.25">
      <c r="O746" s="67">
        <f ca="1"/>
        <v>203.82391771010748</v>
      </c>
      <c r="P746" s="67">
        <f ca="1"/>
        <v>203.9805017278949</v>
      </c>
    </row>
    <row r="747" spans="15:16" x14ac:dyDescent="0.25">
      <c r="O747" s="67">
        <f ca="1"/>
        <v>201.90677210050475</v>
      </c>
      <c r="P747" s="67">
        <f ca="1"/>
        <v>201.82537297160181</v>
      </c>
    </row>
    <row r="748" spans="15:16" x14ac:dyDescent="0.25">
      <c r="O748" s="67">
        <f ca="1"/>
        <v>196.97132761174524</v>
      </c>
      <c r="P748" s="67">
        <f ca="1"/>
        <v>197.50822290293755</v>
      </c>
    </row>
    <row r="749" spans="15:16" x14ac:dyDescent="0.25">
      <c r="O749" s="67">
        <f ca="1"/>
        <v>197.70509015159766</v>
      </c>
      <c r="P749" s="67">
        <f ca="1"/>
        <v>198.86497079918072</v>
      </c>
    </row>
    <row r="750" spans="15:16" x14ac:dyDescent="0.25">
      <c r="O750" s="67">
        <f ca="1"/>
        <v>202.76345593270989</v>
      </c>
      <c r="P750" s="67">
        <f ca="1"/>
        <v>204.23290249146899</v>
      </c>
    </row>
    <row r="751" spans="15:16" x14ac:dyDescent="0.25">
      <c r="O751" s="67">
        <f ca="1"/>
        <v>202.33334136632087</v>
      </c>
      <c r="P751" s="67">
        <f ca="1"/>
        <v>203.24410531970253</v>
      </c>
    </row>
    <row r="752" spans="15:16" x14ac:dyDescent="0.25">
      <c r="O752" s="67">
        <f ca="1"/>
        <v>207.06137522145951</v>
      </c>
      <c r="P752" s="67">
        <f ca="1"/>
        <v>207.30718884105849</v>
      </c>
    </row>
    <row r="753" spans="15:16" x14ac:dyDescent="0.25">
      <c r="O753" s="67">
        <f ca="1"/>
        <v>198.24238633192613</v>
      </c>
      <c r="P753" s="67">
        <f ca="1"/>
        <v>198.45274691984582</v>
      </c>
    </row>
    <row r="754" spans="15:16" x14ac:dyDescent="0.25">
      <c r="O754" s="67">
        <f ca="1"/>
        <v>195.04025839328085</v>
      </c>
      <c r="P754" s="67">
        <f ca="1"/>
        <v>195.93690855233095</v>
      </c>
    </row>
    <row r="755" spans="15:16" x14ac:dyDescent="0.25">
      <c r="O755" s="67">
        <f ca="1"/>
        <v>205.60130945767628</v>
      </c>
      <c r="P755" s="67">
        <f ca="1"/>
        <v>205.85756887663194</v>
      </c>
    </row>
    <row r="756" spans="15:16" x14ac:dyDescent="0.25">
      <c r="O756" s="67">
        <f ca="1"/>
        <v>200.7825770873219</v>
      </c>
      <c r="P756" s="67">
        <f ca="1"/>
        <v>200.75578908366535</v>
      </c>
    </row>
    <row r="757" spans="15:16" x14ac:dyDescent="0.25">
      <c r="O757" s="67">
        <f ca="1"/>
        <v>190.11710903347952</v>
      </c>
      <c r="P757" s="67">
        <f ca="1"/>
        <v>190.57753312828191</v>
      </c>
    </row>
    <row r="758" spans="15:16" x14ac:dyDescent="0.25">
      <c r="O758" s="67">
        <f ca="1"/>
        <v>205.01634741910667</v>
      </c>
      <c r="P758" s="67">
        <f ca="1"/>
        <v>205.19017886265016</v>
      </c>
    </row>
    <row r="759" spans="15:16" x14ac:dyDescent="0.25">
      <c r="O759" s="67">
        <f ca="1"/>
        <v>199.4690299358831</v>
      </c>
      <c r="P759" s="67">
        <f ca="1"/>
        <v>198.85450199004711</v>
      </c>
    </row>
    <row r="760" spans="15:16" x14ac:dyDescent="0.25">
      <c r="O760" s="67">
        <f ca="1"/>
        <v>195.54159536431888</v>
      </c>
      <c r="P760" s="67">
        <f ca="1"/>
        <v>195.54133083788611</v>
      </c>
    </row>
    <row r="761" spans="15:16" x14ac:dyDescent="0.25">
      <c r="O761" s="67">
        <f ca="1"/>
        <v>197.59843817475578</v>
      </c>
      <c r="P761" s="67">
        <f ca="1"/>
        <v>197.69238000570095</v>
      </c>
    </row>
    <row r="762" spans="15:16" x14ac:dyDescent="0.25">
      <c r="O762" s="67">
        <f ca="1"/>
        <v>206.31181642490728</v>
      </c>
      <c r="P762" s="67">
        <f ca="1"/>
        <v>205.70312426117786</v>
      </c>
    </row>
    <row r="763" spans="15:16" x14ac:dyDescent="0.25">
      <c r="O763" s="67">
        <f ca="1"/>
        <v>201.83976684710015</v>
      </c>
      <c r="P763" s="67">
        <f ca="1"/>
        <v>201.48047235728683</v>
      </c>
    </row>
    <row r="764" spans="15:16" x14ac:dyDescent="0.25">
      <c r="O764" s="67">
        <f ca="1"/>
        <v>200.75613679442239</v>
      </c>
      <c r="P764" s="67">
        <f ca="1"/>
        <v>202.36074745364223</v>
      </c>
    </row>
    <row r="765" spans="15:16" x14ac:dyDescent="0.25">
      <c r="O765" s="67">
        <f ca="1"/>
        <v>201.47222335502255</v>
      </c>
      <c r="P765" s="67">
        <f ca="1"/>
        <v>200.8597360478993</v>
      </c>
    </row>
    <row r="766" spans="15:16" x14ac:dyDescent="0.25">
      <c r="O766" s="67">
        <f ca="1"/>
        <v>195.90712196027715</v>
      </c>
      <c r="P766" s="67">
        <f ca="1"/>
        <v>194.82637621294668</v>
      </c>
    </row>
    <row r="767" spans="15:16" x14ac:dyDescent="0.25">
      <c r="O767" s="67">
        <f ca="1"/>
        <v>205.9229239204555</v>
      </c>
      <c r="P767" s="67">
        <f ca="1"/>
        <v>205.24184385203247</v>
      </c>
    </row>
    <row r="768" spans="15:16" x14ac:dyDescent="0.25">
      <c r="O768" s="67">
        <f ca="1"/>
        <v>203.21043444480989</v>
      </c>
      <c r="P768" s="67">
        <f ca="1"/>
        <v>203.8399851754474</v>
      </c>
    </row>
    <row r="769" spans="15:16" x14ac:dyDescent="0.25">
      <c r="O769" s="67">
        <f ca="1"/>
        <v>194.28613865603305</v>
      </c>
      <c r="P769" s="67">
        <f ca="1"/>
        <v>192.21310235976367</v>
      </c>
    </row>
    <row r="770" spans="15:16" x14ac:dyDescent="0.25">
      <c r="O770" s="67">
        <f ca="1"/>
        <v>199.96576738761465</v>
      </c>
      <c r="P770" s="67">
        <f ca="1"/>
        <v>199.77707712395781</v>
      </c>
    </row>
    <row r="771" spans="15:16" x14ac:dyDescent="0.25">
      <c r="O771" s="67">
        <f ca="1"/>
        <v>201.99766197816641</v>
      </c>
      <c r="P771" s="67">
        <f ca="1"/>
        <v>202.05503925360168</v>
      </c>
    </row>
    <row r="772" spans="15:16" x14ac:dyDescent="0.25">
      <c r="O772" s="67">
        <f ca="1"/>
        <v>206.37183797957314</v>
      </c>
      <c r="P772" s="67">
        <f ca="1"/>
        <v>204.37070132995095</v>
      </c>
    </row>
    <row r="773" spans="15:16" x14ac:dyDescent="0.25">
      <c r="O773" s="67">
        <f ca="1"/>
        <v>201.53860076053377</v>
      </c>
      <c r="P773" s="67">
        <f ca="1"/>
        <v>200.32823800953855</v>
      </c>
    </row>
    <row r="774" spans="15:16" x14ac:dyDescent="0.25">
      <c r="O774" s="67">
        <f ca="1"/>
        <v>198.87591726645809</v>
      </c>
      <c r="P774" s="67">
        <f ca="1"/>
        <v>198.78442133180926</v>
      </c>
    </row>
    <row r="775" spans="15:16" x14ac:dyDescent="0.25">
      <c r="O775" s="67">
        <f ca="1"/>
        <v>193.23739344205015</v>
      </c>
      <c r="P775" s="67">
        <f ca="1"/>
        <v>192.09135272131581</v>
      </c>
    </row>
    <row r="776" spans="15:16" x14ac:dyDescent="0.25">
      <c r="O776" s="67">
        <f ca="1"/>
        <v>191.67326313257783</v>
      </c>
      <c r="P776" s="67">
        <f ca="1"/>
        <v>193.32594711978061</v>
      </c>
    </row>
    <row r="777" spans="15:16" x14ac:dyDescent="0.25">
      <c r="O777" s="67">
        <f ca="1"/>
        <v>204.05896732313295</v>
      </c>
      <c r="P777" s="67">
        <f ca="1"/>
        <v>203.83312596215083</v>
      </c>
    </row>
    <row r="778" spans="15:16" x14ac:dyDescent="0.25">
      <c r="O778" s="67">
        <f ca="1"/>
        <v>198.20046209021649</v>
      </c>
      <c r="P778" s="67">
        <f ca="1"/>
        <v>198.24887327632365</v>
      </c>
    </row>
    <row r="779" spans="15:16" x14ac:dyDescent="0.25">
      <c r="O779" s="67">
        <f ca="1"/>
        <v>200.13696288053666</v>
      </c>
      <c r="P779" s="67">
        <f ca="1"/>
        <v>200.86430691875984</v>
      </c>
    </row>
    <row r="780" spans="15:16" x14ac:dyDescent="0.25">
      <c r="O780" s="67">
        <f ca="1"/>
        <v>198.98001698879685</v>
      </c>
      <c r="P780" s="67">
        <f ca="1"/>
        <v>199.22779511056183</v>
      </c>
    </row>
    <row r="781" spans="15:16" x14ac:dyDescent="0.25">
      <c r="O781" s="67">
        <f ca="1"/>
        <v>194.95232625819887</v>
      </c>
      <c r="P781" s="67">
        <f ca="1"/>
        <v>195.32075233294148</v>
      </c>
    </row>
    <row r="782" spans="15:16" x14ac:dyDescent="0.25">
      <c r="O782" s="67">
        <f ca="1"/>
        <v>199.45767050701375</v>
      </c>
      <c r="P782" s="67">
        <f ca="1"/>
        <v>199.69409639154378</v>
      </c>
    </row>
    <row r="783" spans="15:16" x14ac:dyDescent="0.25">
      <c r="O783" s="67">
        <f ca="1"/>
        <v>199.12292077211964</v>
      </c>
      <c r="P783" s="67">
        <f ca="1"/>
        <v>199.95726238909364</v>
      </c>
    </row>
    <row r="784" spans="15:16" x14ac:dyDescent="0.25">
      <c r="O784" s="67">
        <f ca="1"/>
        <v>197.37478590296567</v>
      </c>
      <c r="P784" s="67">
        <f ca="1"/>
        <v>195.90436139980037</v>
      </c>
    </row>
    <row r="785" spans="15:16" x14ac:dyDescent="0.25">
      <c r="O785" s="67">
        <f ca="1"/>
        <v>200.3587357982517</v>
      </c>
      <c r="P785" s="67">
        <f ca="1"/>
        <v>199.86207698296067</v>
      </c>
    </row>
    <row r="786" spans="15:16" x14ac:dyDescent="0.25">
      <c r="O786" s="67">
        <f ca="1"/>
        <v>195.85840814249764</v>
      </c>
      <c r="P786" s="67">
        <f ca="1"/>
        <v>196.18416270729992</v>
      </c>
    </row>
    <row r="787" spans="15:16" x14ac:dyDescent="0.25">
      <c r="O787" s="67">
        <f ca="1"/>
        <v>201.62706995372486</v>
      </c>
      <c r="P787" s="67">
        <f ca="1"/>
        <v>200.59046946586267</v>
      </c>
    </row>
    <row r="788" spans="15:16" x14ac:dyDescent="0.25">
      <c r="O788" s="67">
        <f ca="1"/>
        <v>200.61549547867347</v>
      </c>
      <c r="P788" s="67">
        <f ca="1"/>
        <v>200.29501946902894</v>
      </c>
    </row>
    <row r="789" spans="15:16" x14ac:dyDescent="0.25">
      <c r="O789" s="67">
        <f ca="1"/>
        <v>201.35442177248601</v>
      </c>
      <c r="P789" s="67">
        <f ca="1"/>
        <v>201.40934827023327</v>
      </c>
    </row>
    <row r="790" spans="15:16" x14ac:dyDescent="0.25">
      <c r="O790" s="67">
        <f ca="1"/>
        <v>202.27385291638993</v>
      </c>
      <c r="P790" s="67">
        <f ca="1"/>
        <v>203.25960900423448</v>
      </c>
    </row>
    <row r="791" spans="15:16" x14ac:dyDescent="0.25">
      <c r="O791" s="67">
        <f ca="1"/>
        <v>199.27023722721592</v>
      </c>
      <c r="P791" s="67">
        <f ca="1"/>
        <v>199.53339047492631</v>
      </c>
    </row>
    <row r="792" spans="15:16" x14ac:dyDescent="0.25">
      <c r="O792" s="67">
        <f ca="1"/>
        <v>199.24577117441493</v>
      </c>
      <c r="P792" s="67">
        <f ca="1"/>
        <v>200.11945760357085</v>
      </c>
    </row>
    <row r="793" spans="15:16" x14ac:dyDescent="0.25">
      <c r="O793" s="67">
        <f ca="1"/>
        <v>205.5881236080514</v>
      </c>
      <c r="P793" s="67">
        <f ca="1"/>
        <v>205.95963767198398</v>
      </c>
    </row>
    <row r="794" spans="15:16" x14ac:dyDescent="0.25">
      <c r="O794" s="67">
        <f ca="1"/>
        <v>204.97259332451424</v>
      </c>
      <c r="P794" s="67">
        <f ca="1"/>
        <v>204.23244663401564</v>
      </c>
    </row>
    <row r="795" spans="15:16" x14ac:dyDescent="0.25">
      <c r="O795" s="67">
        <f ca="1"/>
        <v>204.64411506449201</v>
      </c>
      <c r="P795" s="67">
        <f ca="1"/>
        <v>206.10974223579049</v>
      </c>
    </row>
    <row r="796" spans="15:16" x14ac:dyDescent="0.25">
      <c r="O796" s="67">
        <f ca="1"/>
        <v>203.61773707139989</v>
      </c>
      <c r="P796" s="67">
        <f ca="1"/>
        <v>203.56161554346471</v>
      </c>
    </row>
    <row r="797" spans="15:16" x14ac:dyDescent="0.25">
      <c r="O797" s="67">
        <f ca="1"/>
        <v>200.14883465098291</v>
      </c>
      <c r="P797" s="67">
        <f ca="1"/>
        <v>201.81531288919703</v>
      </c>
    </row>
    <row r="798" spans="15:16" x14ac:dyDescent="0.25">
      <c r="O798" s="67">
        <f ca="1"/>
        <v>202.63846783291459</v>
      </c>
      <c r="P798" s="67">
        <f ca="1"/>
        <v>203.06178881685952</v>
      </c>
    </row>
    <row r="799" spans="15:16" x14ac:dyDescent="0.25">
      <c r="O799" s="67">
        <f ca="1"/>
        <v>202.71594841900679</v>
      </c>
      <c r="P799" s="67">
        <f ca="1"/>
        <v>204.68615951463602</v>
      </c>
    </row>
    <row r="800" spans="15:16" x14ac:dyDescent="0.25">
      <c r="O800" s="67">
        <f ca="1"/>
        <v>200.68746476330816</v>
      </c>
      <c r="P800" s="67">
        <f ca="1"/>
        <v>200.80067435345742</v>
      </c>
    </row>
    <row r="801" spans="15:16" x14ac:dyDescent="0.25">
      <c r="O801" s="67">
        <f ca="1"/>
        <v>196.82498095915042</v>
      </c>
      <c r="P801" s="67">
        <f ca="1"/>
        <v>196.48668542370285</v>
      </c>
    </row>
    <row r="802" spans="15:16" x14ac:dyDescent="0.25">
      <c r="O802" s="67">
        <f ca="1"/>
        <v>194.00740838606004</v>
      </c>
      <c r="P802" s="67">
        <f ca="1"/>
        <v>196.02339980417577</v>
      </c>
    </row>
    <row r="803" spans="15:16" x14ac:dyDescent="0.25">
      <c r="O803" s="67">
        <f ca="1"/>
        <v>198.97168957148585</v>
      </c>
      <c r="P803" s="67">
        <f ca="1"/>
        <v>196.84470808637394</v>
      </c>
    </row>
    <row r="804" spans="15:16" x14ac:dyDescent="0.25">
      <c r="O804" s="67">
        <f ca="1"/>
        <v>203.86601765325622</v>
      </c>
      <c r="P804" s="67">
        <f ca="1"/>
        <v>204.92973341950841</v>
      </c>
    </row>
    <row r="805" spans="15:16" x14ac:dyDescent="0.25">
      <c r="O805" s="67">
        <f ca="1"/>
        <v>197.29916582047056</v>
      </c>
      <c r="P805" s="67">
        <f ca="1"/>
        <v>197.30987681976174</v>
      </c>
    </row>
    <row r="806" spans="15:16" x14ac:dyDescent="0.25">
      <c r="O806" s="67">
        <f ca="1"/>
        <v>201.75126164920147</v>
      </c>
      <c r="P806" s="67">
        <f ca="1"/>
        <v>200.37828889890645</v>
      </c>
    </row>
    <row r="807" spans="15:16" x14ac:dyDescent="0.25">
      <c r="O807" s="67">
        <f ca="1"/>
        <v>203.92277497495658</v>
      </c>
      <c r="P807" s="67">
        <f ca="1"/>
        <v>204.60366049386417</v>
      </c>
    </row>
    <row r="808" spans="15:16" x14ac:dyDescent="0.25">
      <c r="O808" s="67">
        <f ca="1"/>
        <v>201.91283157548028</v>
      </c>
      <c r="P808" s="67">
        <f ca="1"/>
        <v>203.41677624306394</v>
      </c>
    </row>
    <row r="809" spans="15:16" x14ac:dyDescent="0.25">
      <c r="O809" s="67">
        <f ca="1"/>
        <v>198.8425908129428</v>
      </c>
      <c r="P809" s="67">
        <f ca="1"/>
        <v>198.75488689825926</v>
      </c>
    </row>
    <row r="810" spans="15:16" x14ac:dyDescent="0.25">
      <c r="O810" s="67">
        <f ca="1"/>
        <v>192.75980636270677</v>
      </c>
      <c r="P810" s="67">
        <f ca="1"/>
        <v>192.07588339133272</v>
      </c>
    </row>
    <row r="811" spans="15:16" x14ac:dyDescent="0.25">
      <c r="O811" s="67">
        <f ca="1"/>
        <v>201.15182971610596</v>
      </c>
      <c r="P811" s="67">
        <f ca="1"/>
        <v>201.16855962285015</v>
      </c>
    </row>
    <row r="812" spans="15:16" x14ac:dyDescent="0.25">
      <c r="O812" s="67">
        <f ca="1"/>
        <v>203.71940511766545</v>
      </c>
      <c r="P812" s="67">
        <f ca="1"/>
        <v>203.71309744369958</v>
      </c>
    </row>
    <row r="813" spans="15:16" x14ac:dyDescent="0.25">
      <c r="O813" s="67">
        <f ca="1"/>
        <v>200.18508418198721</v>
      </c>
      <c r="P813" s="67">
        <f ca="1"/>
        <v>199.65340118956053</v>
      </c>
    </row>
    <row r="814" spans="15:16" x14ac:dyDescent="0.25">
      <c r="O814" s="67">
        <f ca="1"/>
        <v>197.05559837692036</v>
      </c>
      <c r="P814" s="67">
        <f ca="1"/>
        <v>198.76235696226712</v>
      </c>
    </row>
    <row r="815" spans="15:16" x14ac:dyDescent="0.25">
      <c r="O815" s="67">
        <f ca="1"/>
        <v>208.08507647964177</v>
      </c>
      <c r="P815" s="67">
        <f ca="1"/>
        <v>208.04101941068831</v>
      </c>
    </row>
    <row r="816" spans="15:16" x14ac:dyDescent="0.25">
      <c r="O816" s="67">
        <f ca="1"/>
        <v>194.51182073415328</v>
      </c>
      <c r="P816" s="67">
        <f ca="1"/>
        <v>194.18652882553511</v>
      </c>
    </row>
    <row r="817" spans="15:16" x14ac:dyDescent="0.25">
      <c r="O817" s="67">
        <f ca="1"/>
        <v>197.33359886329166</v>
      </c>
      <c r="P817" s="67">
        <f ca="1"/>
        <v>196.50458365499026</v>
      </c>
    </row>
    <row r="818" spans="15:16" x14ac:dyDescent="0.25">
      <c r="O818" s="67">
        <f ca="1"/>
        <v>197.24808131996198</v>
      </c>
      <c r="P818" s="67">
        <f ca="1"/>
        <v>197.70863503975772</v>
      </c>
    </row>
    <row r="819" spans="15:16" x14ac:dyDescent="0.25">
      <c r="O819" s="67">
        <f ca="1"/>
        <v>199.12001682839218</v>
      </c>
      <c r="P819" s="67">
        <f ca="1"/>
        <v>199.27253977746943</v>
      </c>
    </row>
    <row r="820" spans="15:16" x14ac:dyDescent="0.25">
      <c r="O820" s="67">
        <f ca="1"/>
        <v>199.95282416770837</v>
      </c>
      <c r="P820" s="67">
        <f ca="1"/>
        <v>201.01172527815649</v>
      </c>
    </row>
    <row r="821" spans="15:16" x14ac:dyDescent="0.25">
      <c r="O821" s="67">
        <f ca="1"/>
        <v>203.25137920454719</v>
      </c>
      <c r="P821" s="67">
        <f ca="1"/>
        <v>204.44533484062669</v>
      </c>
    </row>
    <row r="822" spans="15:16" x14ac:dyDescent="0.25">
      <c r="O822" s="67">
        <f ca="1"/>
        <v>199.98359853911515</v>
      </c>
      <c r="P822" s="67">
        <f ca="1"/>
        <v>199.76852936738544</v>
      </c>
    </row>
    <row r="823" spans="15:16" x14ac:dyDescent="0.25">
      <c r="O823" s="67">
        <f ca="1"/>
        <v>192.73655720234345</v>
      </c>
      <c r="P823" s="67">
        <f ca="1"/>
        <v>192.70618017603155</v>
      </c>
    </row>
    <row r="824" spans="15:16" x14ac:dyDescent="0.25">
      <c r="O824" s="67">
        <f ca="1"/>
        <v>197.96658473594843</v>
      </c>
      <c r="P824" s="67">
        <f ca="1"/>
        <v>199.26246972572366</v>
      </c>
    </row>
    <row r="825" spans="15:16" x14ac:dyDescent="0.25">
      <c r="O825" s="67">
        <f ca="1"/>
        <v>200.55196255419077</v>
      </c>
      <c r="P825" s="67">
        <f ca="1"/>
        <v>201.90638727687369</v>
      </c>
    </row>
    <row r="826" spans="15:16" x14ac:dyDescent="0.25">
      <c r="O826" s="67">
        <f ca="1"/>
        <v>195.55382210984268</v>
      </c>
      <c r="P826" s="67">
        <f ca="1"/>
        <v>193.94835895843468</v>
      </c>
    </row>
    <row r="827" spans="15:16" x14ac:dyDescent="0.25">
      <c r="O827" s="67">
        <f ca="1"/>
        <v>200.0761919271776</v>
      </c>
      <c r="P827" s="67">
        <f ca="1"/>
        <v>198.64177431116926</v>
      </c>
    </row>
    <row r="828" spans="15:16" x14ac:dyDescent="0.25">
      <c r="O828" s="67">
        <f ca="1"/>
        <v>196.77563837908355</v>
      </c>
      <c r="P828" s="67">
        <f ca="1"/>
        <v>197.13713506877204</v>
      </c>
    </row>
    <row r="829" spans="15:16" x14ac:dyDescent="0.25">
      <c r="O829" s="67">
        <f ca="1"/>
        <v>191.05441351619282</v>
      </c>
      <c r="P829" s="67">
        <f ca="1"/>
        <v>191.76800193865114</v>
      </c>
    </row>
    <row r="830" spans="15:16" x14ac:dyDescent="0.25">
      <c r="O830" s="67">
        <f ca="1"/>
        <v>206.26310462242597</v>
      </c>
      <c r="P830" s="67">
        <f ca="1"/>
        <v>204.83939347022849</v>
      </c>
    </row>
    <row r="831" spans="15:16" x14ac:dyDescent="0.25">
      <c r="O831" s="67">
        <f ca="1"/>
        <v>197.22846417248587</v>
      </c>
      <c r="P831" s="67">
        <f ca="1"/>
        <v>195.54548233212958</v>
      </c>
    </row>
    <row r="832" spans="15:16" x14ac:dyDescent="0.25">
      <c r="O832" s="67">
        <f ca="1"/>
        <v>204.31071833886693</v>
      </c>
      <c r="P832" s="67">
        <f ca="1"/>
        <v>204.09096184024838</v>
      </c>
    </row>
    <row r="833" spans="15:16" x14ac:dyDescent="0.25">
      <c r="O833" s="67">
        <f ca="1"/>
        <v>193.29744472665379</v>
      </c>
      <c r="P833" s="67">
        <f ca="1"/>
        <v>191.37871176853045</v>
      </c>
    </row>
    <row r="834" spans="15:16" x14ac:dyDescent="0.25">
      <c r="O834" s="67">
        <f ca="1"/>
        <v>200.45511513227279</v>
      </c>
      <c r="P834" s="67">
        <f ca="1"/>
        <v>201.17136799887638</v>
      </c>
    </row>
    <row r="835" spans="15:16" x14ac:dyDescent="0.25">
      <c r="O835" s="67">
        <f ca="1"/>
        <v>199.68234678353616</v>
      </c>
      <c r="P835" s="67">
        <f ca="1"/>
        <v>198.74943888125085</v>
      </c>
    </row>
    <row r="836" spans="15:16" x14ac:dyDescent="0.25">
      <c r="O836" s="67">
        <f ca="1"/>
        <v>201.21275081518053</v>
      </c>
      <c r="P836" s="67">
        <f ca="1"/>
        <v>200.81597337824331</v>
      </c>
    </row>
    <row r="837" spans="15:16" x14ac:dyDescent="0.25">
      <c r="O837" s="67">
        <f ca="1"/>
        <v>207.02117035910314</v>
      </c>
      <c r="P837" s="67">
        <f ca="1"/>
        <v>208.92182377319122</v>
      </c>
    </row>
    <row r="838" spans="15:16" x14ac:dyDescent="0.25">
      <c r="O838" s="67">
        <f ca="1"/>
        <v>195.35019016031481</v>
      </c>
      <c r="P838" s="67">
        <f ca="1"/>
        <v>194.30073117259138</v>
      </c>
    </row>
    <row r="839" spans="15:16" x14ac:dyDescent="0.25">
      <c r="O839" s="67">
        <f ca="1"/>
        <v>199.49382955865539</v>
      </c>
      <c r="P839" s="67">
        <f ca="1"/>
        <v>199.09160201139082</v>
      </c>
    </row>
    <row r="840" spans="15:16" x14ac:dyDescent="0.25">
      <c r="O840" s="67">
        <f ca="1"/>
        <v>195.14149381032553</v>
      </c>
      <c r="P840" s="67">
        <f ca="1"/>
        <v>194.41676577189264</v>
      </c>
    </row>
    <row r="841" spans="15:16" x14ac:dyDescent="0.25">
      <c r="O841" s="67">
        <f ca="1"/>
        <v>197.97673610175693</v>
      </c>
      <c r="P841" s="67">
        <f ca="1"/>
        <v>198.56795649858225</v>
      </c>
    </row>
    <row r="842" spans="15:16" x14ac:dyDescent="0.25">
      <c r="O842" s="67">
        <f ca="1"/>
        <v>196.55365764172367</v>
      </c>
      <c r="P842" s="67">
        <f ca="1"/>
        <v>195.93333650911129</v>
      </c>
    </row>
    <row r="843" spans="15:16" x14ac:dyDescent="0.25">
      <c r="O843" s="67">
        <f ca="1"/>
        <v>202.73885278752886</v>
      </c>
      <c r="P843" s="67">
        <f ca="1"/>
        <v>203.48748361855039</v>
      </c>
    </row>
    <row r="844" spans="15:16" x14ac:dyDescent="0.25">
      <c r="O844" s="67">
        <f ca="1"/>
        <v>193.49546997978288</v>
      </c>
      <c r="P844" s="67">
        <f ca="1"/>
        <v>193.05370838439805</v>
      </c>
    </row>
    <row r="845" spans="15:16" x14ac:dyDescent="0.25">
      <c r="O845" s="67">
        <f ca="1"/>
        <v>201.50459388975611</v>
      </c>
      <c r="P845" s="67">
        <f ca="1"/>
        <v>201.6114536781601</v>
      </c>
    </row>
    <row r="846" spans="15:16" x14ac:dyDescent="0.25">
      <c r="O846" s="67">
        <f ca="1"/>
        <v>196.72071854001359</v>
      </c>
      <c r="P846" s="67">
        <f ca="1"/>
        <v>196.81257772596095</v>
      </c>
    </row>
    <row r="847" spans="15:16" x14ac:dyDescent="0.25">
      <c r="O847" s="67">
        <f ca="1"/>
        <v>203.1787867964679</v>
      </c>
      <c r="P847" s="67">
        <f ca="1"/>
        <v>203.25969284626817</v>
      </c>
    </row>
    <row r="848" spans="15:16" x14ac:dyDescent="0.25">
      <c r="O848" s="67">
        <f ca="1"/>
        <v>204.56634119166227</v>
      </c>
      <c r="P848" s="67">
        <f ca="1"/>
        <v>207.34988035050296</v>
      </c>
    </row>
    <row r="849" spans="15:16" x14ac:dyDescent="0.25">
      <c r="O849" s="67">
        <f ca="1"/>
        <v>200.28430078879555</v>
      </c>
      <c r="P849" s="67">
        <f ca="1"/>
        <v>199.20341986644397</v>
      </c>
    </row>
    <row r="850" spans="15:16" x14ac:dyDescent="0.25">
      <c r="O850" s="67">
        <f ca="1"/>
        <v>198.94785999708088</v>
      </c>
      <c r="P850" s="67">
        <f ca="1"/>
        <v>201.10801117781071</v>
      </c>
    </row>
    <row r="851" spans="15:16" x14ac:dyDescent="0.25">
      <c r="O851" s="67">
        <f ca="1"/>
        <v>204.04579743186278</v>
      </c>
      <c r="P851" s="67">
        <f ca="1"/>
        <v>202.69728612507652</v>
      </c>
    </row>
    <row r="852" spans="15:16" x14ac:dyDescent="0.25">
      <c r="O852" s="67">
        <f ca="1"/>
        <v>204.028904509656</v>
      </c>
      <c r="P852" s="67">
        <f ca="1"/>
        <v>204.91149209670354</v>
      </c>
    </row>
    <row r="853" spans="15:16" x14ac:dyDescent="0.25">
      <c r="O853" s="67">
        <f ca="1"/>
        <v>203.95434329508268</v>
      </c>
      <c r="P853" s="67">
        <f ca="1"/>
        <v>205.3086191054438</v>
      </c>
    </row>
    <row r="854" spans="15:16" x14ac:dyDescent="0.25">
      <c r="O854" s="67">
        <f ca="1"/>
        <v>202.3879539839125</v>
      </c>
      <c r="P854" s="67">
        <f ca="1"/>
        <v>201.36449934612898</v>
      </c>
    </row>
    <row r="855" spans="15:16" x14ac:dyDescent="0.25">
      <c r="O855" s="67">
        <f ca="1"/>
        <v>202.00625908872973</v>
      </c>
      <c r="P855" s="67">
        <f ca="1"/>
        <v>201.54310116021361</v>
      </c>
    </row>
    <row r="856" spans="15:16" x14ac:dyDescent="0.25">
      <c r="O856" s="67">
        <f ca="1"/>
        <v>201.48234285059775</v>
      </c>
      <c r="P856" s="67">
        <f ca="1"/>
        <v>201.82329425058018</v>
      </c>
    </row>
    <row r="857" spans="15:16" x14ac:dyDescent="0.25">
      <c r="O857" s="67">
        <f ca="1"/>
        <v>197.98997122761472</v>
      </c>
      <c r="P857" s="67">
        <f ca="1"/>
        <v>198.37984736169639</v>
      </c>
    </row>
    <row r="858" spans="15:16" x14ac:dyDescent="0.25">
      <c r="O858" s="67">
        <f ca="1"/>
        <v>196.84600442226474</v>
      </c>
      <c r="P858" s="67">
        <f ca="1"/>
        <v>198.06058784084294</v>
      </c>
    </row>
    <row r="859" spans="15:16" x14ac:dyDescent="0.25">
      <c r="O859" s="67">
        <f ca="1"/>
        <v>200.94941213733458</v>
      </c>
      <c r="P859" s="67">
        <f ca="1"/>
        <v>201.90732733588084</v>
      </c>
    </row>
    <row r="860" spans="15:16" x14ac:dyDescent="0.25">
      <c r="O860" s="67">
        <f ca="1"/>
        <v>201.94980567264955</v>
      </c>
      <c r="P860" s="67">
        <f ca="1"/>
        <v>201.94612195826693</v>
      </c>
    </row>
    <row r="861" spans="15:16" x14ac:dyDescent="0.25">
      <c r="O861" s="67">
        <f ca="1"/>
        <v>197.12705705867643</v>
      </c>
      <c r="P861" s="67">
        <f ca="1"/>
        <v>196.8908451483266</v>
      </c>
    </row>
    <row r="862" spans="15:16" x14ac:dyDescent="0.25">
      <c r="O862" s="67">
        <f ca="1"/>
        <v>200.83825467073177</v>
      </c>
      <c r="P862" s="67">
        <f ca="1"/>
        <v>202.34789791131405</v>
      </c>
    </row>
    <row r="863" spans="15:16" x14ac:dyDescent="0.25">
      <c r="O863" s="67">
        <f ca="1"/>
        <v>201.91319850702186</v>
      </c>
      <c r="P863" s="67">
        <f ca="1"/>
        <v>202.54871609942916</v>
      </c>
    </row>
    <row r="864" spans="15:16" x14ac:dyDescent="0.25">
      <c r="O864" s="67">
        <f ca="1"/>
        <v>197.54793645501331</v>
      </c>
      <c r="P864" s="67">
        <f ca="1"/>
        <v>198.42944623198434</v>
      </c>
    </row>
    <row r="865" spans="15:16" x14ac:dyDescent="0.25">
      <c r="O865" s="67">
        <f ca="1"/>
        <v>200.14253519878875</v>
      </c>
      <c r="P865" s="67">
        <f ca="1"/>
        <v>201.45747602520208</v>
      </c>
    </row>
    <row r="866" spans="15:16" x14ac:dyDescent="0.25">
      <c r="O866" s="67">
        <f ca="1"/>
        <v>195.70482456597435</v>
      </c>
      <c r="P866" s="67">
        <f ca="1"/>
        <v>195.0816396818548</v>
      </c>
    </row>
    <row r="867" spans="15:16" x14ac:dyDescent="0.25">
      <c r="O867" s="67">
        <f ca="1"/>
        <v>207.43163690459238</v>
      </c>
      <c r="P867" s="67">
        <f ca="1"/>
        <v>207.21649933754512</v>
      </c>
    </row>
    <row r="868" spans="15:16" x14ac:dyDescent="0.25">
      <c r="O868" s="67">
        <f ca="1"/>
        <v>203.97350080486805</v>
      </c>
      <c r="P868" s="67">
        <f ca="1"/>
        <v>205.32013645851214</v>
      </c>
    </row>
    <row r="869" spans="15:16" x14ac:dyDescent="0.25">
      <c r="O869" s="67">
        <f ca="1"/>
        <v>198.80356573110663</v>
      </c>
      <c r="P869" s="67">
        <f ca="1"/>
        <v>198.80537639871318</v>
      </c>
    </row>
    <row r="870" spans="15:16" x14ac:dyDescent="0.25">
      <c r="O870" s="67">
        <f ca="1"/>
        <v>199.99870864046844</v>
      </c>
      <c r="P870" s="67">
        <f ca="1"/>
        <v>199.83623659811119</v>
      </c>
    </row>
    <row r="871" spans="15:16" x14ac:dyDescent="0.25">
      <c r="O871" s="67">
        <f ca="1"/>
        <v>199.0637390040271</v>
      </c>
      <c r="P871" s="67">
        <f ca="1"/>
        <v>198.4517590917286</v>
      </c>
    </row>
    <row r="872" spans="15:16" x14ac:dyDescent="0.25">
      <c r="O872" s="67">
        <f ca="1"/>
        <v>207.72510927938055</v>
      </c>
      <c r="P872" s="67">
        <f ca="1"/>
        <v>208.03932363452887</v>
      </c>
    </row>
    <row r="873" spans="15:16" x14ac:dyDescent="0.25">
      <c r="O873" s="67">
        <f ca="1"/>
        <v>199.45627729999742</v>
      </c>
      <c r="P873" s="67">
        <f ca="1"/>
        <v>198.53915980910989</v>
      </c>
    </row>
    <row r="874" spans="15:16" x14ac:dyDescent="0.25">
      <c r="O874" s="67">
        <f ca="1"/>
        <v>201.46739036294676</v>
      </c>
      <c r="P874" s="67">
        <f ca="1"/>
        <v>200.96101546421227</v>
      </c>
    </row>
    <row r="875" spans="15:16" x14ac:dyDescent="0.25">
      <c r="O875" s="67">
        <f ca="1"/>
        <v>198.22518979868323</v>
      </c>
      <c r="P875" s="67">
        <f ca="1"/>
        <v>196.77066279902456</v>
      </c>
    </row>
    <row r="876" spans="15:16" x14ac:dyDescent="0.25">
      <c r="O876" s="67">
        <f ca="1"/>
        <v>201.16942096804888</v>
      </c>
      <c r="P876" s="67">
        <f ca="1"/>
        <v>201.71381544145808</v>
      </c>
    </row>
    <row r="877" spans="15:16" x14ac:dyDescent="0.25">
      <c r="O877" s="67">
        <f ca="1"/>
        <v>203.21358744436236</v>
      </c>
      <c r="P877" s="67">
        <f ca="1"/>
        <v>203.13694823247258</v>
      </c>
    </row>
    <row r="878" spans="15:16" x14ac:dyDescent="0.25">
      <c r="O878" s="67">
        <f ca="1"/>
        <v>198.09229363998199</v>
      </c>
      <c r="P878" s="67">
        <f ca="1"/>
        <v>198.82778590634319</v>
      </c>
    </row>
    <row r="879" spans="15:16" x14ac:dyDescent="0.25">
      <c r="O879" s="67">
        <f ca="1"/>
        <v>200.26684403646863</v>
      </c>
      <c r="P879" s="67">
        <f ca="1"/>
        <v>199.53379416662131</v>
      </c>
    </row>
    <row r="880" spans="15:16" x14ac:dyDescent="0.25">
      <c r="O880" s="67">
        <f ca="1"/>
        <v>207.4623222776969</v>
      </c>
      <c r="P880" s="67">
        <f ca="1"/>
        <v>208.09651956843899</v>
      </c>
    </row>
    <row r="881" spans="15:16" x14ac:dyDescent="0.25">
      <c r="O881" s="67">
        <f ca="1"/>
        <v>203.65695337884299</v>
      </c>
      <c r="P881" s="67">
        <f ca="1"/>
        <v>202.11334048716924</v>
      </c>
    </row>
    <row r="882" spans="15:16" x14ac:dyDescent="0.25">
      <c r="O882" s="67">
        <f ca="1"/>
        <v>200.0777752662587</v>
      </c>
      <c r="P882" s="67">
        <f ca="1"/>
        <v>200.1997287690979</v>
      </c>
    </row>
    <row r="883" spans="15:16" x14ac:dyDescent="0.25">
      <c r="O883" s="67">
        <f ca="1"/>
        <v>200.54921256537801</v>
      </c>
      <c r="P883" s="67">
        <f ca="1"/>
        <v>200.11337207411125</v>
      </c>
    </row>
    <row r="884" spans="15:16" x14ac:dyDescent="0.25">
      <c r="O884" s="67">
        <f ca="1"/>
        <v>194.69872900591082</v>
      </c>
      <c r="P884" s="67">
        <f ca="1"/>
        <v>193.12191800877781</v>
      </c>
    </row>
    <row r="885" spans="15:16" x14ac:dyDescent="0.25">
      <c r="O885" s="67">
        <f ca="1"/>
        <v>196.7688580154817</v>
      </c>
      <c r="P885" s="67">
        <f ca="1"/>
        <v>197.106477907553</v>
      </c>
    </row>
    <row r="886" spans="15:16" x14ac:dyDescent="0.25">
      <c r="O886" s="67">
        <f ca="1"/>
        <v>196.63729540675251</v>
      </c>
      <c r="P886" s="67">
        <f ca="1"/>
        <v>196.83023116939819</v>
      </c>
    </row>
    <row r="887" spans="15:16" x14ac:dyDescent="0.25">
      <c r="O887" s="67">
        <f ca="1"/>
        <v>200.18295283462376</v>
      </c>
      <c r="P887" s="67">
        <f ca="1"/>
        <v>201.50266978980261</v>
      </c>
    </row>
    <row r="888" spans="15:16" x14ac:dyDescent="0.25">
      <c r="O888" s="67">
        <f ca="1"/>
        <v>193.25736236921313</v>
      </c>
      <c r="P888" s="67">
        <f ca="1"/>
        <v>192.48237513045731</v>
      </c>
    </row>
    <row r="889" spans="15:16" x14ac:dyDescent="0.25">
      <c r="O889" s="67">
        <f ca="1"/>
        <v>200.70516991169734</v>
      </c>
      <c r="P889" s="67">
        <f ca="1"/>
        <v>199.52295642029617</v>
      </c>
    </row>
    <row r="890" spans="15:16" x14ac:dyDescent="0.25">
      <c r="O890" s="67">
        <f ca="1"/>
        <v>207.1149654586124</v>
      </c>
      <c r="P890" s="67">
        <f ca="1"/>
        <v>205.33252122317379</v>
      </c>
    </row>
    <row r="891" spans="15:16" x14ac:dyDescent="0.25">
      <c r="O891" s="67">
        <f ca="1"/>
        <v>202.13414457176532</v>
      </c>
      <c r="P891" s="67">
        <f ca="1"/>
        <v>200.50195388242653</v>
      </c>
    </row>
    <row r="892" spans="15:16" x14ac:dyDescent="0.25">
      <c r="O892" s="67">
        <f ca="1"/>
        <v>197.5630304601537</v>
      </c>
      <c r="P892" s="67">
        <f ca="1"/>
        <v>197.56560538335916</v>
      </c>
    </row>
    <row r="893" spans="15:16" x14ac:dyDescent="0.25">
      <c r="O893" s="67">
        <f ca="1"/>
        <v>195.59733822490907</v>
      </c>
      <c r="P893" s="67">
        <f ca="1"/>
        <v>196.27722256541898</v>
      </c>
    </row>
    <row r="894" spans="15:16" x14ac:dyDescent="0.25">
      <c r="O894" s="67">
        <f ca="1"/>
        <v>200.15134379965022</v>
      </c>
      <c r="P894" s="67">
        <f ca="1"/>
        <v>199.62509277985663</v>
      </c>
    </row>
    <row r="895" spans="15:16" x14ac:dyDescent="0.25">
      <c r="O895" s="67">
        <f ca="1"/>
        <v>199.12149149174681</v>
      </c>
      <c r="P895" s="67">
        <f ca="1"/>
        <v>198.27088157517315</v>
      </c>
    </row>
    <row r="896" spans="15:16" x14ac:dyDescent="0.25">
      <c r="O896" s="67">
        <f ca="1"/>
        <v>196.94543187923466</v>
      </c>
      <c r="P896" s="67">
        <f ca="1"/>
        <v>196.8890312481889</v>
      </c>
    </row>
    <row r="897" spans="15:16" x14ac:dyDescent="0.25">
      <c r="O897" s="67">
        <f ca="1"/>
        <v>200.77436301854223</v>
      </c>
      <c r="P897" s="67">
        <f ca="1"/>
        <v>201.10992793509402</v>
      </c>
    </row>
    <row r="898" spans="15:16" x14ac:dyDescent="0.25">
      <c r="O898" s="67">
        <f ca="1"/>
        <v>203.00850131057391</v>
      </c>
      <c r="P898" s="67">
        <f ca="1"/>
        <v>202.8389730074696</v>
      </c>
    </row>
    <row r="899" spans="15:16" x14ac:dyDescent="0.25">
      <c r="O899" s="67">
        <f ca="1"/>
        <v>197.66013779620076</v>
      </c>
      <c r="P899" s="67">
        <f ca="1"/>
        <v>197.35210780865421</v>
      </c>
    </row>
    <row r="900" spans="15:16" x14ac:dyDescent="0.25">
      <c r="O900" s="67">
        <f ca="1"/>
        <v>192.1256040730284</v>
      </c>
      <c r="P900" s="67">
        <f ca="1"/>
        <v>193.97248059536437</v>
      </c>
    </row>
    <row r="901" spans="15:16" x14ac:dyDescent="0.25">
      <c r="O901" s="67">
        <f ca="1"/>
        <v>196.61208835632593</v>
      </c>
      <c r="P901" s="67">
        <f ca="1"/>
        <v>197.05768679585236</v>
      </c>
    </row>
    <row r="902" spans="15:16" x14ac:dyDescent="0.25">
      <c r="O902" s="67">
        <f ca="1"/>
        <v>195.24238968294068</v>
      </c>
      <c r="P902" s="67">
        <f ca="1"/>
        <v>195.75576546940169</v>
      </c>
    </row>
    <row r="903" spans="15:16" x14ac:dyDescent="0.25">
      <c r="O903" s="67">
        <f ca="1"/>
        <v>201.58780278450845</v>
      </c>
      <c r="P903" s="67">
        <f ca="1"/>
        <v>199.21980234791221</v>
      </c>
    </row>
    <row r="904" spans="15:16" x14ac:dyDescent="0.25">
      <c r="O904" s="67">
        <f ca="1"/>
        <v>198.99948826828117</v>
      </c>
      <c r="P904" s="67">
        <f ca="1"/>
        <v>199.29133766617886</v>
      </c>
    </row>
    <row r="905" spans="15:16" x14ac:dyDescent="0.25">
      <c r="O905" s="67">
        <f ca="1"/>
        <v>199.83518107456024</v>
      </c>
      <c r="P905" s="67">
        <f ca="1"/>
        <v>198.9435413644963</v>
      </c>
    </row>
    <row r="906" spans="15:16" x14ac:dyDescent="0.25">
      <c r="O906" s="67">
        <f ca="1"/>
        <v>196.97836025043972</v>
      </c>
      <c r="P906" s="67">
        <f ca="1"/>
        <v>196.07492082014812</v>
      </c>
    </row>
    <row r="907" spans="15:16" x14ac:dyDescent="0.25">
      <c r="O907" s="67">
        <f ca="1"/>
        <v>198.46771183925549</v>
      </c>
      <c r="P907" s="67">
        <f ca="1"/>
        <v>200.44090064521788</v>
      </c>
    </row>
    <row r="908" spans="15:16" x14ac:dyDescent="0.25">
      <c r="O908" s="67">
        <f ca="1"/>
        <v>198.06442828099094</v>
      </c>
      <c r="P908" s="67">
        <f ca="1"/>
        <v>199.64154457390359</v>
      </c>
    </row>
    <row r="909" spans="15:16" x14ac:dyDescent="0.25">
      <c r="O909" s="67">
        <f ca="1"/>
        <v>203.28642707544066</v>
      </c>
      <c r="P909" s="67">
        <f ca="1"/>
        <v>203.27492333754276</v>
      </c>
    </row>
    <row r="910" spans="15:16" x14ac:dyDescent="0.25">
      <c r="O910" s="67">
        <f ca="1"/>
        <v>197.27635257902864</v>
      </c>
      <c r="P910" s="67">
        <f ca="1"/>
        <v>198.68302771518495</v>
      </c>
    </row>
    <row r="911" spans="15:16" x14ac:dyDescent="0.25">
      <c r="O911" s="67">
        <f ca="1"/>
        <v>201.88729240523006</v>
      </c>
      <c r="P911" s="67">
        <f ca="1"/>
        <v>202.76676836095356</v>
      </c>
    </row>
    <row r="912" spans="15:16" x14ac:dyDescent="0.25">
      <c r="O912" s="67">
        <f ca="1"/>
        <v>202.19234704806962</v>
      </c>
      <c r="P912" s="67">
        <f ca="1"/>
        <v>200.8192010995626</v>
      </c>
    </row>
    <row r="913" spans="15:16" x14ac:dyDescent="0.25">
      <c r="O913" s="67">
        <f ca="1"/>
        <v>200.53144873242672</v>
      </c>
      <c r="P913" s="67">
        <f ca="1"/>
        <v>200.75295357584329</v>
      </c>
    </row>
    <row r="914" spans="15:16" x14ac:dyDescent="0.25">
      <c r="O914" s="67">
        <f ca="1"/>
        <v>201.25285772080056</v>
      </c>
      <c r="P914" s="67">
        <f ca="1"/>
        <v>201.47836175989156</v>
      </c>
    </row>
    <row r="915" spans="15:16" x14ac:dyDescent="0.25">
      <c r="O915" s="67">
        <f ca="1"/>
        <v>202.34858479863863</v>
      </c>
      <c r="P915" s="67">
        <f ca="1"/>
        <v>202.57627525419463</v>
      </c>
    </row>
    <row r="916" spans="15:16" x14ac:dyDescent="0.25">
      <c r="O916" s="67">
        <f ca="1"/>
        <v>199.13698200118046</v>
      </c>
      <c r="P916" s="67">
        <f ca="1"/>
        <v>199.70718505487423</v>
      </c>
    </row>
    <row r="917" spans="15:16" x14ac:dyDescent="0.25">
      <c r="O917" s="67">
        <f ca="1"/>
        <v>203.65702126284549</v>
      </c>
      <c r="P917" s="67">
        <f ca="1"/>
        <v>202.52674253333333</v>
      </c>
    </row>
    <row r="918" spans="15:16" x14ac:dyDescent="0.25">
      <c r="O918" s="67">
        <f ca="1"/>
        <v>197.25040154510768</v>
      </c>
      <c r="P918" s="67">
        <f ca="1"/>
        <v>196.34754995877319</v>
      </c>
    </row>
    <row r="919" spans="15:16" x14ac:dyDescent="0.25">
      <c r="O919" s="67">
        <f ca="1"/>
        <v>199.93568418734694</v>
      </c>
      <c r="P919" s="67">
        <f ca="1"/>
        <v>200.89335455280803</v>
      </c>
    </row>
    <row r="920" spans="15:16" x14ac:dyDescent="0.25">
      <c r="O920" s="67">
        <f ca="1"/>
        <v>195.28481066910268</v>
      </c>
      <c r="P920" s="67">
        <f ca="1"/>
        <v>196.69451398006979</v>
      </c>
    </row>
    <row r="921" spans="15:16" x14ac:dyDescent="0.25">
      <c r="O921" s="67">
        <f ca="1"/>
        <v>196.69227579589673</v>
      </c>
      <c r="P921" s="67">
        <f ca="1"/>
        <v>198.15885132206148</v>
      </c>
    </row>
    <row r="922" spans="15:16" x14ac:dyDescent="0.25">
      <c r="O922" s="67">
        <f ca="1"/>
        <v>204.78850019489619</v>
      </c>
      <c r="P922" s="67">
        <f ca="1"/>
        <v>203.77338899849221</v>
      </c>
    </row>
    <row r="923" spans="15:16" x14ac:dyDescent="0.25">
      <c r="O923" s="67">
        <f ca="1"/>
        <v>202.41533519430132</v>
      </c>
      <c r="P923" s="67">
        <f ca="1"/>
        <v>201.43922954901382</v>
      </c>
    </row>
    <row r="924" spans="15:16" x14ac:dyDescent="0.25">
      <c r="O924" s="67">
        <f ca="1"/>
        <v>201.4968959726155</v>
      </c>
      <c r="P924" s="67">
        <f ca="1"/>
        <v>201.06101235842101</v>
      </c>
    </row>
    <row r="925" spans="15:16" x14ac:dyDescent="0.25">
      <c r="O925" s="67">
        <f ca="1"/>
        <v>195.96134757571284</v>
      </c>
      <c r="P925" s="67">
        <f ca="1"/>
        <v>195.14946193175712</v>
      </c>
    </row>
    <row r="926" spans="15:16" x14ac:dyDescent="0.25">
      <c r="O926" s="67">
        <f ca="1"/>
        <v>201.74380807285203</v>
      </c>
      <c r="P926" s="67">
        <f ca="1"/>
        <v>200.25287730223926</v>
      </c>
    </row>
    <row r="927" spans="15:16" x14ac:dyDescent="0.25">
      <c r="O927" s="67">
        <f ca="1"/>
        <v>199.56736697953451</v>
      </c>
      <c r="P927" s="67">
        <f ca="1"/>
        <v>198.49922764480289</v>
      </c>
    </row>
    <row r="928" spans="15:16" x14ac:dyDescent="0.25">
      <c r="O928" s="67">
        <f ca="1"/>
        <v>201.22938319718941</v>
      </c>
      <c r="P928" s="67">
        <f ca="1"/>
        <v>202.93740550770619</v>
      </c>
    </row>
    <row r="929" spans="15:16" x14ac:dyDescent="0.25">
      <c r="O929" s="67">
        <f ca="1"/>
        <v>197.07746462091347</v>
      </c>
      <c r="P929" s="67">
        <f ca="1"/>
        <v>197.20458540630079</v>
      </c>
    </row>
    <row r="930" spans="15:16" x14ac:dyDescent="0.25">
      <c r="O930" s="67">
        <f ca="1"/>
        <v>200.53732997581685</v>
      </c>
      <c r="P930" s="67">
        <f ca="1"/>
        <v>200.58194916762605</v>
      </c>
    </row>
    <row r="931" spans="15:16" x14ac:dyDescent="0.25">
      <c r="O931" s="67">
        <f ca="1"/>
        <v>200.98040617693158</v>
      </c>
      <c r="P931" s="67">
        <f ca="1"/>
        <v>200.93311372890707</v>
      </c>
    </row>
    <row r="932" spans="15:16" x14ac:dyDescent="0.25">
      <c r="O932" s="67">
        <f ca="1"/>
        <v>202.83146827838044</v>
      </c>
      <c r="P932" s="67">
        <f ca="1"/>
        <v>203.49459284918268</v>
      </c>
    </row>
    <row r="933" spans="15:16" x14ac:dyDescent="0.25">
      <c r="O933" s="67">
        <f ca="1"/>
        <v>201.68754516263164</v>
      </c>
      <c r="P933" s="67">
        <f ca="1"/>
        <v>201.68673190807712</v>
      </c>
    </row>
    <row r="934" spans="15:16" x14ac:dyDescent="0.25">
      <c r="O934" s="67">
        <f ca="1"/>
        <v>199.96876757997347</v>
      </c>
      <c r="P934" s="67">
        <f ca="1"/>
        <v>200.15334026653764</v>
      </c>
    </row>
    <row r="935" spans="15:16" x14ac:dyDescent="0.25">
      <c r="O935" s="67">
        <f ca="1"/>
        <v>202.8815402473773</v>
      </c>
      <c r="P935" s="67">
        <f ca="1"/>
        <v>202.04805791556103</v>
      </c>
    </row>
    <row r="936" spans="15:16" x14ac:dyDescent="0.25">
      <c r="O936" s="67">
        <f ca="1"/>
        <v>200.93724463362437</v>
      </c>
      <c r="P936" s="67">
        <f ca="1"/>
        <v>201.28662516326119</v>
      </c>
    </row>
    <row r="937" spans="15:16" x14ac:dyDescent="0.25">
      <c r="O937" s="67">
        <f ca="1"/>
        <v>196.5375904040732</v>
      </c>
      <c r="P937" s="67">
        <f ca="1"/>
        <v>196.81331361593243</v>
      </c>
    </row>
    <row r="938" spans="15:16" x14ac:dyDescent="0.25">
      <c r="O938" s="67">
        <f ca="1"/>
        <v>200.71401597669839</v>
      </c>
      <c r="P938" s="67">
        <f ca="1"/>
        <v>201.58372589252653</v>
      </c>
    </row>
    <row r="939" spans="15:16" x14ac:dyDescent="0.25">
      <c r="O939" s="67">
        <f ca="1"/>
        <v>197.46044037922474</v>
      </c>
      <c r="P939" s="67">
        <f ca="1"/>
        <v>198.0933150144065</v>
      </c>
    </row>
    <row r="940" spans="15:16" x14ac:dyDescent="0.25">
      <c r="O940" s="67">
        <f ca="1"/>
        <v>199.87090764947331</v>
      </c>
      <c r="P940" s="67">
        <f ca="1"/>
        <v>198.77833563339905</v>
      </c>
    </row>
    <row r="941" spans="15:16" x14ac:dyDescent="0.25">
      <c r="O941" s="67">
        <f ca="1"/>
        <v>199.67387007930134</v>
      </c>
      <c r="P941" s="67">
        <f ca="1"/>
        <v>200.98843526417531</v>
      </c>
    </row>
    <row r="942" spans="15:16" x14ac:dyDescent="0.25">
      <c r="O942" s="67">
        <f ca="1"/>
        <v>201.12443243999871</v>
      </c>
      <c r="P942" s="67">
        <f ca="1"/>
        <v>202.26344678257192</v>
      </c>
    </row>
    <row r="943" spans="15:16" x14ac:dyDescent="0.25">
      <c r="O943" s="67">
        <f ca="1"/>
        <v>197.58186619681248</v>
      </c>
      <c r="P943" s="67">
        <f ca="1"/>
        <v>198.1197843776082</v>
      </c>
    </row>
    <row r="944" spans="15:16" x14ac:dyDescent="0.25">
      <c r="O944" s="67">
        <f ca="1"/>
        <v>195.93960631782656</v>
      </c>
      <c r="P944" s="67">
        <f ca="1"/>
        <v>195.40397597563245</v>
      </c>
    </row>
    <row r="945" spans="15:16" x14ac:dyDescent="0.25">
      <c r="O945" s="67">
        <f ca="1"/>
        <v>205.55036197662298</v>
      </c>
      <c r="P945" s="67">
        <f ca="1"/>
        <v>204.97436588930543</v>
      </c>
    </row>
    <row r="946" spans="15:16" x14ac:dyDescent="0.25">
      <c r="O946" s="67">
        <f ca="1"/>
        <v>206.86001532850739</v>
      </c>
      <c r="P946" s="67">
        <f ca="1"/>
        <v>206.37227422368429</v>
      </c>
    </row>
    <row r="947" spans="15:16" x14ac:dyDescent="0.25">
      <c r="O947" s="67">
        <f ca="1"/>
        <v>199.89041320996736</v>
      </c>
      <c r="P947" s="67">
        <f ca="1"/>
        <v>199.92831476945562</v>
      </c>
    </row>
    <row r="948" spans="15:16" x14ac:dyDescent="0.25">
      <c r="O948" s="67">
        <f ca="1"/>
        <v>198.62365685699012</v>
      </c>
      <c r="P948" s="67">
        <f ca="1"/>
        <v>199.24044135266081</v>
      </c>
    </row>
    <row r="949" spans="15:16" x14ac:dyDescent="0.25">
      <c r="O949" s="67">
        <f ca="1"/>
        <v>200.56344319748834</v>
      </c>
      <c r="P949" s="67">
        <f ca="1"/>
        <v>199.40763083758688</v>
      </c>
    </row>
    <row r="950" spans="15:16" x14ac:dyDescent="0.25">
      <c r="O950" s="67">
        <f ca="1"/>
        <v>195.52563416432054</v>
      </c>
      <c r="P950" s="67">
        <f ca="1"/>
        <v>195.26161637604244</v>
      </c>
    </row>
    <row r="951" spans="15:16" x14ac:dyDescent="0.25">
      <c r="O951" s="67">
        <f ca="1"/>
        <v>197.76635092605252</v>
      </c>
      <c r="P951" s="67">
        <f ca="1"/>
        <v>197.1576098757694</v>
      </c>
    </row>
    <row r="952" spans="15:16" x14ac:dyDescent="0.25">
      <c r="O952" s="67">
        <f ca="1"/>
        <v>204.36325129733268</v>
      </c>
      <c r="P952" s="67">
        <f ca="1"/>
        <v>204.35672740256115</v>
      </c>
    </row>
    <row r="953" spans="15:16" x14ac:dyDescent="0.25">
      <c r="O953" s="67">
        <f ca="1"/>
        <v>204.98290925995741</v>
      </c>
      <c r="P953" s="67">
        <f ca="1"/>
        <v>207.0358779040167</v>
      </c>
    </row>
    <row r="954" spans="15:16" x14ac:dyDescent="0.25">
      <c r="O954" s="67">
        <f ca="1"/>
        <v>200.36015740622216</v>
      </c>
      <c r="P954" s="67">
        <f ca="1"/>
        <v>199.04432803578308</v>
      </c>
    </row>
    <row r="955" spans="15:16" x14ac:dyDescent="0.25">
      <c r="O955" s="67">
        <f ca="1"/>
        <v>206.60992505751958</v>
      </c>
      <c r="P955" s="67">
        <f ca="1"/>
        <v>207.60567851513011</v>
      </c>
    </row>
    <row r="956" spans="15:16" x14ac:dyDescent="0.25">
      <c r="O956" s="67">
        <f ca="1"/>
        <v>190.66140382760673</v>
      </c>
      <c r="P956" s="67">
        <f ca="1"/>
        <v>191.15298978869421</v>
      </c>
    </row>
    <row r="957" spans="15:16" x14ac:dyDescent="0.25">
      <c r="O957" s="67">
        <f ca="1"/>
        <v>195.21603946744682</v>
      </c>
      <c r="P957" s="67">
        <f ca="1"/>
        <v>196.49767202673462</v>
      </c>
    </row>
    <row r="958" spans="15:16" x14ac:dyDescent="0.25">
      <c r="O958" s="67">
        <f ca="1"/>
        <v>200.49485032671109</v>
      </c>
      <c r="P958" s="67">
        <f ca="1"/>
        <v>200.75712707841834</v>
      </c>
    </row>
    <row r="959" spans="15:16" x14ac:dyDescent="0.25">
      <c r="O959" s="67">
        <f ca="1"/>
        <v>192.49791990139289</v>
      </c>
      <c r="P959" s="67">
        <f ca="1"/>
        <v>191.82532115775928</v>
      </c>
    </row>
    <row r="960" spans="15:16" x14ac:dyDescent="0.25">
      <c r="O960" s="67">
        <f ca="1"/>
        <v>197.66358240937063</v>
      </c>
      <c r="P960" s="67">
        <f ca="1"/>
        <v>197.89695767000356</v>
      </c>
    </row>
    <row r="961" spans="15:16" x14ac:dyDescent="0.25">
      <c r="O961" s="67">
        <f ca="1"/>
        <v>195.92046605365326</v>
      </c>
      <c r="P961" s="67">
        <f ca="1"/>
        <v>196.56608420123271</v>
      </c>
    </row>
    <row r="962" spans="15:16" x14ac:dyDescent="0.25">
      <c r="O962" s="67">
        <f ca="1"/>
        <v>204.64448017297454</v>
      </c>
      <c r="P962" s="67">
        <f ca="1"/>
        <v>203.25384466882807</v>
      </c>
    </row>
    <row r="963" spans="15:16" x14ac:dyDescent="0.25">
      <c r="O963" s="67">
        <f ca="1"/>
        <v>204.21353644727105</v>
      </c>
      <c r="P963" s="67">
        <f ca="1"/>
        <v>204.21814324137432</v>
      </c>
    </row>
    <row r="964" spans="15:16" x14ac:dyDescent="0.25">
      <c r="O964" s="67">
        <f ca="1"/>
        <v>203.35343465781133</v>
      </c>
      <c r="P964" s="67">
        <f ca="1"/>
        <v>202.03254322703532</v>
      </c>
    </row>
    <row r="965" spans="15:16" x14ac:dyDescent="0.25">
      <c r="O965" s="67">
        <f ca="1"/>
        <v>196.15423871466967</v>
      </c>
      <c r="P965" s="67">
        <f ca="1"/>
        <v>196.55256938115647</v>
      </c>
    </row>
    <row r="966" spans="15:16" x14ac:dyDescent="0.25">
      <c r="O966" s="67">
        <f ca="1"/>
        <v>200.9470735750609</v>
      </c>
      <c r="P966" s="67">
        <f ca="1"/>
        <v>200.82848145296197</v>
      </c>
    </row>
    <row r="967" spans="15:16" x14ac:dyDescent="0.25">
      <c r="O967" s="67">
        <f ca="1"/>
        <v>198.03702051050624</v>
      </c>
      <c r="P967" s="67">
        <f ca="1"/>
        <v>199.62287545536208</v>
      </c>
    </row>
    <row r="968" spans="15:16" x14ac:dyDescent="0.25">
      <c r="O968" s="67">
        <f ca="1"/>
        <v>201.9463367114943</v>
      </c>
      <c r="P968" s="67">
        <f ca="1"/>
        <v>201.3482655605242</v>
      </c>
    </row>
    <row r="969" spans="15:16" x14ac:dyDescent="0.25">
      <c r="O969" s="67">
        <f ca="1"/>
        <v>196.2482285747723</v>
      </c>
      <c r="P969" s="67">
        <f ca="1"/>
        <v>197.24736418313813</v>
      </c>
    </row>
    <row r="970" spans="15:16" x14ac:dyDescent="0.25">
      <c r="O970" s="67">
        <f ca="1"/>
        <v>200.75871167273931</v>
      </c>
      <c r="P970" s="67">
        <f ca="1"/>
        <v>199.85294943478723</v>
      </c>
    </row>
    <row r="971" spans="15:16" x14ac:dyDescent="0.25">
      <c r="O971" s="67">
        <f ca="1"/>
        <v>198.30093531978073</v>
      </c>
      <c r="P971" s="67">
        <f ca="1"/>
        <v>197.75457303693858</v>
      </c>
    </row>
    <row r="972" spans="15:16" x14ac:dyDescent="0.25">
      <c r="O972" s="67">
        <f ca="1"/>
        <v>202.56752853776101</v>
      </c>
      <c r="P972" s="67">
        <f ca="1"/>
        <v>203.52121028841918</v>
      </c>
    </row>
    <row r="973" spans="15:16" x14ac:dyDescent="0.25">
      <c r="O973" s="67">
        <f ca="1"/>
        <v>204.67279377106962</v>
      </c>
      <c r="P973" s="67">
        <f ca="1"/>
        <v>204.26048575355475</v>
      </c>
    </row>
    <row r="974" spans="15:16" x14ac:dyDescent="0.25">
      <c r="O974" s="67">
        <f ca="1"/>
        <v>199.82231744507658</v>
      </c>
      <c r="P974" s="67">
        <f ca="1"/>
        <v>198.49745176105722</v>
      </c>
    </row>
    <row r="975" spans="15:16" x14ac:dyDescent="0.25">
      <c r="O975" s="67">
        <f ca="1"/>
        <v>191.37367007277615</v>
      </c>
      <c r="P975" s="67">
        <f ca="1"/>
        <v>189.1792535633129</v>
      </c>
    </row>
    <row r="976" spans="15:16" x14ac:dyDescent="0.25">
      <c r="O976" s="67">
        <f ca="1"/>
        <v>199.42212243124399</v>
      </c>
      <c r="P976" s="67">
        <f ca="1"/>
        <v>199.2188578886151</v>
      </c>
    </row>
    <row r="977" spans="15:16" x14ac:dyDescent="0.25">
      <c r="O977" s="67">
        <f ca="1"/>
        <v>202.32584898075496</v>
      </c>
      <c r="P977" s="67">
        <f ca="1"/>
        <v>203.18903524492595</v>
      </c>
    </row>
    <row r="978" spans="15:16" x14ac:dyDescent="0.25">
      <c r="O978" s="67">
        <f ca="1"/>
        <v>203.4877190496089</v>
      </c>
      <c r="P978" s="67">
        <f ca="1"/>
        <v>203.69781639657722</v>
      </c>
    </row>
    <row r="979" spans="15:16" x14ac:dyDescent="0.25">
      <c r="O979" s="67">
        <f ca="1"/>
        <v>199.08027987771686</v>
      </c>
      <c r="P979" s="67">
        <f ca="1"/>
        <v>198.62212943668752</v>
      </c>
    </row>
    <row r="980" spans="15:16" x14ac:dyDescent="0.25">
      <c r="O980" s="67">
        <f ca="1"/>
        <v>200.12728887595506</v>
      </c>
      <c r="P980" s="67">
        <f ca="1"/>
        <v>199.63742061098731</v>
      </c>
    </row>
    <row r="981" spans="15:16" x14ac:dyDescent="0.25">
      <c r="O981" s="67">
        <f ca="1"/>
        <v>198.7573505140904</v>
      </c>
      <c r="P981" s="67">
        <f ca="1"/>
        <v>199.99380725023289</v>
      </c>
    </row>
    <row r="982" spans="15:16" x14ac:dyDescent="0.25">
      <c r="O982" s="67">
        <f ca="1"/>
        <v>200.47993156909732</v>
      </c>
      <c r="P982" s="67">
        <f ca="1"/>
        <v>199.69067080590841</v>
      </c>
    </row>
    <row r="983" spans="15:16" x14ac:dyDescent="0.25">
      <c r="O983" s="67">
        <f ca="1"/>
        <v>201.33301589033496</v>
      </c>
      <c r="P983" s="67">
        <f ca="1"/>
        <v>202.69080711975818</v>
      </c>
    </row>
    <row r="984" spans="15:16" x14ac:dyDescent="0.25">
      <c r="O984" s="67">
        <f ca="1"/>
        <v>198.92594229836106</v>
      </c>
      <c r="P984" s="67">
        <f ca="1"/>
        <v>201.55061065624298</v>
      </c>
    </row>
    <row r="985" spans="15:16" x14ac:dyDescent="0.25">
      <c r="O985" s="67">
        <f ca="1"/>
        <v>200.13816632176056</v>
      </c>
      <c r="P985" s="67">
        <f ca="1"/>
        <v>200.06770424226289</v>
      </c>
    </row>
    <row r="986" spans="15:16" x14ac:dyDescent="0.25">
      <c r="O986" s="67">
        <f ca="1"/>
        <v>197.58299670351192</v>
      </c>
      <c r="P986" s="67">
        <f ca="1"/>
        <v>196.55989722821491</v>
      </c>
    </row>
    <row r="987" spans="15:16" x14ac:dyDescent="0.25">
      <c r="O987" s="67">
        <f ca="1"/>
        <v>197.3891321150515</v>
      </c>
      <c r="P987" s="67">
        <f ca="1"/>
        <v>197.97271588765045</v>
      </c>
    </row>
    <row r="988" spans="15:16" x14ac:dyDescent="0.25">
      <c r="O988" s="67">
        <f ca="1"/>
        <v>198.15418069334552</v>
      </c>
      <c r="P988" s="67">
        <f ca="1"/>
        <v>197.63553056693496</v>
      </c>
    </row>
    <row r="989" spans="15:16" x14ac:dyDescent="0.25">
      <c r="O989" s="67">
        <f ca="1"/>
        <v>197.06052371540505</v>
      </c>
      <c r="P989" s="67">
        <f ca="1"/>
        <v>197.6858068799462</v>
      </c>
    </row>
    <row r="990" spans="15:16" x14ac:dyDescent="0.25">
      <c r="O990" s="67">
        <f ca="1"/>
        <v>198.60671032708754</v>
      </c>
      <c r="P990" s="67">
        <f ca="1"/>
        <v>196.34149962594554</v>
      </c>
    </row>
    <row r="991" spans="15:16" x14ac:dyDescent="0.25">
      <c r="O991" s="67">
        <f ca="1"/>
        <v>204.97995624339373</v>
      </c>
      <c r="P991" s="67">
        <f ca="1"/>
        <v>205.43769309878499</v>
      </c>
    </row>
    <row r="992" spans="15:16" x14ac:dyDescent="0.25">
      <c r="O992" s="67">
        <f ca="1"/>
        <v>195.25492409972466</v>
      </c>
      <c r="P992" s="67">
        <f ca="1"/>
        <v>195.90020429496315</v>
      </c>
    </row>
    <row r="993" spans="15:16" x14ac:dyDescent="0.25">
      <c r="O993" s="67">
        <f ca="1"/>
        <v>205.35667644978616</v>
      </c>
      <c r="P993" s="67">
        <f ca="1"/>
        <v>207.88414379440425</v>
      </c>
    </row>
    <row r="994" spans="15:16" x14ac:dyDescent="0.25">
      <c r="O994" s="67">
        <f ca="1"/>
        <v>202.40190738788857</v>
      </c>
      <c r="P994" s="67">
        <f ca="1"/>
        <v>202.59576594864063</v>
      </c>
    </row>
    <row r="995" spans="15:16" x14ac:dyDescent="0.25">
      <c r="O995" s="67">
        <f ca="1"/>
        <v>203.53123273664369</v>
      </c>
      <c r="P995" s="67">
        <f ca="1"/>
        <v>202.63360204420226</v>
      </c>
    </row>
    <row r="996" spans="15:16" x14ac:dyDescent="0.25">
      <c r="O996" s="67">
        <f ca="1"/>
        <v>197.59825291190484</v>
      </c>
      <c r="P996" s="67">
        <f ca="1"/>
        <v>198.4109673517801</v>
      </c>
    </row>
    <row r="997" spans="15:16" x14ac:dyDescent="0.25">
      <c r="O997" s="67">
        <f ca="1"/>
        <v>202.39602787027115</v>
      </c>
      <c r="P997" s="67">
        <f ca="1"/>
        <v>201.96363450324674</v>
      </c>
    </row>
    <row r="998" spans="15:16" x14ac:dyDescent="0.25">
      <c r="O998" s="67">
        <f ca="1"/>
        <v>200.60880553724107</v>
      </c>
      <c r="P998" s="67">
        <f ca="1"/>
        <v>200.22195805418463</v>
      </c>
    </row>
    <row r="999" spans="15:16" x14ac:dyDescent="0.25">
      <c r="O999" s="67">
        <f ca="1"/>
        <v>200.29075939192802</v>
      </c>
      <c r="P999" s="67">
        <f ca="1"/>
        <v>200.01620947801629</v>
      </c>
    </row>
    <row r="1000" spans="15:16" x14ac:dyDescent="0.25">
      <c r="O1000" s="67">
        <f ca="1"/>
        <v>202.26346823410904</v>
      </c>
      <c r="P1000" s="67">
        <f ca="1"/>
        <v>203.68570186879165</v>
      </c>
    </row>
    <row r="1001" spans="15:16" x14ac:dyDescent="0.25">
      <c r="O1001" s="67">
        <f ca="1"/>
        <v>208.58800655968761</v>
      </c>
      <c r="P1001" s="67">
        <f ca="1"/>
        <v>207.30931045895278</v>
      </c>
    </row>
    <row r="1002" spans="15:16" x14ac:dyDescent="0.25">
      <c r="O1002" s="67">
        <f ca="1"/>
        <v>199.30725215078775</v>
      </c>
      <c r="P1002" s="67">
        <f ca="1"/>
        <v>200.19101716011414</v>
      </c>
    </row>
    <row r="1003" spans="15:16" x14ac:dyDescent="0.25">
      <c r="O1003" s="67">
        <f ca="1"/>
        <v>198.75362347581969</v>
      </c>
      <c r="P1003" s="67">
        <f ca="1"/>
        <v>196.48494210176258</v>
      </c>
    </row>
    <row r="1004" spans="15:16" x14ac:dyDescent="0.25">
      <c r="O1004" s="67">
        <f ca="1"/>
        <v>200.68932250789021</v>
      </c>
      <c r="P1004" s="67">
        <f ca="1"/>
        <v>200.45875961859721</v>
      </c>
    </row>
    <row r="1005" spans="15:16" x14ac:dyDescent="0.25">
      <c r="O1005" s="67">
        <f ca="1"/>
        <v>206.99762821379099</v>
      </c>
      <c r="P1005" s="67">
        <f ca="1"/>
        <v>204.58299894103635</v>
      </c>
    </row>
    <row r="1006" spans="15:16" x14ac:dyDescent="0.25">
      <c r="O1006" s="67">
        <f ca="1"/>
        <v>197.27090943994867</v>
      </c>
      <c r="P1006" s="67">
        <f ca="1"/>
        <v>197.33147402093985</v>
      </c>
    </row>
    <row r="1007" spans="15:16" x14ac:dyDescent="0.25">
      <c r="O1007" s="67">
        <f ca="1"/>
        <v>199.63766094349938</v>
      </c>
      <c r="P1007" s="67">
        <f ca="1"/>
        <v>199.04928744443666</v>
      </c>
    </row>
    <row r="1008" spans="15:16" x14ac:dyDescent="0.25">
      <c r="O1008" s="67">
        <f ca="1"/>
        <v>200.60395530547007</v>
      </c>
      <c r="P1008" s="67">
        <f ca="1"/>
        <v>200.29583151251316</v>
      </c>
    </row>
    <row r="1009" spans="15:16" x14ac:dyDescent="0.25">
      <c r="O1009" s="67">
        <f ca="1"/>
        <v>206.23726105060857</v>
      </c>
      <c r="P1009" s="67">
        <f ca="1"/>
        <v>205.41572811920986</v>
      </c>
    </row>
    <row r="1010" spans="15:16" x14ac:dyDescent="0.25">
      <c r="O1010" s="67">
        <f ca="1"/>
        <v>202.52841232946693</v>
      </c>
      <c r="P1010" s="67">
        <f ca="1"/>
        <v>202.38808492787359</v>
      </c>
    </row>
    <row r="1011" spans="15:16" x14ac:dyDescent="0.25">
      <c r="O1011" s="67">
        <f ca="1"/>
        <v>195.50377209104772</v>
      </c>
      <c r="P1011" s="67">
        <f ca="1"/>
        <v>195.68090537286923</v>
      </c>
    </row>
    <row r="1012" spans="15:16" x14ac:dyDescent="0.25">
      <c r="O1012" s="67">
        <f ca="1"/>
        <v>197.29348764203004</v>
      </c>
      <c r="P1012" s="67">
        <f ca="1"/>
        <v>197.38824444330839</v>
      </c>
    </row>
    <row r="1013" spans="15:16" x14ac:dyDescent="0.25">
      <c r="O1013" s="67">
        <f ca="1"/>
        <v>197.80285037890249</v>
      </c>
      <c r="P1013" s="67">
        <f ca="1"/>
        <v>198.70709796924453</v>
      </c>
    </row>
    <row r="1014" spans="15:16" x14ac:dyDescent="0.25">
      <c r="O1014" s="67">
        <f ca="1"/>
        <v>195.96626060614079</v>
      </c>
      <c r="P1014" s="67">
        <f ca="1"/>
        <v>196.05331316931259</v>
      </c>
    </row>
    <row r="1015" spans="15:16" x14ac:dyDescent="0.25">
      <c r="O1015" s="67">
        <f ca="1"/>
        <v>201.75110157299699</v>
      </c>
      <c r="P1015" s="67">
        <f ca="1"/>
        <v>201.97906297030681</v>
      </c>
    </row>
    <row r="1016" spans="15:16" x14ac:dyDescent="0.25">
      <c r="O1016" s="67">
        <f ca="1"/>
        <v>201.59600447778672</v>
      </c>
      <c r="P1016" s="67">
        <f ca="1"/>
        <v>200.51263032061814</v>
      </c>
    </row>
    <row r="1017" spans="15:16" x14ac:dyDescent="0.25">
      <c r="O1017" s="67">
        <f ca="1"/>
        <v>196.11034696881634</v>
      </c>
      <c r="P1017" s="67">
        <f ca="1"/>
        <v>196.07339277482941</v>
      </c>
    </row>
    <row r="1018" spans="15:16" x14ac:dyDescent="0.25">
      <c r="O1018" s="67">
        <f ca="1"/>
        <v>202.2852676746885</v>
      </c>
      <c r="P1018" s="67">
        <f ca="1"/>
        <v>202.87663824831395</v>
      </c>
    </row>
    <row r="1019" spans="15:16" x14ac:dyDescent="0.25">
      <c r="O1019" s="67">
        <f ca="1"/>
        <v>203.68777470677406</v>
      </c>
      <c r="P1019" s="67">
        <f ca="1"/>
        <v>204.70130127055995</v>
      </c>
    </row>
    <row r="1020" spans="15:16" x14ac:dyDescent="0.25">
      <c r="O1020" s="67">
        <f ca="1"/>
        <v>198.57867025138486</v>
      </c>
      <c r="P1020" s="67">
        <f ca="1"/>
        <v>199.18250005121124</v>
      </c>
    </row>
    <row r="1021" spans="15:16" x14ac:dyDescent="0.25">
      <c r="O1021" s="67">
        <f ca="1"/>
        <v>200.94333205091576</v>
      </c>
      <c r="P1021" s="67">
        <f ca="1"/>
        <v>199.77790388823138</v>
      </c>
    </row>
    <row r="1022" spans="15:16" x14ac:dyDescent="0.25">
      <c r="O1022" s="67">
        <f ca="1"/>
        <v>194.47385481543142</v>
      </c>
      <c r="P1022" s="67">
        <f ca="1"/>
        <v>195.51838539699227</v>
      </c>
    </row>
    <row r="1023" spans="15:16" x14ac:dyDescent="0.25">
      <c r="O1023" s="67">
        <f ca="1"/>
        <v>200.1323815051168</v>
      </c>
      <c r="P1023" s="67">
        <f ca="1"/>
        <v>199.8053699943512</v>
      </c>
    </row>
    <row r="1024" spans="15:16" x14ac:dyDescent="0.25">
      <c r="O1024" s="67">
        <f ca="1"/>
        <v>201.64112779420628</v>
      </c>
      <c r="P1024" s="67">
        <f ca="1"/>
        <v>201.05920304378827</v>
      </c>
    </row>
    <row r="1025" spans="15:16" x14ac:dyDescent="0.25">
      <c r="O1025" s="67">
        <f ca="1"/>
        <v>203.81501451005803</v>
      </c>
      <c r="P1025" s="67">
        <f ca="1"/>
        <v>203.96651160675586</v>
      </c>
    </row>
    <row r="1026" spans="15:16" x14ac:dyDescent="0.25">
      <c r="O1026" s="67">
        <f ca="1"/>
        <v>201.18995133838601</v>
      </c>
      <c r="P1026" s="67">
        <f ca="1"/>
        <v>201.08739952087475</v>
      </c>
    </row>
    <row r="1027" spans="15:16" x14ac:dyDescent="0.25">
      <c r="O1027" s="67">
        <f ca="1"/>
        <v>200.71432904213239</v>
      </c>
      <c r="P1027" s="67">
        <f ca="1"/>
        <v>201.53703800393299</v>
      </c>
    </row>
    <row r="1028" spans="15:16" x14ac:dyDescent="0.25">
      <c r="O1028" s="67">
        <f ca="1"/>
        <v>203.55631978151041</v>
      </c>
      <c r="P1028" s="67">
        <f ca="1"/>
        <v>203.60213937982772</v>
      </c>
    </row>
    <row r="1029" spans="15:16" x14ac:dyDescent="0.25">
      <c r="O1029" s="67">
        <f ca="1"/>
        <v>198.24938516740212</v>
      </c>
      <c r="P1029" s="67">
        <f ca="1"/>
        <v>199.01209227562532</v>
      </c>
    </row>
    <row r="1030" spans="15:16" x14ac:dyDescent="0.25">
      <c r="O1030" s="67">
        <f ca="1"/>
        <v>208.64928277263849</v>
      </c>
      <c r="P1030" s="67">
        <f ca="1"/>
        <v>207.99965751323597</v>
      </c>
    </row>
    <row r="1031" spans="15:16" x14ac:dyDescent="0.25">
      <c r="O1031" s="67">
        <f ca="1"/>
        <v>204.90159683203521</v>
      </c>
      <c r="P1031" s="67">
        <f ca="1"/>
        <v>205.75033219255789</v>
      </c>
    </row>
    <row r="1032" spans="15:16" x14ac:dyDescent="0.25">
      <c r="O1032" s="67">
        <f ca="1"/>
        <v>197.73908439234199</v>
      </c>
      <c r="P1032" s="67">
        <f ca="1"/>
        <v>197.55296493957505</v>
      </c>
    </row>
    <row r="1033" spans="15:16" x14ac:dyDescent="0.25">
      <c r="O1033" s="67">
        <f ca="1"/>
        <v>203.94041073097642</v>
      </c>
      <c r="P1033" s="67">
        <f ca="1"/>
        <v>202.44885622224581</v>
      </c>
    </row>
    <row r="1034" spans="15:16" x14ac:dyDescent="0.25">
      <c r="O1034" s="67">
        <f ca="1"/>
        <v>198.2439374232334</v>
      </c>
      <c r="P1034" s="67">
        <f ca="1"/>
        <v>198.62394812131191</v>
      </c>
    </row>
  </sheetData>
  <mergeCells count="1">
    <mergeCell ref="B2:E2"/>
  </mergeCells>
  <conditionalFormatting sqref="B8:C8">
    <cfRule type="expression" dxfId="3" priority="1">
      <formula>IF($C$7&lt;&gt;"Manual",TRUE,FALSE)</formula>
    </cfRule>
  </conditionalFormatting>
  <conditionalFormatting sqref="B9:C9">
    <cfRule type="expression" dxfId="2" priority="2">
      <formula>IF($C$7&lt;&gt;"PFA",TRUE,FALSE)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E5038C3-A5EA-4F0A-B32C-B271FC5BE50E}">
          <x14:formula1>
            <xm:f>Lookups!$B$2:$B$5</xm:f>
          </x14:formula1>
          <xm:sqref>C7</xm:sqref>
        </x14:dataValidation>
        <x14:dataValidation type="list" allowBlank="1" showInputMessage="1" showErrorMessage="1" xr:uid="{E16E41B5-57CD-4C21-AF20-FC8F1216BDA7}">
          <x14:formula1>
            <xm:f>Lookups!$A$2:$A$5</xm:f>
          </x14:formula1>
          <xm:sqref>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9740-D903-4ED7-93AF-EEA56E3774DC}">
  <dimension ref="B1:Q1034"/>
  <sheetViews>
    <sheetView showGridLines="0" workbookViewId="0">
      <selection activeCell="Q3" sqref="Q3"/>
    </sheetView>
  </sheetViews>
  <sheetFormatPr defaultRowHeight="15" x14ac:dyDescent="0.25"/>
  <cols>
    <col min="2" max="2" width="31.85546875" customWidth="1"/>
    <col min="3" max="3" width="12" bestFit="1" customWidth="1"/>
    <col min="7" max="7" width="32" customWidth="1"/>
    <col min="8" max="11" width="15.5703125" customWidth="1"/>
    <col min="13" max="13" width="20.5703125" style="60" hidden="1" customWidth="1"/>
    <col min="14" max="14" width="13" style="60" hidden="1" customWidth="1"/>
    <col min="15" max="16" width="0" style="60" hidden="1" customWidth="1"/>
  </cols>
  <sheetData>
    <row r="1" spans="2:17" ht="15.75" thickBot="1" x14ac:dyDescent="0.3"/>
    <row r="2" spans="2:17" x14ac:dyDescent="0.25">
      <c r="B2" s="133" t="s">
        <v>66</v>
      </c>
      <c r="C2" s="134"/>
      <c r="D2" s="134"/>
      <c r="E2" s="135"/>
    </row>
    <row r="3" spans="2:17" x14ac:dyDescent="0.25">
      <c r="B3" s="1" t="s">
        <v>22</v>
      </c>
      <c r="C3" s="53">
        <v>2</v>
      </c>
      <c r="D3" s="52"/>
      <c r="E3" s="20"/>
      <c r="M3" s="61"/>
      <c r="N3" s="62"/>
      <c r="Q3" s="14" t="s">
        <v>69</v>
      </c>
    </row>
    <row r="4" spans="2:17" x14ac:dyDescent="0.25">
      <c r="B4" s="1" t="s">
        <v>60</v>
      </c>
      <c r="C4" s="53">
        <v>1</v>
      </c>
      <c r="D4" s="53"/>
      <c r="E4" s="3"/>
      <c r="M4" s="61" t="s">
        <v>22</v>
      </c>
      <c r="N4" s="62">
        <f>C3</f>
        <v>2</v>
      </c>
    </row>
    <row r="5" spans="2:17" x14ac:dyDescent="0.25">
      <c r="B5" s="1" t="s">
        <v>61</v>
      </c>
      <c r="C5" s="58">
        <v>0.5</v>
      </c>
      <c r="D5" s="53"/>
      <c r="E5" s="3"/>
      <c r="G5" s="49" t="str">
        <f>IF(ISERR(N7),"Cannot find product standard deviation satisfying ITP", "")</f>
        <v/>
      </c>
      <c r="M5" s="61" t="s">
        <v>62</v>
      </c>
      <c r="N5" s="62">
        <f>C4^2/C5^2</f>
        <v>4</v>
      </c>
    </row>
    <row r="6" spans="2:17" x14ac:dyDescent="0.25">
      <c r="B6" s="1" t="s">
        <v>5</v>
      </c>
      <c r="C6" s="55">
        <v>0.75</v>
      </c>
      <c r="D6" s="53"/>
      <c r="E6" s="3"/>
      <c r="M6" s="61" t="s">
        <v>63</v>
      </c>
      <c r="N6" s="62">
        <f>C4/C5^2</f>
        <v>4</v>
      </c>
    </row>
    <row r="7" spans="2:17" x14ac:dyDescent="0.25">
      <c r="B7" s="1" t="s">
        <v>6</v>
      </c>
      <c r="C7" s="56" t="s">
        <v>18</v>
      </c>
      <c r="D7" s="53"/>
      <c r="E7" s="3"/>
      <c r="M7" s="61"/>
      <c r="N7" s="62"/>
    </row>
    <row r="8" spans="2:17" x14ac:dyDescent="0.25">
      <c r="B8" s="1" t="s">
        <v>65</v>
      </c>
      <c r="C8" s="50">
        <v>2</v>
      </c>
      <c r="D8" s="53"/>
      <c r="E8" s="3"/>
      <c r="M8" s="61" t="s">
        <v>24</v>
      </c>
      <c r="N8" s="63" cm="1">
        <f t="array" ref="N8">GB_WIDTH_GAMMA(N4,N5,N6,C6/2,C9)</f>
        <v>1.1178725608712969E-2</v>
      </c>
    </row>
    <row r="9" spans="2:17" x14ac:dyDescent="0.25">
      <c r="B9" s="1" t="s">
        <v>45</v>
      </c>
      <c r="C9" s="59">
        <v>0.01</v>
      </c>
      <c r="D9" s="53"/>
      <c r="E9" s="3"/>
      <c r="M9" s="60" t="s">
        <v>26</v>
      </c>
      <c r="N9" s="64">
        <f>IF(C7="Manual", C8, IF(C7="None", C3, N4-N8))</f>
        <v>1.988821274391287</v>
      </c>
      <c r="O9" s="65"/>
    </row>
    <row r="10" spans="2:17" x14ac:dyDescent="0.25">
      <c r="B10" s="1"/>
      <c r="C10" s="57"/>
      <c r="D10" s="53"/>
      <c r="E10" s="3"/>
      <c r="O10" s="65"/>
    </row>
    <row r="11" spans="2:17" x14ac:dyDescent="0.25">
      <c r="B11" s="93" t="s">
        <v>10</v>
      </c>
      <c r="C11" s="94">
        <f>N9</f>
        <v>1.988821274391287</v>
      </c>
      <c r="D11" s="95"/>
      <c r="E11" s="96"/>
    </row>
    <row r="12" spans="2:17" x14ac:dyDescent="0.25">
      <c r="B12" s="93" t="s">
        <v>8</v>
      </c>
      <c r="C12" s="97">
        <f>(C3/C6/2)</f>
        <v>1.3333333333333333</v>
      </c>
      <c r="D12" s="98"/>
      <c r="E12" s="99"/>
    </row>
    <row r="13" spans="2:17" x14ac:dyDescent="0.25">
      <c r="B13" s="93" t="s">
        <v>50</v>
      </c>
      <c r="C13" s="100" cm="1">
        <f t="array" ref="C13">PFA_GAMMA(N4,N4,N5,N6,C6/2)</f>
        <v>1.0353841621691626E-2</v>
      </c>
      <c r="D13" s="98"/>
      <c r="E13" s="99"/>
      <c r="M13" s="61"/>
      <c r="N13" s="62"/>
    </row>
    <row r="14" spans="2:17" x14ac:dyDescent="0.25">
      <c r="B14" s="93" t="s">
        <v>51</v>
      </c>
      <c r="C14" s="100" cm="1">
        <f t="array" ref="C14">PFA_GAMMA(N4,N9,N5,N6,C6/2)</f>
        <v>1.0017972310060417E-2</v>
      </c>
      <c r="D14" s="98"/>
      <c r="E14" s="99"/>
      <c r="M14" s="61"/>
      <c r="N14" s="62"/>
    </row>
    <row r="15" spans="2:17" x14ac:dyDescent="0.25">
      <c r="B15" s="93" t="s">
        <v>52</v>
      </c>
      <c r="C15" s="101" cm="1">
        <f t="array" ref="C15">PFR_GAMMA(N4,N9,N5,N6,C6/2)</f>
        <v>7.1529228399845657E-2</v>
      </c>
      <c r="D15" s="102"/>
      <c r="E15" s="103"/>
    </row>
    <row r="16" spans="2:17" x14ac:dyDescent="0.25">
      <c r="B16" s="93" t="s">
        <v>46</v>
      </c>
      <c r="C16" s="104">
        <f>1-_xlfn.NORM.DIST(N4,N9,C6/2,TRUE)</f>
        <v>0.48810931766979504</v>
      </c>
      <c r="D16" s="102"/>
      <c r="E16" s="103"/>
    </row>
    <row r="17" spans="2:16" x14ac:dyDescent="0.25">
      <c r="B17" s="93" t="s">
        <v>47</v>
      </c>
      <c r="C17" s="104">
        <f>_xlfn.GAMMA.DIST(N4,N5,1/N6,TRUE)</f>
        <v>0.95761988800831599</v>
      </c>
      <c r="D17" s="102"/>
      <c r="E17" s="103"/>
    </row>
    <row r="18" spans="2:16" x14ac:dyDescent="0.25">
      <c r="B18" s="93" t="s">
        <v>48</v>
      </c>
      <c r="C18" s="105">
        <f>1-C17</f>
        <v>4.2380111991684011E-2</v>
      </c>
      <c r="D18" s="102"/>
      <c r="E18" s="103"/>
    </row>
    <row r="19" spans="2:16" ht="15.75" thickBot="1" x14ac:dyDescent="0.3">
      <c r="B19" s="106" t="s">
        <v>49</v>
      </c>
      <c r="C19" s="109">
        <f>ABS(_xlfn.NORM.S.INV(C18)/3)</f>
        <v>0.57456997207048988</v>
      </c>
      <c r="D19" s="87"/>
      <c r="E19" s="88"/>
    </row>
    <row r="20" spans="2:16" x14ac:dyDescent="0.25">
      <c r="B20" s="108"/>
    </row>
    <row r="29" spans="2:16" x14ac:dyDescent="0.25">
      <c r="M29" s="60" t="s">
        <v>67</v>
      </c>
      <c r="N29" s="60" t="s">
        <v>53</v>
      </c>
      <c r="O29" s="60" t="s">
        <v>54</v>
      </c>
      <c r="P29" s="60" t="s">
        <v>56</v>
      </c>
    </row>
    <row r="30" spans="2:16" x14ac:dyDescent="0.25">
      <c r="M30" s="60">
        <f>N30-(O30-N30)/2</f>
        <v>-1</v>
      </c>
      <c r="N30" s="66">
        <v>0</v>
      </c>
      <c r="O30" s="66">
        <f>N4</f>
        <v>2</v>
      </c>
      <c r="P30" s="66">
        <f>N9</f>
        <v>1.988821274391287</v>
      </c>
    </row>
    <row r="31" spans="2:16" x14ac:dyDescent="0.25">
      <c r="M31" s="60">
        <f>O31+(O31-N31)/2</f>
        <v>3</v>
      </c>
      <c r="N31" s="66">
        <v>0</v>
      </c>
      <c r="O31" s="66">
        <f>N4</f>
        <v>2</v>
      </c>
      <c r="P31" s="66">
        <f>N9</f>
        <v>1.988821274391287</v>
      </c>
    </row>
    <row r="33" spans="13:15" x14ac:dyDescent="0.25">
      <c r="M33" s="60" t="s">
        <v>57</v>
      </c>
      <c r="N33" s="60">
        <v>1000</v>
      </c>
    </row>
    <row r="34" spans="13:15" x14ac:dyDescent="0.25">
      <c r="N34" s="60" t="s">
        <v>58</v>
      </c>
      <c r="O34" s="60" t="s">
        <v>59</v>
      </c>
    </row>
    <row r="35" spans="13:15" x14ac:dyDescent="0.25">
      <c r="N35" s="60" cm="1">
        <f t="array" aca="1" ref="N35:O1034" ca="1">SAMPLES_JOINT_GAMMA(N5,N6,C6/2,N33)</f>
        <v>0.7858239467393221</v>
      </c>
      <c r="O35" s="60">
        <f ca="1"/>
        <v>0.97162150552020654</v>
      </c>
    </row>
    <row r="36" spans="13:15" x14ac:dyDescent="0.25">
      <c r="N36" s="60">
        <f ca="1"/>
        <v>1.4611748018900295</v>
      </c>
      <c r="O36" s="60">
        <f ca="1"/>
        <v>1.2406944834187186</v>
      </c>
    </row>
    <row r="37" spans="13:15" x14ac:dyDescent="0.25">
      <c r="N37" s="60">
        <f ca="1"/>
        <v>0.69274268600040823</v>
      </c>
      <c r="O37" s="60">
        <f ca="1"/>
        <v>5.6481343461291189E-2</v>
      </c>
    </row>
    <row r="38" spans="13:15" x14ac:dyDescent="0.25">
      <c r="N38" s="60">
        <f ca="1"/>
        <v>1.3197312963657555</v>
      </c>
      <c r="O38" s="60">
        <f ca="1"/>
        <v>2.4189940491792088</v>
      </c>
    </row>
    <row r="39" spans="13:15" x14ac:dyDescent="0.25">
      <c r="N39" s="60">
        <f ca="1"/>
        <v>0.72097755342617087</v>
      </c>
      <c r="O39" s="60">
        <f ca="1"/>
        <v>0.81539143641446699</v>
      </c>
    </row>
    <row r="40" spans="13:15" x14ac:dyDescent="0.25">
      <c r="N40" s="60">
        <f ca="1"/>
        <v>1.3225957308972733</v>
      </c>
      <c r="O40" s="60">
        <f ca="1"/>
        <v>1.4201871215518855</v>
      </c>
    </row>
    <row r="41" spans="13:15" x14ac:dyDescent="0.25">
      <c r="N41" s="60">
        <f ca="1"/>
        <v>1.0520846913596424</v>
      </c>
      <c r="O41" s="60">
        <f ca="1"/>
        <v>0.71324083252572223</v>
      </c>
    </row>
    <row r="42" spans="13:15" x14ac:dyDescent="0.25">
      <c r="N42" s="60">
        <f ca="1"/>
        <v>0.58268988733505922</v>
      </c>
      <c r="O42" s="60">
        <f ca="1"/>
        <v>0.80983823427244883</v>
      </c>
    </row>
    <row r="43" spans="13:15" x14ac:dyDescent="0.25">
      <c r="N43" s="60">
        <f ca="1"/>
        <v>0.22050925267537505</v>
      </c>
      <c r="O43" s="60">
        <f ca="1"/>
        <v>0.48712424171340474</v>
      </c>
    </row>
    <row r="44" spans="13:15" x14ac:dyDescent="0.25">
      <c r="N44" s="60">
        <f ca="1"/>
        <v>0.36620311896652946</v>
      </c>
      <c r="O44" s="60">
        <f ca="1"/>
        <v>0.51814229355468699</v>
      </c>
    </row>
    <row r="45" spans="13:15" x14ac:dyDescent="0.25">
      <c r="N45" s="60">
        <f ca="1"/>
        <v>1.1588206596409745</v>
      </c>
      <c r="O45" s="60">
        <f ca="1"/>
        <v>0.92667243209028116</v>
      </c>
    </row>
    <row r="46" spans="13:15" x14ac:dyDescent="0.25">
      <c r="N46" s="60">
        <f ca="1"/>
        <v>1.4432094560106659</v>
      </c>
      <c r="O46" s="60">
        <f ca="1"/>
        <v>1.2048041033964352</v>
      </c>
    </row>
    <row r="47" spans="13:15" x14ac:dyDescent="0.25">
      <c r="N47" s="60">
        <f ca="1"/>
        <v>0.90422619794280112</v>
      </c>
      <c r="O47" s="60">
        <f ca="1"/>
        <v>0.93216519179537338</v>
      </c>
    </row>
    <row r="48" spans="13:15" x14ac:dyDescent="0.25">
      <c r="N48" s="60">
        <f ca="1"/>
        <v>1.2393320563848031</v>
      </c>
      <c r="O48" s="60">
        <f ca="1"/>
        <v>1.2310155474719591</v>
      </c>
    </row>
    <row r="49" spans="14:15" x14ac:dyDescent="0.25">
      <c r="N49" s="60">
        <f ca="1"/>
        <v>0.5617058963921312</v>
      </c>
      <c r="O49" s="60">
        <f ca="1"/>
        <v>0.19870628594754669</v>
      </c>
    </row>
    <row r="50" spans="14:15" x14ac:dyDescent="0.25">
      <c r="N50" s="60">
        <f ca="1"/>
        <v>2.2013459890058176</v>
      </c>
      <c r="O50" s="60">
        <f ca="1"/>
        <v>1.7249369806229926</v>
      </c>
    </row>
    <row r="51" spans="14:15" x14ac:dyDescent="0.25">
      <c r="N51" s="60">
        <f ca="1"/>
        <v>0.77996541624376348</v>
      </c>
      <c r="O51" s="60">
        <f ca="1"/>
        <v>0.73412741362835821</v>
      </c>
    </row>
    <row r="52" spans="14:15" x14ac:dyDescent="0.25">
      <c r="N52" s="60">
        <f ca="1"/>
        <v>0.99940276666974848</v>
      </c>
      <c r="O52" s="60">
        <f ca="1"/>
        <v>0.60583171931963142</v>
      </c>
    </row>
    <row r="53" spans="14:15" x14ac:dyDescent="0.25">
      <c r="N53" s="60">
        <f ca="1"/>
        <v>1.0295013051884832</v>
      </c>
      <c r="O53" s="60">
        <f ca="1"/>
        <v>1.0987705548934437</v>
      </c>
    </row>
    <row r="54" spans="14:15" x14ac:dyDescent="0.25">
      <c r="N54" s="60">
        <f ca="1"/>
        <v>1.6864590560925945</v>
      </c>
      <c r="O54" s="60">
        <f ca="1"/>
        <v>1.7989924385381872</v>
      </c>
    </row>
    <row r="55" spans="14:15" x14ac:dyDescent="0.25">
      <c r="N55" s="60">
        <f ca="1"/>
        <v>1.4288572353000262</v>
      </c>
      <c r="O55" s="60">
        <f ca="1"/>
        <v>1.4694484250667126</v>
      </c>
    </row>
    <row r="56" spans="14:15" x14ac:dyDescent="0.25">
      <c r="N56" s="60">
        <f ca="1"/>
        <v>0.53139034846549016</v>
      </c>
      <c r="O56" s="60">
        <f ca="1"/>
        <v>0.19957252095906153</v>
      </c>
    </row>
    <row r="57" spans="14:15" x14ac:dyDescent="0.25">
      <c r="N57" s="60">
        <f ca="1"/>
        <v>1.3702849323548052</v>
      </c>
      <c r="O57" s="60">
        <f ca="1"/>
        <v>1.7723300994016888</v>
      </c>
    </row>
    <row r="58" spans="14:15" x14ac:dyDescent="0.25">
      <c r="N58" s="60">
        <f ca="1"/>
        <v>1.5327815280736727</v>
      </c>
      <c r="O58" s="60">
        <f ca="1"/>
        <v>2.4840626856643615</v>
      </c>
    </row>
    <row r="59" spans="14:15" x14ac:dyDescent="0.25">
      <c r="N59" s="60">
        <f ca="1"/>
        <v>0.81438082334854045</v>
      </c>
      <c r="O59" s="60">
        <f ca="1"/>
        <v>1.1399144774077141</v>
      </c>
    </row>
    <row r="60" spans="14:15" x14ac:dyDescent="0.25">
      <c r="N60" s="60">
        <f ca="1"/>
        <v>0.40312663125409992</v>
      </c>
      <c r="O60" s="60">
        <f ca="1"/>
        <v>0.9718331716368942</v>
      </c>
    </row>
    <row r="61" spans="14:15" x14ac:dyDescent="0.25">
      <c r="N61" s="60">
        <f ca="1"/>
        <v>0.97771186212246863</v>
      </c>
      <c r="O61" s="60">
        <f ca="1"/>
        <v>1.0007782110594607</v>
      </c>
    </row>
    <row r="62" spans="14:15" x14ac:dyDescent="0.25">
      <c r="N62" s="60">
        <f ca="1"/>
        <v>2.4208978910272827</v>
      </c>
      <c r="O62" s="60">
        <f ca="1"/>
        <v>3.0667459776494228</v>
      </c>
    </row>
    <row r="63" spans="14:15" x14ac:dyDescent="0.25">
      <c r="N63" s="60">
        <f ca="1"/>
        <v>0.67471377970102686</v>
      </c>
      <c r="O63" s="60">
        <f ca="1"/>
        <v>0.13837213085416888</v>
      </c>
    </row>
    <row r="64" spans="14:15" x14ac:dyDescent="0.25">
      <c r="N64" s="60">
        <f ca="1"/>
        <v>0.73789134348252805</v>
      </c>
      <c r="O64" s="60">
        <f ca="1"/>
        <v>0.92135894530267426</v>
      </c>
    </row>
    <row r="65" spans="14:15" x14ac:dyDescent="0.25">
      <c r="N65" s="60">
        <f ca="1"/>
        <v>0.51815955222920496</v>
      </c>
      <c r="O65" s="60">
        <f ca="1"/>
        <v>0.14801230147157374</v>
      </c>
    </row>
    <row r="66" spans="14:15" x14ac:dyDescent="0.25">
      <c r="N66" s="60">
        <f ca="1"/>
        <v>0.77990545541576017</v>
      </c>
      <c r="O66" s="60">
        <f ca="1"/>
        <v>1.149837985933805</v>
      </c>
    </row>
    <row r="67" spans="14:15" x14ac:dyDescent="0.25">
      <c r="N67" s="60">
        <f ca="1"/>
        <v>0.63355599892626258</v>
      </c>
      <c r="O67" s="60">
        <f ca="1"/>
        <v>0.39033439956946997</v>
      </c>
    </row>
    <row r="68" spans="14:15" x14ac:dyDescent="0.25">
      <c r="N68" s="60">
        <f ca="1"/>
        <v>1.0924810692346523</v>
      </c>
      <c r="O68" s="60">
        <f ca="1"/>
        <v>0.65405009032165851</v>
      </c>
    </row>
    <row r="69" spans="14:15" x14ac:dyDescent="0.25">
      <c r="N69" s="60">
        <f ca="1"/>
        <v>2.7493624699372434</v>
      </c>
      <c r="O69" s="60">
        <f ca="1"/>
        <v>2.768952207688264</v>
      </c>
    </row>
    <row r="70" spans="14:15" x14ac:dyDescent="0.25">
      <c r="N70" s="60">
        <f ca="1"/>
        <v>0.82872967642241424</v>
      </c>
      <c r="O70" s="60">
        <f ca="1"/>
        <v>0.56187296012411714</v>
      </c>
    </row>
    <row r="71" spans="14:15" x14ac:dyDescent="0.25">
      <c r="N71" s="60">
        <f ca="1"/>
        <v>1.0855522825807382</v>
      </c>
      <c r="O71" s="60">
        <f ca="1"/>
        <v>1.1021313604175818</v>
      </c>
    </row>
    <row r="72" spans="14:15" x14ac:dyDescent="0.25">
      <c r="N72" s="60">
        <f ca="1"/>
        <v>0.38791399881453237</v>
      </c>
      <c r="O72" s="60">
        <f ca="1"/>
        <v>-0.1585888624739048</v>
      </c>
    </row>
    <row r="73" spans="14:15" x14ac:dyDescent="0.25">
      <c r="N73" s="60">
        <f ca="1"/>
        <v>0.75309718962985872</v>
      </c>
      <c r="O73" s="60">
        <f ca="1"/>
        <v>1.0076688609585196</v>
      </c>
    </row>
    <row r="74" spans="14:15" x14ac:dyDescent="0.25">
      <c r="N74" s="60">
        <f ca="1"/>
        <v>1.0291799954139296</v>
      </c>
      <c r="O74" s="60">
        <f ca="1"/>
        <v>0.13862747352005766</v>
      </c>
    </row>
    <row r="75" spans="14:15" x14ac:dyDescent="0.25">
      <c r="N75" s="60">
        <f ca="1"/>
        <v>0.44546311460532656</v>
      </c>
      <c r="O75" s="60">
        <f ca="1"/>
        <v>0.46809506131990475</v>
      </c>
    </row>
    <row r="76" spans="14:15" x14ac:dyDescent="0.25">
      <c r="N76" s="60">
        <f ca="1"/>
        <v>0.37895674872130719</v>
      </c>
      <c r="O76" s="60">
        <f ca="1"/>
        <v>7.5888372835321516E-2</v>
      </c>
    </row>
    <row r="77" spans="14:15" x14ac:dyDescent="0.25">
      <c r="N77" s="60">
        <f ca="1"/>
        <v>0.44566067665178377</v>
      </c>
      <c r="O77" s="60">
        <f ca="1"/>
        <v>0.73023442561507201</v>
      </c>
    </row>
    <row r="78" spans="14:15" x14ac:dyDescent="0.25">
      <c r="N78" s="60">
        <f ca="1"/>
        <v>0.44909241837086117</v>
      </c>
      <c r="O78" s="60">
        <f ca="1"/>
        <v>0.47767976204457713</v>
      </c>
    </row>
    <row r="79" spans="14:15" x14ac:dyDescent="0.25">
      <c r="N79" s="60">
        <f ca="1"/>
        <v>1.1084149048090857</v>
      </c>
      <c r="O79" s="60">
        <f ca="1"/>
        <v>0.62447636384491945</v>
      </c>
    </row>
    <row r="80" spans="14:15" x14ac:dyDescent="0.25">
      <c r="N80" s="60">
        <f ca="1"/>
        <v>0.8745224756827954</v>
      </c>
      <c r="O80" s="60">
        <f ca="1"/>
        <v>-0.15273139853863849</v>
      </c>
    </row>
    <row r="81" spans="14:15" x14ac:dyDescent="0.25">
      <c r="N81" s="60">
        <f ca="1"/>
        <v>0.64752931247805112</v>
      </c>
      <c r="O81" s="60">
        <f ca="1"/>
        <v>4.7134843197197185E-2</v>
      </c>
    </row>
    <row r="82" spans="14:15" x14ac:dyDescent="0.25">
      <c r="N82" s="60">
        <f ca="1"/>
        <v>0.94945979149835269</v>
      </c>
      <c r="O82" s="60">
        <f ca="1"/>
        <v>0.14632397957570609</v>
      </c>
    </row>
    <row r="83" spans="14:15" x14ac:dyDescent="0.25">
      <c r="N83" s="60">
        <f ca="1"/>
        <v>1.9258888455335101</v>
      </c>
      <c r="O83" s="60">
        <f ca="1"/>
        <v>2.1980888307392861</v>
      </c>
    </row>
    <row r="84" spans="14:15" x14ac:dyDescent="0.25">
      <c r="N84" s="60">
        <f ca="1"/>
        <v>1.6170660873737952</v>
      </c>
      <c r="O84" s="60">
        <f ca="1"/>
        <v>1.7634669672334533</v>
      </c>
    </row>
    <row r="85" spans="14:15" x14ac:dyDescent="0.25">
      <c r="N85" s="60">
        <f ca="1"/>
        <v>0.40137007149343984</v>
      </c>
      <c r="O85" s="60">
        <f ca="1"/>
        <v>-8.6862556925411005E-2</v>
      </c>
    </row>
    <row r="86" spans="14:15" x14ac:dyDescent="0.25">
      <c r="N86" s="60">
        <f ca="1"/>
        <v>1.1314182073268624</v>
      </c>
      <c r="O86" s="60">
        <f ca="1"/>
        <v>1.5858234574066361</v>
      </c>
    </row>
    <row r="87" spans="14:15" x14ac:dyDescent="0.25">
      <c r="N87" s="60">
        <f ca="1"/>
        <v>0.71099153132415704</v>
      </c>
      <c r="O87" s="60">
        <f ca="1"/>
        <v>0.55161258476139696</v>
      </c>
    </row>
    <row r="88" spans="14:15" x14ac:dyDescent="0.25">
      <c r="N88" s="60">
        <f ca="1"/>
        <v>1.462926974973066</v>
      </c>
      <c r="O88" s="60">
        <f ca="1"/>
        <v>2.0844016144786068</v>
      </c>
    </row>
    <row r="89" spans="14:15" x14ac:dyDescent="0.25">
      <c r="N89" s="60">
        <f ca="1"/>
        <v>0.26646018215953104</v>
      </c>
      <c r="O89" s="60">
        <f ca="1"/>
        <v>0.36521938473221538</v>
      </c>
    </row>
    <row r="90" spans="14:15" x14ac:dyDescent="0.25">
      <c r="N90" s="60">
        <f ca="1"/>
        <v>1.1785998519182219</v>
      </c>
      <c r="O90" s="60">
        <f ca="1"/>
        <v>1.429726369734063</v>
      </c>
    </row>
    <row r="91" spans="14:15" x14ac:dyDescent="0.25">
      <c r="N91" s="60">
        <f ca="1"/>
        <v>1.252868326057315</v>
      </c>
      <c r="O91" s="60">
        <f ca="1"/>
        <v>1.5210671849059172</v>
      </c>
    </row>
    <row r="92" spans="14:15" x14ac:dyDescent="0.25">
      <c r="N92" s="60">
        <f ca="1"/>
        <v>1.102024921594317</v>
      </c>
      <c r="O92" s="60">
        <f ca="1"/>
        <v>0.79273432118209364</v>
      </c>
    </row>
    <row r="93" spans="14:15" x14ac:dyDescent="0.25">
      <c r="N93" s="60">
        <f ca="1"/>
        <v>0.50602164700557728</v>
      </c>
      <c r="O93" s="60">
        <f ca="1"/>
        <v>0.48044880161309833</v>
      </c>
    </row>
    <row r="94" spans="14:15" x14ac:dyDescent="0.25">
      <c r="N94" s="60">
        <f ca="1"/>
        <v>1.2925940581689963</v>
      </c>
      <c r="O94" s="60">
        <f ca="1"/>
        <v>0.88032809583126237</v>
      </c>
    </row>
    <row r="95" spans="14:15" x14ac:dyDescent="0.25">
      <c r="N95" s="60">
        <f ca="1"/>
        <v>2.4053421963104391</v>
      </c>
      <c r="O95" s="60">
        <f ca="1"/>
        <v>2.0450659274911649</v>
      </c>
    </row>
    <row r="96" spans="14:15" x14ac:dyDescent="0.25">
      <c r="N96" s="60">
        <f ca="1"/>
        <v>0.78089057654394189</v>
      </c>
      <c r="O96" s="60">
        <f ca="1"/>
        <v>1.1637197719057872</v>
      </c>
    </row>
    <row r="97" spans="14:15" x14ac:dyDescent="0.25">
      <c r="N97" s="60">
        <f ca="1"/>
        <v>0.99954142194076789</v>
      </c>
      <c r="O97" s="60">
        <f ca="1"/>
        <v>0.75900918941307705</v>
      </c>
    </row>
    <row r="98" spans="14:15" x14ac:dyDescent="0.25">
      <c r="N98" s="60">
        <f ca="1"/>
        <v>1.8169774764843094</v>
      </c>
      <c r="O98" s="60">
        <f ca="1"/>
        <v>2.0773908146799522</v>
      </c>
    </row>
    <row r="99" spans="14:15" x14ac:dyDescent="0.25">
      <c r="N99" s="60">
        <f ca="1"/>
        <v>0.5196787604713603</v>
      </c>
      <c r="O99" s="60">
        <f ca="1"/>
        <v>0.56223055571664571</v>
      </c>
    </row>
    <row r="100" spans="14:15" x14ac:dyDescent="0.25">
      <c r="N100" s="60">
        <f ca="1"/>
        <v>0.31278555945639969</v>
      </c>
      <c r="O100" s="60">
        <f ca="1"/>
        <v>0.64513709683948484</v>
      </c>
    </row>
    <row r="101" spans="14:15" x14ac:dyDescent="0.25">
      <c r="N101" s="60">
        <f ca="1"/>
        <v>1.5898286346454127</v>
      </c>
      <c r="O101" s="60">
        <f ca="1"/>
        <v>2.3250854167607646</v>
      </c>
    </row>
    <row r="102" spans="14:15" x14ac:dyDescent="0.25">
      <c r="N102" s="60">
        <f ca="1"/>
        <v>0.44137636907263544</v>
      </c>
      <c r="O102" s="60">
        <f ca="1"/>
        <v>0.65835209108490456</v>
      </c>
    </row>
    <row r="103" spans="14:15" x14ac:dyDescent="0.25">
      <c r="N103" s="60">
        <f ca="1"/>
        <v>1.0754243199916789</v>
      </c>
      <c r="O103" s="60">
        <f ca="1"/>
        <v>1.0033032773267647</v>
      </c>
    </row>
    <row r="104" spans="14:15" x14ac:dyDescent="0.25">
      <c r="N104" s="60">
        <f ca="1"/>
        <v>1.8338259800382064</v>
      </c>
      <c r="O104" s="60">
        <f ca="1"/>
        <v>1.7056902123987634</v>
      </c>
    </row>
    <row r="105" spans="14:15" x14ac:dyDescent="0.25">
      <c r="N105" s="60">
        <f ca="1"/>
        <v>1.2631406500826079</v>
      </c>
      <c r="O105" s="60">
        <f ca="1"/>
        <v>1.7423439133847505</v>
      </c>
    </row>
    <row r="106" spans="14:15" x14ac:dyDescent="0.25">
      <c r="N106" s="60">
        <f ca="1"/>
        <v>0.62286318969602306</v>
      </c>
      <c r="O106" s="60">
        <f ca="1"/>
        <v>0.20108116727710418</v>
      </c>
    </row>
    <row r="107" spans="14:15" x14ac:dyDescent="0.25">
      <c r="N107" s="60">
        <f ca="1"/>
        <v>1.1425325248970697</v>
      </c>
      <c r="O107" s="60">
        <f ca="1"/>
        <v>0.86396560393641786</v>
      </c>
    </row>
    <row r="108" spans="14:15" x14ac:dyDescent="0.25">
      <c r="N108" s="60">
        <f ca="1"/>
        <v>1.4572840109999599</v>
      </c>
      <c r="O108" s="60">
        <f ca="1"/>
        <v>1.4510995911979041</v>
      </c>
    </row>
    <row r="109" spans="14:15" x14ac:dyDescent="0.25">
      <c r="N109" s="60">
        <f ca="1"/>
        <v>0.47473320430052562</v>
      </c>
      <c r="O109" s="60">
        <f ca="1"/>
        <v>1.3373038870334879</v>
      </c>
    </row>
    <row r="110" spans="14:15" x14ac:dyDescent="0.25">
      <c r="N110" s="60">
        <f ca="1"/>
        <v>0.79468258532303215</v>
      </c>
      <c r="O110" s="60">
        <f ca="1"/>
        <v>0.99410067317107775</v>
      </c>
    </row>
    <row r="111" spans="14:15" x14ac:dyDescent="0.25">
      <c r="N111" s="60">
        <f ca="1"/>
        <v>0.49121997078721213</v>
      </c>
      <c r="O111" s="60">
        <f ca="1"/>
        <v>-0.10457227639528222</v>
      </c>
    </row>
    <row r="112" spans="14:15" x14ac:dyDescent="0.25">
      <c r="N112" s="60">
        <f ca="1"/>
        <v>0.47498357061834279</v>
      </c>
      <c r="O112" s="60">
        <f ca="1"/>
        <v>0.66019074220926732</v>
      </c>
    </row>
    <row r="113" spans="14:15" x14ac:dyDescent="0.25">
      <c r="N113" s="60">
        <f ca="1"/>
        <v>0.60274406249483514</v>
      </c>
      <c r="O113" s="60">
        <f ca="1"/>
        <v>0.60458070474491643</v>
      </c>
    </row>
    <row r="114" spans="14:15" x14ac:dyDescent="0.25">
      <c r="N114" s="60">
        <f ca="1"/>
        <v>1.1624441703178261</v>
      </c>
      <c r="O114" s="60">
        <f ca="1"/>
        <v>1.1868448236794888</v>
      </c>
    </row>
    <row r="115" spans="14:15" x14ac:dyDescent="0.25">
      <c r="N115" s="60">
        <f ca="1"/>
        <v>0.53259841422699539</v>
      </c>
      <c r="O115" s="60">
        <f ca="1"/>
        <v>0.70097811597016246</v>
      </c>
    </row>
    <row r="116" spans="14:15" x14ac:dyDescent="0.25">
      <c r="N116" s="60">
        <f ca="1"/>
        <v>1.4986850346459968</v>
      </c>
      <c r="O116" s="60">
        <f ca="1"/>
        <v>1.5662356725776092</v>
      </c>
    </row>
    <row r="117" spans="14:15" x14ac:dyDescent="0.25">
      <c r="N117" s="60">
        <f ca="1"/>
        <v>1.8426220049295827</v>
      </c>
      <c r="O117" s="60">
        <f ca="1"/>
        <v>2.0415506189210668</v>
      </c>
    </row>
    <row r="118" spans="14:15" x14ac:dyDescent="0.25">
      <c r="N118" s="60">
        <f ca="1"/>
        <v>1.2801005178067555</v>
      </c>
      <c r="O118" s="60">
        <f ca="1"/>
        <v>0.90816730315272909</v>
      </c>
    </row>
    <row r="119" spans="14:15" x14ac:dyDescent="0.25">
      <c r="N119" s="60">
        <f ca="1"/>
        <v>0.5810303189846826</v>
      </c>
      <c r="O119" s="60">
        <f ca="1"/>
        <v>0.62641997826990459</v>
      </c>
    </row>
    <row r="120" spans="14:15" x14ac:dyDescent="0.25">
      <c r="N120" s="60">
        <f ca="1"/>
        <v>0.78096899891225247</v>
      </c>
      <c r="O120" s="60">
        <f ca="1"/>
        <v>0.38276593612246523</v>
      </c>
    </row>
    <row r="121" spans="14:15" x14ac:dyDescent="0.25">
      <c r="N121" s="60">
        <f ca="1"/>
        <v>1.4011348376009136</v>
      </c>
      <c r="O121" s="60">
        <f ca="1"/>
        <v>1.2381470277183111</v>
      </c>
    </row>
    <row r="122" spans="14:15" x14ac:dyDescent="0.25">
      <c r="N122" s="60">
        <f ca="1"/>
        <v>0.78248791431310905</v>
      </c>
      <c r="O122" s="60">
        <f ca="1"/>
        <v>0.80075925407184412</v>
      </c>
    </row>
    <row r="123" spans="14:15" x14ac:dyDescent="0.25">
      <c r="N123" s="60">
        <f ca="1"/>
        <v>1.2328537936314949</v>
      </c>
      <c r="O123" s="60">
        <f ca="1"/>
        <v>1.1232964889313655</v>
      </c>
    </row>
    <row r="124" spans="14:15" x14ac:dyDescent="0.25">
      <c r="N124" s="60">
        <f ca="1"/>
        <v>0.63983367694689774</v>
      </c>
      <c r="O124" s="60">
        <f ca="1"/>
        <v>1.1424234296498199</v>
      </c>
    </row>
    <row r="125" spans="14:15" x14ac:dyDescent="0.25">
      <c r="N125" s="60">
        <f ca="1"/>
        <v>0.22216867368550561</v>
      </c>
      <c r="O125" s="60">
        <f ca="1"/>
        <v>0.63039842459076478</v>
      </c>
    </row>
    <row r="126" spans="14:15" x14ac:dyDescent="0.25">
      <c r="N126" s="60">
        <f ca="1"/>
        <v>0.27117897712295458</v>
      </c>
      <c r="O126" s="60">
        <f ca="1"/>
        <v>0.18574168393029322</v>
      </c>
    </row>
    <row r="127" spans="14:15" x14ac:dyDescent="0.25">
      <c r="N127" s="60">
        <f ca="1"/>
        <v>0.92658611225809806</v>
      </c>
      <c r="O127" s="60">
        <f ca="1"/>
        <v>1.1945961897674982</v>
      </c>
    </row>
    <row r="128" spans="14:15" x14ac:dyDescent="0.25">
      <c r="N128" s="60">
        <f ca="1"/>
        <v>0.64076349590506843</v>
      </c>
      <c r="O128" s="60">
        <f ca="1"/>
        <v>4.2730958054573942E-2</v>
      </c>
    </row>
    <row r="129" spans="14:15" x14ac:dyDescent="0.25">
      <c r="N129" s="60">
        <f ca="1"/>
        <v>0.89541550243647072</v>
      </c>
      <c r="O129" s="60">
        <f ca="1"/>
        <v>0.62334823305528153</v>
      </c>
    </row>
    <row r="130" spans="14:15" x14ac:dyDescent="0.25">
      <c r="N130" s="60">
        <f ca="1"/>
        <v>0.963095254497078</v>
      </c>
      <c r="O130" s="60">
        <f ca="1"/>
        <v>0.87378620256768336</v>
      </c>
    </row>
    <row r="131" spans="14:15" x14ac:dyDescent="0.25">
      <c r="N131" s="60">
        <f ca="1"/>
        <v>0.66433470775543679</v>
      </c>
      <c r="O131" s="60">
        <f ca="1"/>
        <v>0.3342311184215172</v>
      </c>
    </row>
    <row r="132" spans="14:15" x14ac:dyDescent="0.25">
      <c r="N132" s="60">
        <f ca="1"/>
        <v>1.2889829551202796</v>
      </c>
      <c r="O132" s="60">
        <f ca="1"/>
        <v>1.7855726146735824</v>
      </c>
    </row>
    <row r="133" spans="14:15" x14ac:dyDescent="0.25">
      <c r="N133" s="60">
        <f ca="1"/>
        <v>0.87241748100717387</v>
      </c>
      <c r="O133" s="60">
        <f ca="1"/>
        <v>0.57543582084871692</v>
      </c>
    </row>
    <row r="134" spans="14:15" x14ac:dyDescent="0.25">
      <c r="N134" s="60">
        <f ca="1"/>
        <v>0.63462954706025898</v>
      </c>
      <c r="O134" s="60">
        <f ca="1"/>
        <v>1.4491341669655677</v>
      </c>
    </row>
    <row r="135" spans="14:15" x14ac:dyDescent="0.25">
      <c r="N135" s="60">
        <f ca="1"/>
        <v>0.54992788955618044</v>
      </c>
      <c r="O135" s="60">
        <f ca="1"/>
        <v>-0.2565799866407189</v>
      </c>
    </row>
    <row r="136" spans="14:15" x14ac:dyDescent="0.25">
      <c r="N136" s="60">
        <f ca="1"/>
        <v>1.0046856865139224</v>
      </c>
      <c r="O136" s="60">
        <f ca="1"/>
        <v>0.95827092512212331</v>
      </c>
    </row>
    <row r="137" spans="14:15" x14ac:dyDescent="0.25">
      <c r="N137" s="60">
        <f ca="1"/>
        <v>0.88591549257456459</v>
      </c>
      <c r="O137" s="60">
        <f ca="1"/>
        <v>0.70087824803449328</v>
      </c>
    </row>
    <row r="138" spans="14:15" x14ac:dyDescent="0.25">
      <c r="N138" s="60">
        <f ca="1"/>
        <v>0.79003528830949299</v>
      </c>
      <c r="O138" s="60">
        <f ca="1"/>
        <v>0.81292863095367429</v>
      </c>
    </row>
    <row r="139" spans="14:15" x14ac:dyDescent="0.25">
      <c r="N139" s="60">
        <f ca="1"/>
        <v>1.0704829974322194</v>
      </c>
      <c r="O139" s="60">
        <f ca="1"/>
        <v>1.2790053463209019</v>
      </c>
    </row>
    <row r="140" spans="14:15" x14ac:dyDescent="0.25">
      <c r="N140" s="60">
        <f ca="1"/>
        <v>1.2456937459434638</v>
      </c>
      <c r="O140" s="60">
        <f ca="1"/>
        <v>1.4850376777770158</v>
      </c>
    </row>
    <row r="141" spans="14:15" x14ac:dyDescent="0.25">
      <c r="N141" s="60">
        <f ca="1"/>
        <v>1.0533352433203846</v>
      </c>
      <c r="O141" s="60">
        <f ca="1"/>
        <v>1.1630452882948374</v>
      </c>
    </row>
    <row r="142" spans="14:15" x14ac:dyDescent="0.25">
      <c r="N142" s="60">
        <f ca="1"/>
        <v>1.1271721186629249</v>
      </c>
      <c r="O142" s="60">
        <f ca="1"/>
        <v>1.6759974298657792</v>
      </c>
    </row>
    <row r="143" spans="14:15" x14ac:dyDescent="0.25">
      <c r="N143" s="60">
        <f ca="1"/>
        <v>0.17581715778186147</v>
      </c>
      <c r="O143" s="60">
        <f ca="1"/>
        <v>-2.9373669872990282E-2</v>
      </c>
    </row>
    <row r="144" spans="14:15" x14ac:dyDescent="0.25">
      <c r="N144" s="60">
        <f ca="1"/>
        <v>0.19695533006986166</v>
      </c>
      <c r="O144" s="60">
        <f ca="1"/>
        <v>-0.63221458788581342</v>
      </c>
    </row>
    <row r="145" spans="14:15" x14ac:dyDescent="0.25">
      <c r="N145" s="60">
        <f ca="1"/>
        <v>0.40485182088460159</v>
      </c>
      <c r="O145" s="60">
        <f ca="1"/>
        <v>0.40955825242587918</v>
      </c>
    </row>
    <row r="146" spans="14:15" x14ac:dyDescent="0.25">
      <c r="N146" s="60">
        <f ca="1"/>
        <v>0.84196165030778547</v>
      </c>
      <c r="O146" s="60">
        <f ca="1"/>
        <v>0.71820488903799407</v>
      </c>
    </row>
    <row r="147" spans="14:15" x14ac:dyDescent="0.25">
      <c r="N147" s="60">
        <f ca="1"/>
        <v>2.3452388241025419</v>
      </c>
      <c r="O147" s="60">
        <f ca="1"/>
        <v>2.7500702531854975</v>
      </c>
    </row>
    <row r="148" spans="14:15" x14ac:dyDescent="0.25">
      <c r="N148" s="60">
        <f ca="1"/>
        <v>0.13437138507529747</v>
      </c>
      <c r="O148" s="60">
        <f ca="1"/>
        <v>-0.27721701610000882</v>
      </c>
    </row>
    <row r="149" spans="14:15" x14ac:dyDescent="0.25">
      <c r="N149" s="60">
        <f ca="1"/>
        <v>0.48303888949878315</v>
      </c>
      <c r="O149" s="60">
        <f ca="1"/>
        <v>0.36228191859721365</v>
      </c>
    </row>
    <row r="150" spans="14:15" x14ac:dyDescent="0.25">
      <c r="N150" s="60">
        <f ca="1"/>
        <v>1.0286486340967806</v>
      </c>
      <c r="O150" s="60">
        <f ca="1"/>
        <v>1.5138592291331028</v>
      </c>
    </row>
    <row r="151" spans="14:15" x14ac:dyDescent="0.25">
      <c r="N151" s="60">
        <f ca="1"/>
        <v>0.92437798333994869</v>
      </c>
      <c r="O151" s="60">
        <f ca="1"/>
        <v>1.079281738109312</v>
      </c>
    </row>
    <row r="152" spans="14:15" x14ac:dyDescent="0.25">
      <c r="N152" s="60">
        <f ca="1"/>
        <v>0.52327969859147205</v>
      </c>
      <c r="O152" s="60">
        <f ca="1"/>
        <v>0.64181069882210828</v>
      </c>
    </row>
    <row r="153" spans="14:15" x14ac:dyDescent="0.25">
      <c r="N153" s="60">
        <f ca="1"/>
        <v>1.5470712513001488</v>
      </c>
      <c r="O153" s="60">
        <f ca="1"/>
        <v>1.4617021447745904</v>
      </c>
    </row>
    <row r="154" spans="14:15" x14ac:dyDescent="0.25">
      <c r="N154" s="60">
        <f ca="1"/>
        <v>1.2526555285653895</v>
      </c>
      <c r="O154" s="60">
        <f ca="1"/>
        <v>1.5195418131917608</v>
      </c>
    </row>
    <row r="155" spans="14:15" x14ac:dyDescent="0.25">
      <c r="N155" s="60">
        <f ca="1"/>
        <v>1.7121254832430559</v>
      </c>
      <c r="O155" s="60">
        <f ca="1"/>
        <v>0.83608938400882393</v>
      </c>
    </row>
    <row r="156" spans="14:15" x14ac:dyDescent="0.25">
      <c r="N156" s="60">
        <f ca="1"/>
        <v>1.0082695360483409</v>
      </c>
      <c r="O156" s="60">
        <f ca="1"/>
        <v>1.309030286852034</v>
      </c>
    </row>
    <row r="157" spans="14:15" x14ac:dyDescent="0.25">
      <c r="N157" s="60">
        <f ca="1"/>
        <v>0.30635611087278369</v>
      </c>
      <c r="O157" s="60">
        <f ca="1"/>
        <v>0.20675128298624623</v>
      </c>
    </row>
    <row r="158" spans="14:15" x14ac:dyDescent="0.25">
      <c r="N158" s="60">
        <f ca="1"/>
        <v>0.75398239090129937</v>
      </c>
      <c r="O158" s="60">
        <f ca="1"/>
        <v>1.485734358582893</v>
      </c>
    </row>
    <row r="159" spans="14:15" x14ac:dyDescent="0.25">
      <c r="N159" s="60">
        <f ca="1"/>
        <v>0.49618107746509593</v>
      </c>
      <c r="O159" s="60">
        <f ca="1"/>
        <v>0.44873343392672921</v>
      </c>
    </row>
    <row r="160" spans="14:15" x14ac:dyDescent="0.25">
      <c r="N160" s="60">
        <f ca="1"/>
        <v>1.3948753686088704</v>
      </c>
      <c r="O160" s="60">
        <f ca="1"/>
        <v>1.6704039386482974</v>
      </c>
    </row>
    <row r="161" spans="14:15" x14ac:dyDescent="0.25">
      <c r="N161" s="60">
        <f ca="1"/>
        <v>0.48616683833466806</v>
      </c>
      <c r="O161" s="60">
        <f ca="1"/>
        <v>0.93282538799594494</v>
      </c>
    </row>
    <row r="162" spans="14:15" x14ac:dyDescent="0.25">
      <c r="N162" s="60">
        <f ca="1"/>
        <v>0.78060083873864239</v>
      </c>
      <c r="O162" s="60">
        <f ca="1"/>
        <v>-0.17612140438916613</v>
      </c>
    </row>
    <row r="163" spans="14:15" x14ac:dyDescent="0.25">
      <c r="N163" s="60">
        <f ca="1"/>
        <v>1.329838284035106</v>
      </c>
      <c r="O163" s="60">
        <f ca="1"/>
        <v>1.5892420809766103</v>
      </c>
    </row>
    <row r="164" spans="14:15" x14ac:dyDescent="0.25">
      <c r="N164" s="60">
        <f ca="1"/>
        <v>1.0508166011053104</v>
      </c>
      <c r="O164" s="60">
        <f ca="1"/>
        <v>0.63295331493423279</v>
      </c>
    </row>
    <row r="165" spans="14:15" x14ac:dyDescent="0.25">
      <c r="N165" s="60">
        <f ca="1"/>
        <v>1.1284171879557268</v>
      </c>
      <c r="O165" s="60">
        <f ca="1"/>
        <v>0.78664941581615566</v>
      </c>
    </row>
    <row r="166" spans="14:15" x14ac:dyDescent="0.25">
      <c r="N166" s="60">
        <f ca="1"/>
        <v>0.75177802696049634</v>
      </c>
      <c r="O166" s="60">
        <f ca="1"/>
        <v>0.41120062928742834</v>
      </c>
    </row>
    <row r="167" spans="14:15" x14ac:dyDescent="0.25">
      <c r="N167" s="60">
        <f ca="1"/>
        <v>0.23511672628946356</v>
      </c>
      <c r="O167" s="60">
        <f ca="1"/>
        <v>0.13487325733272912</v>
      </c>
    </row>
    <row r="168" spans="14:15" x14ac:dyDescent="0.25">
      <c r="N168" s="60">
        <f ca="1"/>
        <v>1.5084258486281334</v>
      </c>
      <c r="O168" s="60">
        <f ca="1"/>
        <v>1.4475492602337099</v>
      </c>
    </row>
    <row r="169" spans="14:15" x14ac:dyDescent="0.25">
      <c r="N169" s="60">
        <f ca="1"/>
        <v>1.4565082961728761</v>
      </c>
      <c r="O169" s="60">
        <f ca="1"/>
        <v>1.2778843603583985</v>
      </c>
    </row>
    <row r="170" spans="14:15" x14ac:dyDescent="0.25">
      <c r="N170" s="60">
        <f ca="1"/>
        <v>1.6844642738295093</v>
      </c>
      <c r="O170" s="60">
        <f ca="1"/>
        <v>1.1900216224434026</v>
      </c>
    </row>
    <row r="171" spans="14:15" x14ac:dyDescent="0.25">
      <c r="N171" s="60">
        <f ca="1"/>
        <v>0.50135469936365396</v>
      </c>
      <c r="O171" s="60">
        <f ca="1"/>
        <v>1.1474470749968639</v>
      </c>
    </row>
    <row r="172" spans="14:15" x14ac:dyDescent="0.25">
      <c r="N172" s="60">
        <f ca="1"/>
        <v>0.53802670157877985</v>
      </c>
      <c r="O172" s="60">
        <f ca="1"/>
        <v>0.61140088476704535</v>
      </c>
    </row>
    <row r="173" spans="14:15" x14ac:dyDescent="0.25">
      <c r="N173" s="60">
        <f ca="1"/>
        <v>0.86176968279658317</v>
      </c>
      <c r="O173" s="60">
        <f ca="1"/>
        <v>1.612060317590398</v>
      </c>
    </row>
    <row r="174" spans="14:15" x14ac:dyDescent="0.25">
      <c r="N174" s="60">
        <f ca="1"/>
        <v>0.57616251464212664</v>
      </c>
      <c r="O174" s="60">
        <f ca="1"/>
        <v>0.36586342896745372</v>
      </c>
    </row>
    <row r="175" spans="14:15" x14ac:dyDescent="0.25">
      <c r="N175" s="60">
        <f ca="1"/>
        <v>1.211698341784391</v>
      </c>
      <c r="O175" s="60">
        <f ca="1"/>
        <v>1.2794712587326584</v>
      </c>
    </row>
    <row r="176" spans="14:15" x14ac:dyDescent="0.25">
      <c r="N176" s="60">
        <f ca="1"/>
        <v>1.3772421582556067</v>
      </c>
      <c r="O176" s="60">
        <f ca="1"/>
        <v>1.5112912490086872</v>
      </c>
    </row>
    <row r="177" spans="14:15" x14ac:dyDescent="0.25">
      <c r="N177" s="60">
        <f ca="1"/>
        <v>1.8651099461763048</v>
      </c>
      <c r="O177" s="60">
        <f ca="1"/>
        <v>1.8598209736819042</v>
      </c>
    </row>
    <row r="178" spans="14:15" x14ac:dyDescent="0.25">
      <c r="N178" s="60">
        <f ca="1"/>
        <v>0.91295041076687922</v>
      </c>
      <c r="O178" s="60">
        <f ca="1"/>
        <v>-9.131909894557555E-2</v>
      </c>
    </row>
    <row r="179" spans="14:15" x14ac:dyDescent="0.25">
      <c r="N179" s="60">
        <f ca="1"/>
        <v>0.66684101844551824</v>
      </c>
      <c r="O179" s="60">
        <f ca="1"/>
        <v>0.81324362739681977</v>
      </c>
    </row>
    <row r="180" spans="14:15" x14ac:dyDescent="0.25">
      <c r="N180" s="60">
        <f ca="1"/>
        <v>0.86416341598201751</v>
      </c>
      <c r="O180" s="60">
        <f ca="1"/>
        <v>0.65381316770582965</v>
      </c>
    </row>
    <row r="181" spans="14:15" x14ac:dyDescent="0.25">
      <c r="N181" s="60">
        <f ca="1"/>
        <v>0.93521111124354994</v>
      </c>
      <c r="O181" s="60">
        <f ca="1"/>
        <v>0.7788786187402521</v>
      </c>
    </row>
    <row r="182" spans="14:15" x14ac:dyDescent="0.25">
      <c r="N182" s="60">
        <f ca="1"/>
        <v>0.99307663410811708</v>
      </c>
      <c r="O182" s="60">
        <f ca="1"/>
        <v>1.4665343057568316</v>
      </c>
    </row>
    <row r="183" spans="14:15" x14ac:dyDescent="0.25">
      <c r="N183" s="60">
        <f ca="1"/>
        <v>1.875528302028868</v>
      </c>
      <c r="O183" s="60">
        <f ca="1"/>
        <v>2.1733092889740853</v>
      </c>
    </row>
    <row r="184" spans="14:15" x14ac:dyDescent="0.25">
      <c r="N184" s="60">
        <f ca="1"/>
        <v>1.4929597709074693</v>
      </c>
      <c r="O184" s="60">
        <f ca="1"/>
        <v>2.3802231594228638</v>
      </c>
    </row>
    <row r="185" spans="14:15" x14ac:dyDescent="0.25">
      <c r="N185" s="60">
        <f ca="1"/>
        <v>0.87257048720740193</v>
      </c>
      <c r="O185" s="60">
        <f ca="1"/>
        <v>1.1389589091338674</v>
      </c>
    </row>
    <row r="186" spans="14:15" x14ac:dyDescent="0.25">
      <c r="N186" s="60">
        <f ca="1"/>
        <v>1.7634887188413202</v>
      </c>
      <c r="O186" s="60">
        <f ca="1"/>
        <v>1.8553409285672393</v>
      </c>
    </row>
    <row r="187" spans="14:15" x14ac:dyDescent="0.25">
      <c r="N187" s="60">
        <f ca="1"/>
        <v>2.0422976034009004</v>
      </c>
      <c r="O187" s="60">
        <f ca="1"/>
        <v>2.281329184136859</v>
      </c>
    </row>
    <row r="188" spans="14:15" x14ac:dyDescent="0.25">
      <c r="N188" s="60">
        <f ca="1"/>
        <v>0.21076001645293402</v>
      </c>
      <c r="O188" s="60">
        <f ca="1"/>
        <v>1.2534278968634394</v>
      </c>
    </row>
    <row r="189" spans="14:15" x14ac:dyDescent="0.25">
      <c r="N189" s="60">
        <f ca="1"/>
        <v>1.4949520226426052</v>
      </c>
      <c r="O189" s="60">
        <f ca="1"/>
        <v>1.2011875080396348</v>
      </c>
    </row>
    <row r="190" spans="14:15" x14ac:dyDescent="0.25">
      <c r="N190" s="60">
        <f ca="1"/>
        <v>0.83791095421729855</v>
      </c>
      <c r="O190" s="60">
        <f ca="1"/>
        <v>0.41565603488562319</v>
      </c>
    </row>
    <row r="191" spans="14:15" x14ac:dyDescent="0.25">
      <c r="N191" s="60">
        <f ca="1"/>
        <v>1.0443387667231347</v>
      </c>
      <c r="O191" s="60">
        <f ca="1"/>
        <v>0.95335590576590612</v>
      </c>
    </row>
    <row r="192" spans="14:15" x14ac:dyDescent="0.25">
      <c r="N192" s="60">
        <f ca="1"/>
        <v>1.5649058319584868</v>
      </c>
      <c r="O192" s="60">
        <f ca="1"/>
        <v>2.4158648661922131</v>
      </c>
    </row>
    <row r="193" spans="14:15" x14ac:dyDescent="0.25">
      <c r="N193" s="60">
        <f ca="1"/>
        <v>1.8891439557866236</v>
      </c>
      <c r="O193" s="60">
        <f ca="1"/>
        <v>2.2620728223767554</v>
      </c>
    </row>
    <row r="194" spans="14:15" x14ac:dyDescent="0.25">
      <c r="N194" s="60">
        <f ca="1"/>
        <v>2.0121295118747367</v>
      </c>
      <c r="O194" s="60">
        <f ca="1"/>
        <v>2.532503235592185</v>
      </c>
    </row>
    <row r="195" spans="14:15" x14ac:dyDescent="0.25">
      <c r="N195" s="60">
        <f ca="1"/>
        <v>1.3704446741255654</v>
      </c>
      <c r="O195" s="60">
        <f ca="1"/>
        <v>1.5791131231244153</v>
      </c>
    </row>
    <row r="196" spans="14:15" x14ac:dyDescent="0.25">
      <c r="N196" s="60">
        <f ca="1"/>
        <v>0.68068285764134229</v>
      </c>
      <c r="O196" s="60">
        <f ca="1"/>
        <v>0.64674141411792774</v>
      </c>
    </row>
    <row r="197" spans="14:15" x14ac:dyDescent="0.25">
      <c r="N197" s="60">
        <f ca="1"/>
        <v>1.1641825625821594</v>
      </c>
      <c r="O197" s="60">
        <f ca="1"/>
        <v>1.1816022860095645</v>
      </c>
    </row>
    <row r="198" spans="14:15" x14ac:dyDescent="0.25">
      <c r="N198" s="60">
        <f ca="1"/>
        <v>1.517315798329185</v>
      </c>
      <c r="O198" s="60">
        <f ca="1"/>
        <v>1.6274896429354655</v>
      </c>
    </row>
    <row r="199" spans="14:15" x14ac:dyDescent="0.25">
      <c r="N199" s="60">
        <f ca="1"/>
        <v>0.66773669330032392</v>
      </c>
      <c r="O199" s="60">
        <f ca="1"/>
        <v>0.66829005105403738</v>
      </c>
    </row>
    <row r="200" spans="14:15" x14ac:dyDescent="0.25">
      <c r="N200" s="60">
        <f ca="1"/>
        <v>1.3231921519466445</v>
      </c>
      <c r="O200" s="60">
        <f ca="1"/>
        <v>1.9448719794028222</v>
      </c>
    </row>
    <row r="201" spans="14:15" x14ac:dyDescent="0.25">
      <c r="N201" s="60">
        <f ca="1"/>
        <v>0.82015755429547277</v>
      </c>
      <c r="O201" s="60">
        <f ca="1"/>
        <v>0.55421467093121235</v>
      </c>
    </row>
    <row r="202" spans="14:15" x14ac:dyDescent="0.25">
      <c r="N202" s="60">
        <f ca="1"/>
        <v>0.94966340955676698</v>
      </c>
      <c r="O202" s="60">
        <f ca="1"/>
        <v>0.29237469809562933</v>
      </c>
    </row>
    <row r="203" spans="14:15" x14ac:dyDescent="0.25">
      <c r="N203" s="60">
        <f ca="1"/>
        <v>1.6557586967635043</v>
      </c>
      <c r="O203" s="60">
        <f ca="1"/>
        <v>1.435311538617251</v>
      </c>
    </row>
    <row r="204" spans="14:15" x14ac:dyDescent="0.25">
      <c r="N204" s="60">
        <f ca="1"/>
        <v>1.0621777133760602</v>
      </c>
      <c r="O204" s="60">
        <f ca="1"/>
        <v>1.1413635020558246</v>
      </c>
    </row>
    <row r="205" spans="14:15" x14ac:dyDescent="0.25">
      <c r="N205" s="60">
        <f ca="1"/>
        <v>0.3361892493159771</v>
      </c>
      <c r="O205" s="60">
        <f ca="1"/>
        <v>0.94871346719312344</v>
      </c>
    </row>
    <row r="206" spans="14:15" x14ac:dyDescent="0.25">
      <c r="N206" s="60">
        <f ca="1"/>
        <v>0.88534370721767874</v>
      </c>
      <c r="O206" s="60">
        <f ca="1"/>
        <v>0.81328343530148772</v>
      </c>
    </row>
    <row r="207" spans="14:15" x14ac:dyDescent="0.25">
      <c r="N207" s="60">
        <f ca="1"/>
        <v>0.57100808828979277</v>
      </c>
      <c r="O207" s="60">
        <f ca="1"/>
        <v>0.63571088112700691</v>
      </c>
    </row>
    <row r="208" spans="14:15" x14ac:dyDescent="0.25">
      <c r="N208" s="60">
        <f ca="1"/>
        <v>1.3508197967278814</v>
      </c>
      <c r="O208" s="60">
        <f ca="1"/>
        <v>1.1389407500658002</v>
      </c>
    </row>
    <row r="209" spans="14:15" x14ac:dyDescent="0.25">
      <c r="N209" s="60">
        <f ca="1"/>
        <v>2.0454853391392875</v>
      </c>
      <c r="O209" s="60">
        <f ca="1"/>
        <v>1.2998495967462662</v>
      </c>
    </row>
    <row r="210" spans="14:15" x14ac:dyDescent="0.25">
      <c r="N210" s="60">
        <f ca="1"/>
        <v>1.0984930653967087</v>
      </c>
      <c r="O210" s="60">
        <f ca="1"/>
        <v>1.8570996612548898</v>
      </c>
    </row>
    <row r="211" spans="14:15" x14ac:dyDescent="0.25">
      <c r="N211" s="60">
        <f ca="1"/>
        <v>0.53900326695628298</v>
      </c>
      <c r="O211" s="60">
        <f ca="1"/>
        <v>0.39248326683495433</v>
      </c>
    </row>
    <row r="212" spans="14:15" x14ac:dyDescent="0.25">
      <c r="N212" s="60">
        <f ca="1"/>
        <v>0.39646317834264139</v>
      </c>
      <c r="O212" s="60">
        <f ca="1"/>
        <v>0.2129055726946138</v>
      </c>
    </row>
    <row r="213" spans="14:15" x14ac:dyDescent="0.25">
      <c r="N213" s="60">
        <f ca="1"/>
        <v>0.54079811120598953</v>
      </c>
      <c r="O213" s="60">
        <f ca="1"/>
        <v>1.4082300663862928</v>
      </c>
    </row>
    <row r="214" spans="14:15" x14ac:dyDescent="0.25">
      <c r="N214" s="60">
        <f ca="1"/>
        <v>0.63815231315282772</v>
      </c>
      <c r="O214" s="60">
        <f ca="1"/>
        <v>1.0189144370181906</v>
      </c>
    </row>
    <row r="215" spans="14:15" x14ac:dyDescent="0.25">
      <c r="N215" s="60">
        <f ca="1"/>
        <v>1.1598985891735871</v>
      </c>
      <c r="O215" s="60">
        <f ca="1"/>
        <v>1.4869075671473633</v>
      </c>
    </row>
    <row r="216" spans="14:15" x14ac:dyDescent="0.25">
      <c r="N216" s="60">
        <f ca="1"/>
        <v>0.64295428262475007</v>
      </c>
      <c r="O216" s="60">
        <f ca="1"/>
        <v>0.44074682751007982</v>
      </c>
    </row>
    <row r="217" spans="14:15" x14ac:dyDescent="0.25">
      <c r="N217" s="60">
        <f ca="1"/>
        <v>0.70947517407846528</v>
      </c>
      <c r="O217" s="60">
        <f ca="1"/>
        <v>1.196888832569587</v>
      </c>
    </row>
    <row r="218" spans="14:15" x14ac:dyDescent="0.25">
      <c r="N218" s="60">
        <f ca="1"/>
        <v>0.56530120800415917</v>
      </c>
      <c r="O218" s="60">
        <f ca="1"/>
        <v>0.47469272415546171</v>
      </c>
    </row>
    <row r="219" spans="14:15" x14ac:dyDescent="0.25">
      <c r="N219" s="60">
        <f ca="1"/>
        <v>1.8678505475485687</v>
      </c>
      <c r="O219" s="60">
        <f ca="1"/>
        <v>1.6365631717097591</v>
      </c>
    </row>
    <row r="220" spans="14:15" x14ac:dyDescent="0.25">
      <c r="N220" s="60">
        <f ca="1"/>
        <v>0.34681873788276851</v>
      </c>
      <c r="O220" s="60">
        <f ca="1"/>
        <v>0.27650416941332479</v>
      </c>
    </row>
    <row r="221" spans="14:15" x14ac:dyDescent="0.25">
      <c r="N221" s="60">
        <f ca="1"/>
        <v>0.47179034447265777</v>
      </c>
      <c r="O221" s="60">
        <f ca="1"/>
        <v>0.36886593498654696</v>
      </c>
    </row>
    <row r="222" spans="14:15" x14ac:dyDescent="0.25">
      <c r="N222" s="60">
        <f ca="1"/>
        <v>1.0129854915136312</v>
      </c>
      <c r="O222" s="60">
        <f ca="1"/>
        <v>0.46284908828811355</v>
      </c>
    </row>
    <row r="223" spans="14:15" x14ac:dyDescent="0.25">
      <c r="N223" s="60">
        <f ca="1"/>
        <v>1.7790955608592189</v>
      </c>
      <c r="O223" s="60">
        <f ca="1"/>
        <v>1.6951110796235758</v>
      </c>
    </row>
    <row r="224" spans="14:15" x14ac:dyDescent="0.25">
      <c r="N224" s="60">
        <f ca="1"/>
        <v>0.42016039531375904</v>
      </c>
      <c r="O224" s="60">
        <f ca="1"/>
        <v>1.0402181621120774</v>
      </c>
    </row>
    <row r="225" spans="14:15" x14ac:dyDescent="0.25">
      <c r="N225" s="60">
        <f ca="1"/>
        <v>0.87944566513280309</v>
      </c>
      <c r="O225" s="60">
        <f ca="1"/>
        <v>1.3236283505947397</v>
      </c>
    </row>
    <row r="226" spans="14:15" x14ac:dyDescent="0.25">
      <c r="N226" s="60">
        <f ca="1"/>
        <v>0.65489602618810117</v>
      </c>
      <c r="O226" s="60">
        <f ca="1"/>
        <v>0.65730144396532164</v>
      </c>
    </row>
    <row r="227" spans="14:15" x14ac:dyDescent="0.25">
      <c r="N227" s="60">
        <f ca="1"/>
        <v>1.9055711184925999</v>
      </c>
      <c r="O227" s="60">
        <f ca="1"/>
        <v>2.0789391012797016</v>
      </c>
    </row>
    <row r="228" spans="14:15" x14ac:dyDescent="0.25">
      <c r="N228" s="60">
        <f ca="1"/>
        <v>0.58332640002030678</v>
      </c>
      <c r="O228" s="60">
        <f ca="1"/>
        <v>1.0081600135695625</v>
      </c>
    </row>
    <row r="229" spans="14:15" x14ac:dyDescent="0.25">
      <c r="N229" s="60">
        <f ca="1"/>
        <v>0.59660731262678346</v>
      </c>
      <c r="O229" s="60">
        <f ca="1"/>
        <v>0.81280678417980057</v>
      </c>
    </row>
    <row r="230" spans="14:15" x14ac:dyDescent="0.25">
      <c r="N230" s="60">
        <f ca="1"/>
        <v>1.6987177253059109</v>
      </c>
      <c r="O230" s="60">
        <f ca="1"/>
        <v>1.2999858576193493</v>
      </c>
    </row>
    <row r="231" spans="14:15" x14ac:dyDescent="0.25">
      <c r="N231" s="60">
        <f ca="1"/>
        <v>1.3636276912723146</v>
      </c>
      <c r="O231" s="60">
        <f ca="1"/>
        <v>1.5326793791459119</v>
      </c>
    </row>
    <row r="232" spans="14:15" x14ac:dyDescent="0.25">
      <c r="N232" s="60">
        <f ca="1"/>
        <v>1.7270538747715556</v>
      </c>
      <c r="O232" s="60">
        <f ca="1"/>
        <v>0.76276048730030044</v>
      </c>
    </row>
    <row r="233" spans="14:15" x14ac:dyDescent="0.25">
      <c r="N233" s="60">
        <f ca="1"/>
        <v>0.76576160322530695</v>
      </c>
      <c r="O233" s="60">
        <f ca="1"/>
        <v>0.81701090674246046</v>
      </c>
    </row>
    <row r="234" spans="14:15" x14ac:dyDescent="0.25">
      <c r="N234" s="60">
        <f ca="1"/>
        <v>1.2139468837090093</v>
      </c>
      <c r="O234" s="60">
        <f ca="1"/>
        <v>0.86464556212334698</v>
      </c>
    </row>
    <row r="235" spans="14:15" x14ac:dyDescent="0.25">
      <c r="N235" s="60">
        <f ca="1"/>
        <v>1.469478076179187</v>
      </c>
      <c r="O235" s="60">
        <f ca="1"/>
        <v>2.128111863422721</v>
      </c>
    </row>
    <row r="236" spans="14:15" x14ac:dyDescent="0.25">
      <c r="N236" s="60">
        <f ca="1"/>
        <v>1.1680216824718654</v>
      </c>
      <c r="O236" s="60">
        <f ca="1"/>
        <v>1.5643817778725522</v>
      </c>
    </row>
    <row r="237" spans="14:15" x14ac:dyDescent="0.25">
      <c r="N237" s="60">
        <f ca="1"/>
        <v>0.90977085395666257</v>
      </c>
      <c r="O237" s="60">
        <f ca="1"/>
        <v>0.62378591260243832</v>
      </c>
    </row>
    <row r="238" spans="14:15" x14ac:dyDescent="0.25">
      <c r="N238" s="60">
        <f ca="1"/>
        <v>0.99736862767540879</v>
      </c>
      <c r="O238" s="60">
        <f ca="1"/>
        <v>1.0141930040945379</v>
      </c>
    </row>
    <row r="239" spans="14:15" x14ac:dyDescent="0.25">
      <c r="N239" s="60">
        <f ca="1"/>
        <v>0.71971221683194353</v>
      </c>
      <c r="O239" s="60">
        <f ca="1"/>
        <v>0.78045684497170564</v>
      </c>
    </row>
    <row r="240" spans="14:15" x14ac:dyDescent="0.25">
      <c r="N240" s="60">
        <f ca="1"/>
        <v>1.0614850434006431</v>
      </c>
      <c r="O240" s="60">
        <f ca="1"/>
        <v>0.88940190609027803</v>
      </c>
    </row>
    <row r="241" spans="14:15" x14ac:dyDescent="0.25">
      <c r="N241" s="60">
        <f ca="1"/>
        <v>0.40483231960873811</v>
      </c>
      <c r="O241" s="60">
        <f ca="1"/>
        <v>0.27733792080983305</v>
      </c>
    </row>
    <row r="242" spans="14:15" x14ac:dyDescent="0.25">
      <c r="N242" s="60">
        <f ca="1"/>
        <v>1.1791379349214401</v>
      </c>
      <c r="O242" s="60">
        <f ca="1"/>
        <v>1.060256113821717</v>
      </c>
    </row>
    <row r="243" spans="14:15" x14ac:dyDescent="0.25">
      <c r="N243" s="60">
        <f ca="1"/>
        <v>1.4386199487065123</v>
      </c>
      <c r="O243" s="60">
        <f ca="1"/>
        <v>1.9107169832402988</v>
      </c>
    </row>
    <row r="244" spans="14:15" x14ac:dyDescent="0.25">
      <c r="N244" s="60">
        <f ca="1"/>
        <v>0.67272198355473622</v>
      </c>
      <c r="O244" s="60">
        <f ca="1"/>
        <v>0.76155880463424608</v>
      </c>
    </row>
    <row r="245" spans="14:15" x14ac:dyDescent="0.25">
      <c r="N245" s="60">
        <f ca="1"/>
        <v>0.58542895252235216</v>
      </c>
      <c r="O245" s="60">
        <f ca="1"/>
        <v>0.34800497612488879</v>
      </c>
    </row>
    <row r="246" spans="14:15" x14ac:dyDescent="0.25">
      <c r="N246" s="60">
        <f ca="1"/>
        <v>0.727318134053483</v>
      </c>
      <c r="O246" s="60">
        <f ca="1"/>
        <v>0.60471019741774579</v>
      </c>
    </row>
    <row r="247" spans="14:15" x14ac:dyDescent="0.25">
      <c r="N247" s="60">
        <f ca="1"/>
        <v>2.10236872543505</v>
      </c>
      <c r="O247" s="60">
        <f ca="1"/>
        <v>1.9026616730368973</v>
      </c>
    </row>
    <row r="248" spans="14:15" x14ac:dyDescent="0.25">
      <c r="N248" s="60">
        <f ca="1"/>
        <v>1.4534124216659046</v>
      </c>
      <c r="O248" s="60">
        <f ca="1"/>
        <v>1.1590331723290266</v>
      </c>
    </row>
    <row r="249" spans="14:15" x14ac:dyDescent="0.25">
      <c r="N249" s="60">
        <f ca="1"/>
        <v>0.26770988708507937</v>
      </c>
      <c r="O249" s="60">
        <f ca="1"/>
        <v>-9.9402313960687771E-2</v>
      </c>
    </row>
    <row r="250" spans="14:15" x14ac:dyDescent="0.25">
      <c r="N250" s="60">
        <f ca="1"/>
        <v>1.1923608038254314</v>
      </c>
      <c r="O250" s="60">
        <f ca="1"/>
        <v>1.147004477998439</v>
      </c>
    </row>
    <row r="251" spans="14:15" x14ac:dyDescent="0.25">
      <c r="N251" s="60">
        <f ca="1"/>
        <v>0.7424424824775957</v>
      </c>
      <c r="O251" s="60">
        <f ca="1"/>
        <v>1.1126533956919265</v>
      </c>
    </row>
    <row r="252" spans="14:15" x14ac:dyDescent="0.25">
      <c r="N252" s="60">
        <f ca="1"/>
        <v>0.98752196888565147</v>
      </c>
      <c r="O252" s="60">
        <f ca="1"/>
        <v>1.1970852149634141</v>
      </c>
    </row>
    <row r="253" spans="14:15" x14ac:dyDescent="0.25">
      <c r="N253" s="60">
        <f ca="1"/>
        <v>1.3622022573770545</v>
      </c>
      <c r="O253" s="60">
        <f ca="1"/>
        <v>1.2841459326032929</v>
      </c>
    </row>
    <row r="254" spans="14:15" x14ac:dyDescent="0.25">
      <c r="N254" s="60">
        <f ca="1"/>
        <v>0.37969310489577918</v>
      </c>
      <c r="O254" s="60">
        <f ca="1"/>
        <v>0.61689746607626428</v>
      </c>
    </row>
    <row r="255" spans="14:15" x14ac:dyDescent="0.25">
      <c r="N255" s="60">
        <f ca="1"/>
        <v>0.81172738824799584</v>
      </c>
      <c r="O255" s="60">
        <f ca="1"/>
        <v>0.43416595558762661</v>
      </c>
    </row>
    <row r="256" spans="14:15" x14ac:dyDescent="0.25">
      <c r="N256" s="60">
        <f ca="1"/>
        <v>0.68011256684022814</v>
      </c>
      <c r="O256" s="60">
        <f ca="1"/>
        <v>0.84490019310881315</v>
      </c>
    </row>
    <row r="257" spans="14:15" x14ac:dyDescent="0.25">
      <c r="N257" s="60">
        <f ca="1"/>
        <v>1.0543172749913869</v>
      </c>
      <c r="O257" s="60">
        <f ca="1"/>
        <v>1.0992926272113488</v>
      </c>
    </row>
    <row r="258" spans="14:15" x14ac:dyDescent="0.25">
      <c r="N258" s="60">
        <f ca="1"/>
        <v>0.99498852809200822</v>
      </c>
      <c r="O258" s="60">
        <f ca="1"/>
        <v>1.3537415864474918</v>
      </c>
    </row>
    <row r="259" spans="14:15" x14ac:dyDescent="0.25">
      <c r="N259" s="60">
        <f ca="1"/>
        <v>0.71283637621882867</v>
      </c>
      <c r="O259" s="60">
        <f ca="1"/>
        <v>0.52589613744829733</v>
      </c>
    </row>
    <row r="260" spans="14:15" x14ac:dyDescent="0.25">
      <c r="N260" s="60">
        <f ca="1"/>
        <v>1.8324109210382795</v>
      </c>
      <c r="O260" s="60">
        <f ca="1"/>
        <v>1.8549791851856063</v>
      </c>
    </row>
    <row r="261" spans="14:15" x14ac:dyDescent="0.25">
      <c r="N261" s="60">
        <f ca="1"/>
        <v>0.82695348046794837</v>
      </c>
      <c r="O261" s="60">
        <f ca="1"/>
        <v>0.88207719239111282</v>
      </c>
    </row>
    <row r="262" spans="14:15" x14ac:dyDescent="0.25">
      <c r="N262" s="60">
        <f ca="1"/>
        <v>1.6969256382306661</v>
      </c>
      <c r="O262" s="60">
        <f ca="1"/>
        <v>1.4625165954679287</v>
      </c>
    </row>
    <row r="263" spans="14:15" x14ac:dyDescent="0.25">
      <c r="N263" s="60">
        <f ca="1"/>
        <v>0.50114619007507322</v>
      </c>
      <c r="O263" s="60">
        <f ca="1"/>
        <v>0.45958811233779617</v>
      </c>
    </row>
    <row r="264" spans="14:15" x14ac:dyDescent="0.25">
      <c r="N264" s="60">
        <f ca="1"/>
        <v>1.0339981685385853</v>
      </c>
      <c r="O264" s="60">
        <f ca="1"/>
        <v>1.2229874873382387</v>
      </c>
    </row>
    <row r="265" spans="14:15" x14ac:dyDescent="0.25">
      <c r="N265" s="60">
        <f ca="1"/>
        <v>1.2434897556801623</v>
      </c>
      <c r="O265" s="60">
        <f ca="1"/>
        <v>0.83499212291106872</v>
      </c>
    </row>
    <row r="266" spans="14:15" x14ac:dyDescent="0.25">
      <c r="N266" s="60">
        <f ca="1"/>
        <v>0.9361313676379337</v>
      </c>
      <c r="O266" s="60">
        <f ca="1"/>
        <v>0.44550304351831893</v>
      </c>
    </row>
    <row r="267" spans="14:15" x14ac:dyDescent="0.25">
      <c r="N267" s="60">
        <f ca="1"/>
        <v>0.59258477710652735</v>
      </c>
      <c r="O267" s="60">
        <f ca="1"/>
        <v>1.1945072395090353</v>
      </c>
    </row>
    <row r="268" spans="14:15" x14ac:dyDescent="0.25">
      <c r="N268" s="60">
        <f ca="1"/>
        <v>1.197514351762385</v>
      </c>
      <c r="O268" s="60">
        <f ca="1"/>
        <v>0.67692072577666074</v>
      </c>
    </row>
    <row r="269" spans="14:15" x14ac:dyDescent="0.25">
      <c r="N269" s="60">
        <f ca="1"/>
        <v>0.96193840289733401</v>
      </c>
      <c r="O269" s="60">
        <f ca="1"/>
        <v>0.78621422919439721</v>
      </c>
    </row>
    <row r="270" spans="14:15" x14ac:dyDescent="0.25">
      <c r="N270" s="60">
        <f ca="1"/>
        <v>1.235413989294228</v>
      </c>
      <c r="O270" s="60">
        <f ca="1"/>
        <v>1.362434737443895</v>
      </c>
    </row>
    <row r="271" spans="14:15" x14ac:dyDescent="0.25">
      <c r="N271" s="60">
        <f ca="1"/>
        <v>1.3699547502624372</v>
      </c>
      <c r="O271" s="60">
        <f ca="1"/>
        <v>0.87850783732238846</v>
      </c>
    </row>
    <row r="272" spans="14:15" x14ac:dyDescent="0.25">
      <c r="N272" s="60">
        <f ca="1"/>
        <v>0.61831970460676844</v>
      </c>
      <c r="O272" s="60">
        <f ca="1"/>
        <v>0.75037136647934199</v>
      </c>
    </row>
    <row r="273" spans="14:15" x14ac:dyDescent="0.25">
      <c r="N273" s="60">
        <f ca="1"/>
        <v>0.78626576544166271</v>
      </c>
      <c r="O273" s="60">
        <f ca="1"/>
        <v>1.3331958475700842</v>
      </c>
    </row>
    <row r="274" spans="14:15" x14ac:dyDescent="0.25">
      <c r="N274" s="60">
        <f ca="1"/>
        <v>0.72508046815191152</v>
      </c>
      <c r="O274" s="60">
        <f ca="1"/>
        <v>0.31053734797958354</v>
      </c>
    </row>
    <row r="275" spans="14:15" x14ac:dyDescent="0.25">
      <c r="N275" s="60">
        <f ca="1"/>
        <v>0.51471752765874035</v>
      </c>
      <c r="O275" s="60">
        <f ca="1"/>
        <v>0.86078969553541307</v>
      </c>
    </row>
    <row r="276" spans="14:15" x14ac:dyDescent="0.25">
      <c r="N276" s="60">
        <f ca="1"/>
        <v>1.4442325259055895</v>
      </c>
      <c r="O276" s="60">
        <f ca="1"/>
        <v>1.7182754685702584</v>
      </c>
    </row>
    <row r="277" spans="14:15" x14ac:dyDescent="0.25">
      <c r="N277" s="60">
        <f ca="1"/>
        <v>0.39155187006938824</v>
      </c>
      <c r="O277" s="60">
        <f ca="1"/>
        <v>0.14426872800365526</v>
      </c>
    </row>
    <row r="278" spans="14:15" x14ac:dyDescent="0.25">
      <c r="N278" s="60">
        <f ca="1"/>
        <v>1.3809823245273487</v>
      </c>
      <c r="O278" s="60">
        <f ca="1"/>
        <v>1.315610917082533</v>
      </c>
    </row>
    <row r="279" spans="14:15" x14ac:dyDescent="0.25">
      <c r="N279" s="60">
        <f ca="1"/>
        <v>1.1681847463863568</v>
      </c>
      <c r="O279" s="60">
        <f ca="1"/>
        <v>1.7710945498270696</v>
      </c>
    </row>
    <row r="280" spans="14:15" x14ac:dyDescent="0.25">
      <c r="N280" s="60">
        <f ca="1"/>
        <v>0.48368821000347495</v>
      </c>
      <c r="O280" s="60">
        <f ca="1"/>
        <v>0.74853810442012825</v>
      </c>
    </row>
    <row r="281" spans="14:15" x14ac:dyDescent="0.25">
      <c r="N281" s="60">
        <f ca="1"/>
        <v>1.0982383173059291</v>
      </c>
      <c r="O281" s="60">
        <f ca="1"/>
        <v>0.86384500030364009</v>
      </c>
    </row>
    <row r="282" spans="14:15" x14ac:dyDescent="0.25">
      <c r="N282" s="60">
        <f ca="1"/>
        <v>0.66233438460558614</v>
      </c>
      <c r="O282" s="60">
        <f ca="1"/>
        <v>0.50122790478119339</v>
      </c>
    </row>
    <row r="283" spans="14:15" x14ac:dyDescent="0.25">
      <c r="N283" s="60">
        <f ca="1"/>
        <v>0.87247395005020334</v>
      </c>
      <c r="O283" s="60">
        <f ca="1"/>
        <v>0.74913225475385492</v>
      </c>
    </row>
    <row r="284" spans="14:15" x14ac:dyDescent="0.25">
      <c r="N284" s="60">
        <f ca="1"/>
        <v>0.72705412043059525</v>
      </c>
      <c r="O284" s="60">
        <f ca="1"/>
        <v>0.58429107552141657</v>
      </c>
    </row>
    <row r="285" spans="14:15" x14ac:dyDescent="0.25">
      <c r="N285" s="60">
        <f ca="1"/>
        <v>1.1013301560578417</v>
      </c>
      <c r="O285" s="60">
        <f ca="1"/>
        <v>0.74597295816998632</v>
      </c>
    </row>
    <row r="286" spans="14:15" x14ac:dyDescent="0.25">
      <c r="N286" s="60">
        <f ca="1"/>
        <v>0.54532130140963864</v>
      </c>
      <c r="O286" s="60">
        <f ca="1"/>
        <v>1.1319716071922126</v>
      </c>
    </row>
    <row r="287" spans="14:15" x14ac:dyDescent="0.25">
      <c r="N287" s="60">
        <f ca="1"/>
        <v>1.7613431686442653</v>
      </c>
      <c r="O287" s="60">
        <f ca="1"/>
        <v>1.7240292295262989</v>
      </c>
    </row>
    <row r="288" spans="14:15" x14ac:dyDescent="0.25">
      <c r="N288" s="60">
        <f ca="1"/>
        <v>1.5867685550314947</v>
      </c>
      <c r="O288" s="60">
        <f ca="1"/>
        <v>1.6381964354254859</v>
      </c>
    </row>
    <row r="289" spans="14:15" x14ac:dyDescent="0.25">
      <c r="N289" s="60">
        <f ca="1"/>
        <v>0.7633072082804474</v>
      </c>
      <c r="O289" s="60">
        <f ca="1"/>
        <v>0.42214685520880335</v>
      </c>
    </row>
    <row r="290" spans="14:15" x14ac:dyDescent="0.25">
      <c r="N290" s="60">
        <f ca="1"/>
        <v>1.1496560432696443</v>
      </c>
      <c r="O290" s="60">
        <f ca="1"/>
        <v>0.51312185426363144</v>
      </c>
    </row>
    <row r="291" spans="14:15" x14ac:dyDescent="0.25">
      <c r="N291" s="60">
        <f ca="1"/>
        <v>1.0808276177343943</v>
      </c>
      <c r="O291" s="60">
        <f ca="1"/>
        <v>1.0438323124248687</v>
      </c>
    </row>
    <row r="292" spans="14:15" x14ac:dyDescent="0.25">
      <c r="N292" s="60">
        <f ca="1"/>
        <v>0.44737442616480666</v>
      </c>
      <c r="O292" s="60">
        <f ca="1"/>
        <v>0.10497151891025702</v>
      </c>
    </row>
    <row r="293" spans="14:15" x14ac:dyDescent="0.25">
      <c r="N293" s="60">
        <f ca="1"/>
        <v>1.10120713400175</v>
      </c>
      <c r="O293" s="60">
        <f ca="1"/>
        <v>1.4959580083213493</v>
      </c>
    </row>
    <row r="294" spans="14:15" x14ac:dyDescent="0.25">
      <c r="N294" s="60">
        <f ca="1"/>
        <v>1.2377739394487637</v>
      </c>
      <c r="O294" s="60">
        <f ca="1"/>
        <v>1.5061124407690794</v>
      </c>
    </row>
    <row r="295" spans="14:15" x14ac:dyDescent="0.25">
      <c r="N295" s="60">
        <f ca="1"/>
        <v>0.44292504993985793</v>
      </c>
      <c r="O295" s="60">
        <f ca="1"/>
        <v>0.27336184460892193</v>
      </c>
    </row>
    <row r="296" spans="14:15" x14ac:dyDescent="0.25">
      <c r="N296" s="60">
        <f ca="1"/>
        <v>0.16304819597938733</v>
      </c>
      <c r="O296" s="60">
        <f ca="1"/>
        <v>0.52539475599639951</v>
      </c>
    </row>
    <row r="297" spans="14:15" x14ac:dyDescent="0.25">
      <c r="N297" s="60">
        <f ca="1"/>
        <v>0.19301404689512139</v>
      </c>
      <c r="O297" s="60">
        <f ca="1"/>
        <v>-0.41183126561403682</v>
      </c>
    </row>
    <row r="298" spans="14:15" x14ac:dyDescent="0.25">
      <c r="N298" s="60">
        <f ca="1"/>
        <v>0.58138434198769562</v>
      </c>
      <c r="O298" s="60">
        <f ca="1"/>
        <v>0.98081893167650025</v>
      </c>
    </row>
    <row r="299" spans="14:15" x14ac:dyDescent="0.25">
      <c r="N299" s="60">
        <f ca="1"/>
        <v>0.66203290324073827</v>
      </c>
      <c r="O299" s="60">
        <f ca="1"/>
        <v>0.58792153241055156</v>
      </c>
    </row>
    <row r="300" spans="14:15" x14ac:dyDescent="0.25">
      <c r="N300" s="60">
        <f ca="1"/>
        <v>1.8948937583921504</v>
      </c>
      <c r="O300" s="60">
        <f ca="1"/>
        <v>1.7314173038598675</v>
      </c>
    </row>
    <row r="301" spans="14:15" x14ac:dyDescent="0.25">
      <c r="N301" s="60">
        <f ca="1"/>
        <v>0.7110876806210249</v>
      </c>
      <c r="O301" s="60">
        <f ca="1"/>
        <v>0.59816416684216489</v>
      </c>
    </row>
    <row r="302" spans="14:15" x14ac:dyDescent="0.25">
      <c r="N302" s="60">
        <f ca="1"/>
        <v>3.1433925545444326</v>
      </c>
      <c r="O302" s="60">
        <f ca="1"/>
        <v>3.230797181036821</v>
      </c>
    </row>
    <row r="303" spans="14:15" x14ac:dyDescent="0.25">
      <c r="N303" s="60">
        <f ca="1"/>
        <v>2.1057991142096344</v>
      </c>
      <c r="O303" s="60">
        <f ca="1"/>
        <v>2.0790234689035176</v>
      </c>
    </row>
    <row r="304" spans="14:15" x14ac:dyDescent="0.25">
      <c r="N304" s="60">
        <f ca="1"/>
        <v>0.7133458350902574</v>
      </c>
      <c r="O304" s="60">
        <f ca="1"/>
        <v>-0.47434792144032867</v>
      </c>
    </row>
    <row r="305" spans="14:15" x14ac:dyDescent="0.25">
      <c r="N305" s="60">
        <f ca="1"/>
        <v>0.65179157945219823</v>
      </c>
      <c r="O305" s="60">
        <f ca="1"/>
        <v>0.72431496024112152</v>
      </c>
    </row>
    <row r="306" spans="14:15" x14ac:dyDescent="0.25">
      <c r="N306" s="60">
        <f ca="1"/>
        <v>1.5129384252990299</v>
      </c>
      <c r="O306" s="60">
        <f ca="1"/>
        <v>1.2660253416445599</v>
      </c>
    </row>
    <row r="307" spans="14:15" x14ac:dyDescent="0.25">
      <c r="N307" s="60">
        <f ca="1"/>
        <v>1.259722308936057</v>
      </c>
      <c r="O307" s="60">
        <f ca="1"/>
        <v>1.5698828793405211</v>
      </c>
    </row>
    <row r="308" spans="14:15" x14ac:dyDescent="0.25">
      <c r="N308" s="60">
        <f ca="1"/>
        <v>0.57858651053780541</v>
      </c>
      <c r="O308" s="60">
        <f ca="1"/>
        <v>0.71855057926684751</v>
      </c>
    </row>
    <row r="309" spans="14:15" x14ac:dyDescent="0.25">
      <c r="N309" s="60">
        <f ca="1"/>
        <v>1.1642446306567842</v>
      </c>
      <c r="O309" s="60">
        <f ca="1"/>
        <v>1.4298900678483364</v>
      </c>
    </row>
    <row r="310" spans="14:15" x14ac:dyDescent="0.25">
      <c r="N310" s="60">
        <f ca="1"/>
        <v>0.61332912631795056</v>
      </c>
      <c r="O310" s="60">
        <f ca="1"/>
        <v>0.62746723871224908</v>
      </c>
    </row>
    <row r="311" spans="14:15" x14ac:dyDescent="0.25">
      <c r="N311" s="60">
        <f ca="1"/>
        <v>1.0030110289149918</v>
      </c>
      <c r="O311" s="60">
        <f ca="1"/>
        <v>0.87745070467699593</v>
      </c>
    </row>
    <row r="312" spans="14:15" x14ac:dyDescent="0.25">
      <c r="N312" s="60">
        <f ca="1"/>
        <v>1.4440618882855303</v>
      </c>
      <c r="O312" s="60">
        <f ca="1"/>
        <v>1.8600848370541234</v>
      </c>
    </row>
    <row r="313" spans="14:15" x14ac:dyDescent="0.25">
      <c r="N313" s="60">
        <f ca="1"/>
        <v>0.16447729195958757</v>
      </c>
      <c r="O313" s="60">
        <f ca="1"/>
        <v>0.43504631277706995</v>
      </c>
    </row>
    <row r="314" spans="14:15" x14ac:dyDescent="0.25">
      <c r="N314" s="60">
        <f ca="1"/>
        <v>1.0974178186556325</v>
      </c>
      <c r="O314" s="60">
        <f ca="1"/>
        <v>1.1050861859745309</v>
      </c>
    </row>
    <row r="315" spans="14:15" x14ac:dyDescent="0.25">
      <c r="N315" s="60">
        <f ca="1"/>
        <v>0.96007790747707145</v>
      </c>
      <c r="O315" s="60">
        <f ca="1"/>
        <v>0.67529461398388035</v>
      </c>
    </row>
    <row r="316" spans="14:15" x14ac:dyDescent="0.25">
      <c r="N316" s="60">
        <f ca="1"/>
        <v>0.75454921832166777</v>
      </c>
      <c r="O316" s="60">
        <f ca="1"/>
        <v>0.94498211271886579</v>
      </c>
    </row>
    <row r="317" spans="14:15" x14ac:dyDescent="0.25">
      <c r="N317" s="60">
        <f ca="1"/>
        <v>0.56521097335397186</v>
      </c>
      <c r="O317" s="60">
        <f ca="1"/>
        <v>1.4045288400865212</v>
      </c>
    </row>
    <row r="318" spans="14:15" x14ac:dyDescent="0.25">
      <c r="N318" s="60">
        <f ca="1"/>
        <v>0.59277145044367741</v>
      </c>
      <c r="O318" s="60">
        <f ca="1"/>
        <v>0.84488692831658874</v>
      </c>
    </row>
    <row r="319" spans="14:15" x14ac:dyDescent="0.25">
      <c r="N319" s="60">
        <f ca="1"/>
        <v>0.50409568429176677</v>
      </c>
      <c r="O319" s="60">
        <f ca="1"/>
        <v>0.36035561386832543</v>
      </c>
    </row>
    <row r="320" spans="14:15" x14ac:dyDescent="0.25">
      <c r="N320" s="60">
        <f ca="1"/>
        <v>0.64117225910973363</v>
      </c>
      <c r="O320" s="60">
        <f ca="1"/>
        <v>-4.3649336478973289E-2</v>
      </c>
    </row>
    <row r="321" spans="14:15" x14ac:dyDescent="0.25">
      <c r="N321" s="60">
        <f ca="1"/>
        <v>0.39956090865275035</v>
      </c>
      <c r="O321" s="60">
        <f ca="1"/>
        <v>0.77836758951269769</v>
      </c>
    </row>
    <row r="322" spans="14:15" x14ac:dyDescent="0.25">
      <c r="N322" s="60">
        <f ca="1"/>
        <v>0.94308719401442187</v>
      </c>
      <c r="O322" s="60">
        <f ca="1"/>
        <v>1.2387138203141843</v>
      </c>
    </row>
    <row r="323" spans="14:15" x14ac:dyDescent="0.25">
      <c r="N323" s="60">
        <f ca="1"/>
        <v>0.76535518784036427</v>
      </c>
      <c r="O323" s="60">
        <f ca="1"/>
        <v>0.26415309900608308</v>
      </c>
    </row>
    <row r="324" spans="14:15" x14ac:dyDescent="0.25">
      <c r="N324" s="60">
        <f ca="1"/>
        <v>0.26675666321003455</v>
      </c>
      <c r="O324" s="60">
        <f ca="1"/>
        <v>-0.32028631288423537</v>
      </c>
    </row>
    <row r="325" spans="14:15" x14ac:dyDescent="0.25">
      <c r="N325" s="60">
        <f ca="1"/>
        <v>1.0781695020176634</v>
      </c>
      <c r="O325" s="60">
        <f ca="1"/>
        <v>0.80776305233040357</v>
      </c>
    </row>
    <row r="326" spans="14:15" x14ac:dyDescent="0.25">
      <c r="N326" s="60">
        <f ca="1"/>
        <v>2.167943740783421</v>
      </c>
      <c r="O326" s="60">
        <f ca="1"/>
        <v>1.727735674530491</v>
      </c>
    </row>
    <row r="327" spans="14:15" x14ac:dyDescent="0.25">
      <c r="N327" s="60">
        <f ca="1"/>
        <v>1.1575925991513585</v>
      </c>
      <c r="O327" s="60">
        <f ca="1"/>
        <v>0.63889607444250029</v>
      </c>
    </row>
    <row r="328" spans="14:15" x14ac:dyDescent="0.25">
      <c r="N328" s="60">
        <f ca="1"/>
        <v>1.1431503392668203</v>
      </c>
      <c r="O328" s="60">
        <f ca="1"/>
        <v>1.1245813069799981</v>
      </c>
    </row>
    <row r="329" spans="14:15" x14ac:dyDescent="0.25">
      <c r="N329" s="60">
        <f ca="1"/>
        <v>1.2080393497998132</v>
      </c>
      <c r="O329" s="60">
        <f ca="1"/>
        <v>1.6988813287184448</v>
      </c>
    </row>
    <row r="330" spans="14:15" x14ac:dyDescent="0.25">
      <c r="N330" s="60">
        <f ca="1"/>
        <v>1.0441110415794943</v>
      </c>
      <c r="O330" s="60">
        <f ca="1"/>
        <v>1.7220792572573671</v>
      </c>
    </row>
    <row r="331" spans="14:15" x14ac:dyDescent="0.25">
      <c r="N331" s="60">
        <f ca="1"/>
        <v>2.0970738823801414</v>
      </c>
      <c r="O331" s="60">
        <f ca="1"/>
        <v>2.2038403988982544</v>
      </c>
    </row>
    <row r="332" spans="14:15" x14ac:dyDescent="0.25">
      <c r="N332" s="60">
        <f ca="1"/>
        <v>1.0991558549519211</v>
      </c>
      <c r="O332" s="60">
        <f ca="1"/>
        <v>0.33579104551596628</v>
      </c>
    </row>
    <row r="333" spans="14:15" x14ac:dyDescent="0.25">
      <c r="N333" s="60">
        <f ca="1"/>
        <v>0.23410980479611052</v>
      </c>
      <c r="O333" s="60">
        <f ca="1"/>
        <v>0.39272066052639742</v>
      </c>
    </row>
    <row r="334" spans="14:15" x14ac:dyDescent="0.25">
      <c r="N334" s="60">
        <f ca="1"/>
        <v>0.92742236677872836</v>
      </c>
      <c r="O334" s="60">
        <f ca="1"/>
        <v>1.0887060706299332</v>
      </c>
    </row>
    <row r="335" spans="14:15" x14ac:dyDescent="0.25">
      <c r="N335" s="60">
        <f ca="1"/>
        <v>0.37279875432026172</v>
      </c>
      <c r="O335" s="60">
        <f ca="1"/>
        <v>-0.1778240536813272</v>
      </c>
    </row>
    <row r="336" spans="14:15" x14ac:dyDescent="0.25">
      <c r="N336" s="60">
        <f ca="1"/>
        <v>1.4717343080882674</v>
      </c>
      <c r="O336" s="60">
        <f ca="1"/>
        <v>0.82336989696049101</v>
      </c>
    </row>
    <row r="337" spans="14:15" x14ac:dyDescent="0.25">
      <c r="N337" s="60">
        <f ca="1"/>
        <v>1.5316875744320329</v>
      </c>
      <c r="O337" s="60">
        <f ca="1"/>
        <v>1.7532043260534742</v>
      </c>
    </row>
    <row r="338" spans="14:15" x14ac:dyDescent="0.25">
      <c r="N338" s="60">
        <f ca="1"/>
        <v>0.90519481874152052</v>
      </c>
      <c r="O338" s="60">
        <f ca="1"/>
        <v>0.9753946558686386</v>
      </c>
    </row>
    <row r="339" spans="14:15" x14ac:dyDescent="0.25">
      <c r="N339" s="60">
        <f ca="1"/>
        <v>1.5465297746634705</v>
      </c>
      <c r="O339" s="60">
        <f ca="1"/>
        <v>1.1857427211513174</v>
      </c>
    </row>
    <row r="340" spans="14:15" x14ac:dyDescent="0.25">
      <c r="N340" s="60">
        <f ca="1"/>
        <v>0.72046606106472877</v>
      </c>
      <c r="O340" s="60">
        <f ca="1"/>
        <v>0.59448525188019741</v>
      </c>
    </row>
    <row r="341" spans="14:15" x14ac:dyDescent="0.25">
      <c r="N341" s="60">
        <f ca="1"/>
        <v>0.37253900213555885</v>
      </c>
      <c r="O341" s="60">
        <f ca="1"/>
        <v>0.64948314710031685</v>
      </c>
    </row>
    <row r="342" spans="14:15" x14ac:dyDescent="0.25">
      <c r="N342" s="60">
        <f ca="1"/>
        <v>0.54683659495234371</v>
      </c>
      <c r="O342" s="60">
        <f ca="1"/>
        <v>0.50492427761743774</v>
      </c>
    </row>
    <row r="343" spans="14:15" x14ac:dyDescent="0.25">
      <c r="N343" s="60">
        <f ca="1"/>
        <v>1.6757426493457723</v>
      </c>
      <c r="O343" s="60">
        <f ca="1"/>
        <v>1.054268455223947</v>
      </c>
    </row>
    <row r="344" spans="14:15" x14ac:dyDescent="0.25">
      <c r="N344" s="60">
        <f ca="1"/>
        <v>2.3950404914857288</v>
      </c>
      <c r="O344" s="60">
        <f ca="1"/>
        <v>2.1781992998737061</v>
      </c>
    </row>
    <row r="345" spans="14:15" x14ac:dyDescent="0.25">
      <c r="N345" s="60">
        <f ca="1"/>
        <v>0.83610215935649934</v>
      </c>
      <c r="O345" s="60">
        <f ca="1"/>
        <v>0.90533748553852711</v>
      </c>
    </row>
    <row r="346" spans="14:15" x14ac:dyDescent="0.25">
      <c r="N346" s="60">
        <f ca="1"/>
        <v>1.1891337625277187</v>
      </c>
      <c r="O346" s="60">
        <f ca="1"/>
        <v>0.64579504714470459</v>
      </c>
    </row>
    <row r="347" spans="14:15" x14ac:dyDescent="0.25">
      <c r="N347" s="60">
        <f ca="1"/>
        <v>0.93885662498930922</v>
      </c>
      <c r="O347" s="60">
        <f ca="1"/>
        <v>1.3911783811166072</v>
      </c>
    </row>
    <row r="348" spans="14:15" x14ac:dyDescent="0.25">
      <c r="N348" s="60">
        <f ca="1"/>
        <v>1.322178815839671</v>
      </c>
      <c r="O348" s="60">
        <f ca="1"/>
        <v>0.74849170761809281</v>
      </c>
    </row>
    <row r="349" spans="14:15" x14ac:dyDescent="0.25">
      <c r="N349" s="60">
        <f ca="1"/>
        <v>1.0532943924874647</v>
      </c>
      <c r="O349" s="60">
        <f ca="1"/>
        <v>1.4054365595816298</v>
      </c>
    </row>
    <row r="350" spans="14:15" x14ac:dyDescent="0.25">
      <c r="N350" s="60">
        <f ca="1"/>
        <v>0.36760851802578054</v>
      </c>
      <c r="O350" s="60">
        <f ca="1"/>
        <v>0.19304332695154147</v>
      </c>
    </row>
    <row r="351" spans="14:15" x14ac:dyDescent="0.25">
      <c r="N351" s="60">
        <f ca="1"/>
        <v>0.74244970254002207</v>
      </c>
      <c r="O351" s="60">
        <f ca="1"/>
        <v>0.36763868064497585</v>
      </c>
    </row>
    <row r="352" spans="14:15" x14ac:dyDescent="0.25">
      <c r="N352" s="60">
        <f ca="1"/>
        <v>0.90395349120542412</v>
      </c>
      <c r="O352" s="60">
        <f ca="1"/>
        <v>0.61294474481213301</v>
      </c>
    </row>
    <row r="353" spans="14:15" x14ac:dyDescent="0.25">
      <c r="N353" s="60">
        <f ca="1"/>
        <v>1.4998086298561011</v>
      </c>
      <c r="O353" s="60">
        <f ca="1"/>
        <v>2.0650938113399526</v>
      </c>
    </row>
    <row r="354" spans="14:15" x14ac:dyDescent="0.25">
      <c r="N354" s="60">
        <f ca="1"/>
        <v>1.2393986769284551</v>
      </c>
      <c r="O354" s="60">
        <f ca="1"/>
        <v>1.7949385526133637</v>
      </c>
    </row>
    <row r="355" spans="14:15" x14ac:dyDescent="0.25">
      <c r="N355" s="60">
        <f ca="1"/>
        <v>0.45304515104097326</v>
      </c>
      <c r="O355" s="60">
        <f ca="1"/>
        <v>0.48340316425866137</v>
      </c>
    </row>
    <row r="356" spans="14:15" x14ac:dyDescent="0.25">
      <c r="N356" s="60">
        <f ca="1"/>
        <v>1.1630241814648252</v>
      </c>
      <c r="O356" s="60">
        <f ca="1"/>
        <v>0.94160477963409428</v>
      </c>
    </row>
    <row r="357" spans="14:15" x14ac:dyDescent="0.25">
      <c r="N357" s="60">
        <f ca="1"/>
        <v>1.474319980865415</v>
      </c>
      <c r="O357" s="60">
        <f ca="1"/>
        <v>1.437409382054823</v>
      </c>
    </row>
    <row r="358" spans="14:15" x14ac:dyDescent="0.25">
      <c r="N358" s="60">
        <f ca="1"/>
        <v>0.92870817762947477</v>
      </c>
      <c r="O358" s="60">
        <f ca="1"/>
        <v>1.4006225306546778</v>
      </c>
    </row>
    <row r="359" spans="14:15" x14ac:dyDescent="0.25">
      <c r="N359" s="60">
        <f ca="1"/>
        <v>1.2976280290642117</v>
      </c>
      <c r="O359" s="60">
        <f ca="1"/>
        <v>1.3832269473886605</v>
      </c>
    </row>
    <row r="360" spans="14:15" x14ac:dyDescent="0.25">
      <c r="N360" s="60">
        <f ca="1"/>
        <v>0.55394789848257231</v>
      </c>
      <c r="O360" s="60">
        <f ca="1"/>
        <v>1.0145453705607319</v>
      </c>
    </row>
    <row r="361" spans="14:15" x14ac:dyDescent="0.25">
      <c r="N361" s="60">
        <f ca="1"/>
        <v>0.94573992282582853</v>
      </c>
      <c r="O361" s="60">
        <f ca="1"/>
        <v>0.82447453959939176</v>
      </c>
    </row>
    <row r="362" spans="14:15" x14ac:dyDescent="0.25">
      <c r="N362" s="60">
        <f ca="1"/>
        <v>1.3394377331385876</v>
      </c>
      <c r="O362" s="60">
        <f ca="1"/>
        <v>0.72640538625213524</v>
      </c>
    </row>
    <row r="363" spans="14:15" x14ac:dyDescent="0.25">
      <c r="N363" s="60">
        <f ca="1"/>
        <v>1.0962322628096928</v>
      </c>
      <c r="O363" s="60">
        <f ca="1"/>
        <v>1.0546740238849837</v>
      </c>
    </row>
    <row r="364" spans="14:15" x14ac:dyDescent="0.25">
      <c r="N364" s="60">
        <f ca="1"/>
        <v>0.7937832627269148</v>
      </c>
      <c r="O364" s="60">
        <f ca="1"/>
        <v>0.12058053139963543</v>
      </c>
    </row>
    <row r="365" spans="14:15" x14ac:dyDescent="0.25">
      <c r="N365" s="60">
        <f ca="1"/>
        <v>1.0529541074792277</v>
      </c>
      <c r="O365" s="60">
        <f ca="1"/>
        <v>0.79899118633404032</v>
      </c>
    </row>
    <row r="366" spans="14:15" x14ac:dyDescent="0.25">
      <c r="N366" s="60">
        <f ca="1"/>
        <v>1.0527632990012254</v>
      </c>
      <c r="O366" s="60">
        <f ca="1"/>
        <v>1.183976868721726</v>
      </c>
    </row>
    <row r="367" spans="14:15" x14ac:dyDescent="0.25">
      <c r="N367" s="60">
        <f ca="1"/>
        <v>0.59524872396376716</v>
      </c>
      <c r="O367" s="60">
        <f ca="1"/>
        <v>0.20092727093799062</v>
      </c>
    </row>
    <row r="368" spans="14:15" x14ac:dyDescent="0.25">
      <c r="N368" s="60">
        <f ca="1"/>
        <v>1.2860033097958923</v>
      </c>
      <c r="O368" s="60">
        <f ca="1"/>
        <v>1.2496271177981202</v>
      </c>
    </row>
    <row r="369" spans="14:15" x14ac:dyDescent="0.25">
      <c r="N369" s="60">
        <f ca="1"/>
        <v>0.49773206705366935</v>
      </c>
      <c r="O369" s="60">
        <f ca="1"/>
        <v>0.63379998687691541</v>
      </c>
    </row>
    <row r="370" spans="14:15" x14ac:dyDescent="0.25">
      <c r="N370" s="60">
        <f ca="1"/>
        <v>0.94501975707093011</v>
      </c>
      <c r="O370" s="60">
        <f ca="1"/>
        <v>1.0331231814585031</v>
      </c>
    </row>
    <row r="371" spans="14:15" x14ac:dyDescent="0.25">
      <c r="N371" s="60">
        <f ca="1"/>
        <v>1.7335317773182817</v>
      </c>
      <c r="O371" s="60">
        <f ca="1"/>
        <v>2.2903861781732817</v>
      </c>
    </row>
    <row r="372" spans="14:15" x14ac:dyDescent="0.25">
      <c r="N372" s="60">
        <f ca="1"/>
        <v>1.3501400053302235</v>
      </c>
      <c r="O372" s="60">
        <f ca="1"/>
        <v>1.0044012710158872</v>
      </c>
    </row>
    <row r="373" spans="14:15" x14ac:dyDescent="0.25">
      <c r="N373" s="60">
        <f ca="1"/>
        <v>0.64621608881089254</v>
      </c>
      <c r="O373" s="60">
        <f ca="1"/>
        <v>0.46985358385590459</v>
      </c>
    </row>
    <row r="374" spans="14:15" x14ac:dyDescent="0.25">
      <c r="N374" s="60">
        <f ca="1"/>
        <v>1.0767400743268953</v>
      </c>
      <c r="O374" s="60">
        <f ca="1"/>
        <v>0.98308628848131896</v>
      </c>
    </row>
    <row r="375" spans="14:15" x14ac:dyDescent="0.25">
      <c r="N375" s="60">
        <f ca="1"/>
        <v>1.1955146644843555</v>
      </c>
      <c r="O375" s="60">
        <f ca="1"/>
        <v>1.2571263773029486</v>
      </c>
    </row>
    <row r="376" spans="14:15" x14ac:dyDescent="0.25">
      <c r="N376" s="60">
        <f ca="1"/>
        <v>0.87437108185521362</v>
      </c>
      <c r="O376" s="60">
        <f ca="1"/>
        <v>1.6481393123826651</v>
      </c>
    </row>
    <row r="377" spans="14:15" x14ac:dyDescent="0.25">
      <c r="N377" s="60">
        <f ca="1"/>
        <v>0.64065779724037009</v>
      </c>
      <c r="O377" s="60">
        <f ca="1"/>
        <v>0.74130466122888539</v>
      </c>
    </row>
    <row r="378" spans="14:15" x14ac:dyDescent="0.25">
      <c r="N378" s="60">
        <f ca="1"/>
        <v>1.1109726918020166</v>
      </c>
      <c r="O378" s="60">
        <f ca="1"/>
        <v>1.1025517024167277</v>
      </c>
    </row>
    <row r="379" spans="14:15" x14ac:dyDescent="0.25">
      <c r="N379" s="60">
        <f ca="1"/>
        <v>0.37993395039909184</v>
      </c>
      <c r="O379" s="60">
        <f ca="1"/>
        <v>0.77016841856661644</v>
      </c>
    </row>
    <row r="380" spans="14:15" x14ac:dyDescent="0.25">
      <c r="N380" s="60">
        <f ca="1"/>
        <v>0.92781052149175869</v>
      </c>
      <c r="O380" s="60">
        <f ca="1"/>
        <v>0.77940281631943331</v>
      </c>
    </row>
    <row r="381" spans="14:15" x14ac:dyDescent="0.25">
      <c r="N381" s="60">
        <f ca="1"/>
        <v>0.86553048111627051</v>
      </c>
      <c r="O381" s="60">
        <f ca="1"/>
        <v>1.3521511700513442</v>
      </c>
    </row>
    <row r="382" spans="14:15" x14ac:dyDescent="0.25">
      <c r="N382" s="60">
        <f ca="1"/>
        <v>1.0885974669027352</v>
      </c>
      <c r="O382" s="60">
        <f ca="1"/>
        <v>0.800032626487993</v>
      </c>
    </row>
    <row r="383" spans="14:15" x14ac:dyDescent="0.25">
      <c r="N383" s="60">
        <f ca="1"/>
        <v>0.6467383340170717</v>
      </c>
      <c r="O383" s="60">
        <f ca="1"/>
        <v>1.1649858094394694</v>
      </c>
    </row>
    <row r="384" spans="14:15" x14ac:dyDescent="0.25">
      <c r="N384" s="60">
        <f ca="1"/>
        <v>0.68475457748977941</v>
      </c>
      <c r="O384" s="60">
        <f ca="1"/>
        <v>0.670816687468338</v>
      </c>
    </row>
    <row r="385" spans="14:15" x14ac:dyDescent="0.25">
      <c r="N385" s="60">
        <f ca="1"/>
        <v>1.4579331334759615</v>
      </c>
      <c r="O385" s="60">
        <f ca="1"/>
        <v>1.3325263517609232</v>
      </c>
    </row>
    <row r="386" spans="14:15" x14ac:dyDescent="0.25">
      <c r="N386" s="60">
        <f ca="1"/>
        <v>6.7402365315153132E-2</v>
      </c>
      <c r="O386" s="60">
        <f ca="1"/>
        <v>0.39715674149787966</v>
      </c>
    </row>
    <row r="387" spans="14:15" x14ac:dyDescent="0.25">
      <c r="N387" s="60">
        <f ca="1"/>
        <v>0.31296968454003893</v>
      </c>
      <c r="O387" s="60">
        <f ca="1"/>
        <v>-0.15561378817817628</v>
      </c>
    </row>
    <row r="388" spans="14:15" x14ac:dyDescent="0.25">
      <c r="N388" s="60">
        <f ca="1"/>
        <v>0.63688947703869059</v>
      </c>
      <c r="O388" s="60">
        <f ca="1"/>
        <v>0.32247470432479935</v>
      </c>
    </row>
    <row r="389" spans="14:15" x14ac:dyDescent="0.25">
      <c r="N389" s="60">
        <f ca="1"/>
        <v>0.64903210418774171</v>
      </c>
      <c r="O389" s="60">
        <f ca="1"/>
        <v>1.0070905527660676</v>
      </c>
    </row>
    <row r="390" spans="14:15" x14ac:dyDescent="0.25">
      <c r="N390" s="60">
        <f ca="1"/>
        <v>0.87592063375698759</v>
      </c>
      <c r="O390" s="60">
        <f ca="1"/>
        <v>0.35235808046601347</v>
      </c>
    </row>
    <row r="391" spans="14:15" x14ac:dyDescent="0.25">
      <c r="N391" s="60">
        <f ca="1"/>
        <v>1.4760172432698799</v>
      </c>
      <c r="O391" s="60">
        <f ca="1"/>
        <v>1.40643756621691</v>
      </c>
    </row>
    <row r="392" spans="14:15" x14ac:dyDescent="0.25">
      <c r="N392" s="60">
        <f ca="1"/>
        <v>0.79705439484156992</v>
      </c>
      <c r="O392" s="60">
        <f ca="1"/>
        <v>1.3554164340687076</v>
      </c>
    </row>
    <row r="393" spans="14:15" x14ac:dyDescent="0.25">
      <c r="N393" s="60">
        <f ca="1"/>
        <v>1.1972461666426057</v>
      </c>
      <c r="O393" s="60">
        <f ca="1"/>
        <v>0.58183632614437342</v>
      </c>
    </row>
    <row r="394" spans="14:15" x14ac:dyDescent="0.25">
      <c r="N394" s="60">
        <f ca="1"/>
        <v>0.50324388464320902</v>
      </c>
      <c r="O394" s="60">
        <f ca="1"/>
        <v>1.1048819044305476</v>
      </c>
    </row>
    <row r="395" spans="14:15" x14ac:dyDescent="0.25">
      <c r="N395" s="60">
        <f ca="1"/>
        <v>0.63569968578610547</v>
      </c>
      <c r="O395" s="60">
        <f ca="1"/>
        <v>0.52675434437574564</v>
      </c>
    </row>
    <row r="396" spans="14:15" x14ac:dyDescent="0.25">
      <c r="N396" s="60">
        <f ca="1"/>
        <v>0.7209495453264313</v>
      </c>
      <c r="O396" s="60">
        <f ca="1"/>
        <v>0.85052818008246311</v>
      </c>
    </row>
    <row r="397" spans="14:15" x14ac:dyDescent="0.25">
      <c r="N397" s="60">
        <f ca="1"/>
        <v>1.777865762176694</v>
      </c>
      <c r="O397" s="60">
        <f ca="1"/>
        <v>1.0536780769284213</v>
      </c>
    </row>
    <row r="398" spans="14:15" x14ac:dyDescent="0.25">
      <c r="N398" s="60">
        <f ca="1"/>
        <v>0.92079211583869758</v>
      </c>
      <c r="O398" s="60">
        <f ca="1"/>
        <v>0.80250191135984139</v>
      </c>
    </row>
    <row r="399" spans="14:15" x14ac:dyDescent="0.25">
      <c r="N399" s="60">
        <f ca="1"/>
        <v>0.76510137075011675</v>
      </c>
      <c r="O399" s="60">
        <f ca="1"/>
        <v>0.52464916299248077</v>
      </c>
    </row>
    <row r="400" spans="14:15" x14ac:dyDescent="0.25">
      <c r="N400" s="60">
        <f ca="1"/>
        <v>0.41006984534967328</v>
      </c>
      <c r="O400" s="60">
        <f ca="1"/>
        <v>0.46017863119729491</v>
      </c>
    </row>
    <row r="401" spans="14:15" x14ac:dyDescent="0.25">
      <c r="N401" s="60">
        <f ca="1"/>
        <v>1.262616847554465</v>
      </c>
      <c r="O401" s="60">
        <f ca="1"/>
        <v>0.77754984799642513</v>
      </c>
    </row>
    <row r="402" spans="14:15" x14ac:dyDescent="0.25">
      <c r="N402" s="60">
        <f ca="1"/>
        <v>0.43667888927753706</v>
      </c>
      <c r="O402" s="60">
        <f ca="1"/>
        <v>0.75159634483854609</v>
      </c>
    </row>
    <row r="403" spans="14:15" x14ac:dyDescent="0.25">
      <c r="N403" s="60">
        <f ca="1"/>
        <v>0.96446473104159636</v>
      </c>
      <c r="O403" s="60">
        <f ca="1"/>
        <v>0.53234639524073968</v>
      </c>
    </row>
    <row r="404" spans="14:15" x14ac:dyDescent="0.25">
      <c r="N404" s="60">
        <f ca="1"/>
        <v>0.95300368279648451</v>
      </c>
      <c r="O404" s="60">
        <f ca="1"/>
        <v>1.3208203129106921</v>
      </c>
    </row>
    <row r="405" spans="14:15" x14ac:dyDescent="0.25">
      <c r="N405" s="60">
        <f ca="1"/>
        <v>1.616327349808685</v>
      </c>
      <c r="O405" s="60">
        <f ca="1"/>
        <v>2.199603007299527</v>
      </c>
    </row>
    <row r="406" spans="14:15" x14ac:dyDescent="0.25">
      <c r="N406" s="60">
        <f ca="1"/>
        <v>1.396810221392937</v>
      </c>
      <c r="O406" s="60">
        <f ca="1"/>
        <v>1.1577393469039656</v>
      </c>
    </row>
    <row r="407" spans="14:15" x14ac:dyDescent="0.25">
      <c r="N407" s="60">
        <f ca="1"/>
        <v>0.39137534162254406</v>
      </c>
      <c r="O407" s="60">
        <f ca="1"/>
        <v>0.25374286609107077</v>
      </c>
    </row>
    <row r="408" spans="14:15" x14ac:dyDescent="0.25">
      <c r="N408" s="60">
        <f ca="1"/>
        <v>0.9452896091587184</v>
      </c>
      <c r="O408" s="60">
        <f ca="1"/>
        <v>0.41100841354329609</v>
      </c>
    </row>
    <row r="409" spans="14:15" x14ac:dyDescent="0.25">
      <c r="N409" s="60">
        <f ca="1"/>
        <v>1.0368916976815183</v>
      </c>
      <c r="O409" s="60">
        <f ca="1"/>
        <v>1.3437632820684797</v>
      </c>
    </row>
    <row r="410" spans="14:15" x14ac:dyDescent="0.25">
      <c r="N410" s="60">
        <f ca="1"/>
        <v>0.249497379396626</v>
      </c>
      <c r="O410" s="60">
        <f ca="1"/>
        <v>7.4171972554305243E-3</v>
      </c>
    </row>
    <row r="411" spans="14:15" x14ac:dyDescent="0.25">
      <c r="N411" s="60">
        <f ca="1"/>
        <v>1.3993373545067591</v>
      </c>
      <c r="O411" s="60">
        <f ca="1"/>
        <v>1.4929452380245165</v>
      </c>
    </row>
    <row r="412" spans="14:15" x14ac:dyDescent="0.25">
      <c r="N412" s="60">
        <f ca="1"/>
        <v>0.71827027677502431</v>
      </c>
      <c r="O412" s="60">
        <f ca="1"/>
        <v>0.39040905348388971</v>
      </c>
    </row>
    <row r="413" spans="14:15" x14ac:dyDescent="0.25">
      <c r="N413" s="60">
        <f ca="1"/>
        <v>0.94373816443628877</v>
      </c>
      <c r="O413" s="60">
        <f ca="1"/>
        <v>1.095483579057027</v>
      </c>
    </row>
    <row r="414" spans="14:15" x14ac:dyDescent="0.25">
      <c r="N414" s="60">
        <f ca="1"/>
        <v>1.3680060724783079</v>
      </c>
      <c r="O414" s="60">
        <f ca="1"/>
        <v>1.328257610659151</v>
      </c>
    </row>
    <row r="415" spans="14:15" x14ac:dyDescent="0.25">
      <c r="N415" s="60">
        <f ca="1"/>
        <v>0.92980083344143583</v>
      </c>
      <c r="O415" s="60">
        <f ca="1"/>
        <v>1.1465446150835672</v>
      </c>
    </row>
    <row r="416" spans="14:15" x14ac:dyDescent="0.25">
      <c r="N416" s="60">
        <f ca="1"/>
        <v>1.5525791577055024</v>
      </c>
      <c r="O416" s="60">
        <f ca="1"/>
        <v>0.35946037339531212</v>
      </c>
    </row>
    <row r="417" spans="14:15" x14ac:dyDescent="0.25">
      <c r="N417" s="60">
        <f ca="1"/>
        <v>1.4871638165221948</v>
      </c>
      <c r="O417" s="60">
        <f ca="1"/>
        <v>1.8136689887038757</v>
      </c>
    </row>
    <row r="418" spans="14:15" x14ac:dyDescent="0.25">
      <c r="N418" s="60">
        <f ca="1"/>
        <v>1.3296532065694622</v>
      </c>
      <c r="O418" s="60">
        <f ca="1"/>
        <v>0.97104646245014758</v>
      </c>
    </row>
    <row r="419" spans="14:15" x14ac:dyDescent="0.25">
      <c r="N419" s="60">
        <f ca="1"/>
        <v>1.9594877176203449</v>
      </c>
      <c r="O419" s="60">
        <f ca="1"/>
        <v>2.1293393072570015</v>
      </c>
    </row>
    <row r="420" spans="14:15" x14ac:dyDescent="0.25">
      <c r="N420" s="60">
        <f ca="1"/>
        <v>0.87437906822165812</v>
      </c>
      <c r="O420" s="60">
        <f ca="1"/>
        <v>1.0331573429901018</v>
      </c>
    </row>
    <row r="421" spans="14:15" x14ac:dyDescent="0.25">
      <c r="N421" s="60">
        <f ca="1"/>
        <v>1.7029609371723504</v>
      </c>
      <c r="O421" s="60">
        <f ca="1"/>
        <v>1.5799949941647897</v>
      </c>
    </row>
    <row r="422" spans="14:15" x14ac:dyDescent="0.25">
      <c r="N422" s="60">
        <f ca="1"/>
        <v>0.33519914714340887</v>
      </c>
      <c r="O422" s="60">
        <f ca="1"/>
        <v>-1.0169137752559767</v>
      </c>
    </row>
    <row r="423" spans="14:15" x14ac:dyDescent="0.25">
      <c r="N423" s="60">
        <f ca="1"/>
        <v>0.77829879849060379</v>
      </c>
      <c r="O423" s="60">
        <f ca="1"/>
        <v>0.90407785956086317</v>
      </c>
    </row>
    <row r="424" spans="14:15" x14ac:dyDescent="0.25">
      <c r="N424" s="60">
        <f ca="1"/>
        <v>0.40211024432734577</v>
      </c>
      <c r="O424" s="60">
        <f ca="1"/>
        <v>0.44948939204930682</v>
      </c>
    </row>
    <row r="425" spans="14:15" x14ac:dyDescent="0.25">
      <c r="N425" s="60">
        <f ca="1"/>
        <v>1.0588175500927963</v>
      </c>
      <c r="O425" s="60">
        <f ca="1"/>
        <v>1.065110169959949</v>
      </c>
    </row>
    <row r="426" spans="14:15" x14ac:dyDescent="0.25">
      <c r="N426" s="60">
        <f ca="1"/>
        <v>1.020671355753662</v>
      </c>
      <c r="O426" s="60">
        <f ca="1"/>
        <v>0.98359832604281516</v>
      </c>
    </row>
    <row r="427" spans="14:15" x14ac:dyDescent="0.25">
      <c r="N427" s="60">
        <f ca="1"/>
        <v>1.3618629288454458</v>
      </c>
      <c r="O427" s="60">
        <f ca="1"/>
        <v>0.90163096732406189</v>
      </c>
    </row>
    <row r="428" spans="14:15" x14ac:dyDescent="0.25">
      <c r="N428" s="60">
        <f ca="1"/>
        <v>1.705151256575387</v>
      </c>
      <c r="O428" s="60">
        <f ca="1"/>
        <v>1.4299335294966866</v>
      </c>
    </row>
    <row r="429" spans="14:15" x14ac:dyDescent="0.25">
      <c r="N429" s="60">
        <f ca="1"/>
        <v>0.39487509719485892</v>
      </c>
      <c r="O429" s="60">
        <f ca="1"/>
        <v>0.22596391526168802</v>
      </c>
    </row>
    <row r="430" spans="14:15" x14ac:dyDescent="0.25">
      <c r="N430" s="60">
        <f ca="1"/>
        <v>1.0203263450805573</v>
      </c>
      <c r="O430" s="60">
        <f ca="1"/>
        <v>1.4254875864791687</v>
      </c>
    </row>
    <row r="431" spans="14:15" x14ac:dyDescent="0.25">
      <c r="N431" s="60">
        <f ca="1"/>
        <v>1.6056654247090167</v>
      </c>
      <c r="O431" s="60">
        <f ca="1"/>
        <v>1.9131391074225315</v>
      </c>
    </row>
    <row r="432" spans="14:15" x14ac:dyDescent="0.25">
      <c r="N432" s="60">
        <f ca="1"/>
        <v>6.5471899128916836E-2</v>
      </c>
      <c r="O432" s="60">
        <f ca="1"/>
        <v>0.18409633904337519</v>
      </c>
    </row>
    <row r="433" spans="14:15" x14ac:dyDescent="0.25">
      <c r="N433" s="60">
        <f ca="1"/>
        <v>1.0291274208012779</v>
      </c>
      <c r="O433" s="60">
        <f ca="1"/>
        <v>0.99517045278196059</v>
      </c>
    </row>
    <row r="434" spans="14:15" x14ac:dyDescent="0.25">
      <c r="N434" s="60">
        <f ca="1"/>
        <v>0.66502223171682806</v>
      </c>
      <c r="O434" s="60">
        <f ca="1"/>
        <v>0.60791126214470448</v>
      </c>
    </row>
    <row r="435" spans="14:15" x14ac:dyDescent="0.25">
      <c r="N435" s="60">
        <f ca="1"/>
        <v>1.7919219299726592</v>
      </c>
      <c r="O435" s="60">
        <f ca="1"/>
        <v>1.7615141510441417</v>
      </c>
    </row>
    <row r="436" spans="14:15" x14ac:dyDescent="0.25">
      <c r="N436" s="60">
        <f ca="1"/>
        <v>1.2497194410523804</v>
      </c>
      <c r="O436" s="60">
        <f ca="1"/>
        <v>1.3580811141269713</v>
      </c>
    </row>
    <row r="437" spans="14:15" x14ac:dyDescent="0.25">
      <c r="N437" s="60">
        <f ca="1"/>
        <v>1.7230197084661936</v>
      </c>
      <c r="O437" s="60">
        <f ca="1"/>
        <v>1.600229438714516</v>
      </c>
    </row>
    <row r="438" spans="14:15" x14ac:dyDescent="0.25">
      <c r="N438" s="60">
        <f ca="1"/>
        <v>2.3607579929931188</v>
      </c>
      <c r="O438" s="60">
        <f ca="1"/>
        <v>2.318988359428916</v>
      </c>
    </row>
    <row r="439" spans="14:15" x14ac:dyDescent="0.25">
      <c r="N439" s="60">
        <f ca="1"/>
        <v>1.2999940468199804</v>
      </c>
      <c r="O439" s="60">
        <f ca="1"/>
        <v>1.0491057621436575</v>
      </c>
    </row>
    <row r="440" spans="14:15" x14ac:dyDescent="0.25">
      <c r="N440" s="60">
        <f ca="1"/>
        <v>0.51401487362537224</v>
      </c>
      <c r="O440" s="60">
        <f ca="1"/>
        <v>4.3105349551012861E-2</v>
      </c>
    </row>
    <row r="441" spans="14:15" x14ac:dyDescent="0.25">
      <c r="N441" s="60">
        <f ca="1"/>
        <v>0.69858904635169738</v>
      </c>
      <c r="O441" s="60">
        <f ca="1"/>
        <v>0.57555592325154348</v>
      </c>
    </row>
    <row r="442" spans="14:15" x14ac:dyDescent="0.25">
      <c r="N442" s="60">
        <f ca="1"/>
        <v>1.9748272048664102</v>
      </c>
      <c r="O442" s="60">
        <f ca="1"/>
        <v>2.319390493204069</v>
      </c>
    </row>
    <row r="443" spans="14:15" x14ac:dyDescent="0.25">
      <c r="N443" s="60">
        <f ca="1"/>
        <v>1.8266035004525432</v>
      </c>
      <c r="O443" s="60">
        <f ca="1"/>
        <v>1.6818794934898886</v>
      </c>
    </row>
    <row r="444" spans="14:15" x14ac:dyDescent="0.25">
      <c r="N444" s="60">
        <f ca="1"/>
        <v>0.33863939994382231</v>
      </c>
      <c r="O444" s="60">
        <f ca="1"/>
        <v>0.70357429678619654</v>
      </c>
    </row>
    <row r="445" spans="14:15" x14ac:dyDescent="0.25">
      <c r="N445" s="60">
        <f ca="1"/>
        <v>1.4891771733118333</v>
      </c>
      <c r="O445" s="60">
        <f ca="1"/>
        <v>1.9780872913234524</v>
      </c>
    </row>
    <row r="446" spans="14:15" x14ac:dyDescent="0.25">
      <c r="N446" s="60">
        <f ca="1"/>
        <v>0.57004541139416309</v>
      </c>
      <c r="O446" s="60">
        <f ca="1"/>
        <v>0.55090311647097601</v>
      </c>
    </row>
    <row r="447" spans="14:15" x14ac:dyDescent="0.25">
      <c r="N447" s="60">
        <f ca="1"/>
        <v>0.78094429281398037</v>
      </c>
      <c r="O447" s="60">
        <f ca="1"/>
        <v>0.40646733577991517</v>
      </c>
    </row>
    <row r="448" spans="14:15" x14ac:dyDescent="0.25">
      <c r="N448" s="60">
        <f ca="1"/>
        <v>0.71615499264473637</v>
      </c>
      <c r="O448" s="60">
        <f ca="1"/>
        <v>1.0718212917336754</v>
      </c>
    </row>
    <row r="449" spans="14:15" x14ac:dyDescent="0.25">
      <c r="N449" s="60">
        <f ca="1"/>
        <v>2.1103945908441353</v>
      </c>
      <c r="O449" s="60">
        <f ca="1"/>
        <v>2.2550966219310427</v>
      </c>
    </row>
    <row r="450" spans="14:15" x14ac:dyDescent="0.25">
      <c r="N450" s="60">
        <f ca="1"/>
        <v>0.75628063093862319</v>
      </c>
      <c r="O450" s="60">
        <f ca="1"/>
        <v>0.81228597830279359</v>
      </c>
    </row>
    <row r="451" spans="14:15" x14ac:dyDescent="0.25">
      <c r="N451" s="60">
        <f ca="1"/>
        <v>0.8838919089962054</v>
      </c>
      <c r="O451" s="60">
        <f ca="1"/>
        <v>0.3382952261817439</v>
      </c>
    </row>
    <row r="452" spans="14:15" x14ac:dyDescent="0.25">
      <c r="N452" s="60">
        <f ca="1"/>
        <v>0.31409457107338729</v>
      </c>
      <c r="O452" s="60">
        <f ca="1"/>
        <v>6.2951526961480375E-2</v>
      </c>
    </row>
    <row r="453" spans="14:15" x14ac:dyDescent="0.25">
      <c r="N453" s="60">
        <f ca="1"/>
        <v>1.3505128041305161</v>
      </c>
      <c r="O453" s="60">
        <f ca="1"/>
        <v>1.6421485262690647</v>
      </c>
    </row>
    <row r="454" spans="14:15" x14ac:dyDescent="0.25">
      <c r="N454" s="60">
        <f ca="1"/>
        <v>0.69644931221105844</v>
      </c>
      <c r="O454" s="60">
        <f ca="1"/>
        <v>0.85988938467094345</v>
      </c>
    </row>
    <row r="455" spans="14:15" x14ac:dyDescent="0.25">
      <c r="N455" s="60">
        <f ca="1"/>
        <v>2.2282092013943471</v>
      </c>
      <c r="O455" s="60">
        <f ca="1"/>
        <v>1.9597719898154564</v>
      </c>
    </row>
    <row r="456" spans="14:15" x14ac:dyDescent="0.25">
      <c r="N456" s="60">
        <f ca="1"/>
        <v>0.51444178376107585</v>
      </c>
      <c r="O456" s="60">
        <f ca="1"/>
        <v>0.62346023041837351</v>
      </c>
    </row>
    <row r="457" spans="14:15" x14ac:dyDescent="0.25">
      <c r="N457" s="60">
        <f ca="1"/>
        <v>1.031085940494666</v>
      </c>
      <c r="O457" s="60">
        <f ca="1"/>
        <v>0.97059481509949974</v>
      </c>
    </row>
    <row r="458" spans="14:15" x14ac:dyDescent="0.25">
      <c r="N458" s="60">
        <f ca="1"/>
        <v>1.0836552314644394</v>
      </c>
      <c r="O458" s="60">
        <f ca="1"/>
        <v>0.82909487469233967</v>
      </c>
    </row>
    <row r="459" spans="14:15" x14ac:dyDescent="0.25">
      <c r="N459" s="60">
        <f ca="1"/>
        <v>1.1999231287413821</v>
      </c>
      <c r="O459" s="60">
        <f ca="1"/>
        <v>1.2541626247387014</v>
      </c>
    </row>
    <row r="460" spans="14:15" x14ac:dyDescent="0.25">
      <c r="N460" s="60">
        <f ca="1"/>
        <v>0.60538802126601199</v>
      </c>
      <c r="O460" s="60">
        <f ca="1"/>
        <v>0.38071525593015482</v>
      </c>
    </row>
    <row r="461" spans="14:15" x14ac:dyDescent="0.25">
      <c r="N461" s="60">
        <f ca="1"/>
        <v>0.65959329634541275</v>
      </c>
      <c r="O461" s="60">
        <f ca="1"/>
        <v>1.2763413005435769</v>
      </c>
    </row>
    <row r="462" spans="14:15" x14ac:dyDescent="0.25">
      <c r="N462" s="60">
        <f ca="1"/>
        <v>0.8550198489955374</v>
      </c>
      <c r="O462" s="60">
        <f ca="1"/>
        <v>1.0609827794528277</v>
      </c>
    </row>
    <row r="463" spans="14:15" x14ac:dyDescent="0.25">
      <c r="N463" s="60">
        <f ca="1"/>
        <v>1.170775969125081</v>
      </c>
      <c r="O463" s="60">
        <f ca="1"/>
        <v>1.3383398447340737</v>
      </c>
    </row>
    <row r="464" spans="14:15" x14ac:dyDescent="0.25">
      <c r="N464" s="60">
        <f ca="1"/>
        <v>0.59084210462970155</v>
      </c>
      <c r="O464" s="60">
        <f ca="1"/>
        <v>0.53672045282951919</v>
      </c>
    </row>
    <row r="465" spans="14:15" x14ac:dyDescent="0.25">
      <c r="N465" s="60">
        <f ca="1"/>
        <v>2.7789942299194776</v>
      </c>
      <c r="O465" s="60">
        <f ca="1"/>
        <v>2.6668861869317588</v>
      </c>
    </row>
    <row r="466" spans="14:15" x14ac:dyDescent="0.25">
      <c r="N466" s="60">
        <f ca="1"/>
        <v>1.4138813440807241</v>
      </c>
      <c r="O466" s="60">
        <f ca="1"/>
        <v>1.3911285775332702</v>
      </c>
    </row>
    <row r="467" spans="14:15" x14ac:dyDescent="0.25">
      <c r="N467" s="60">
        <f ca="1"/>
        <v>0.5335523139927506</v>
      </c>
      <c r="O467" s="60">
        <f ca="1"/>
        <v>0.39262761613739205</v>
      </c>
    </row>
    <row r="468" spans="14:15" x14ac:dyDescent="0.25">
      <c r="N468" s="60">
        <f ca="1"/>
        <v>2.0383689456424103</v>
      </c>
      <c r="O468" s="60">
        <f ca="1"/>
        <v>2.1216125365604044</v>
      </c>
    </row>
    <row r="469" spans="14:15" x14ac:dyDescent="0.25">
      <c r="N469" s="60">
        <f ca="1"/>
        <v>0.5129407993243823</v>
      </c>
      <c r="O469" s="60">
        <f ca="1"/>
        <v>0.47050993245260314</v>
      </c>
    </row>
    <row r="470" spans="14:15" x14ac:dyDescent="0.25">
      <c r="N470" s="60">
        <f ca="1"/>
        <v>1.07138789140549</v>
      </c>
      <c r="O470" s="60">
        <f ca="1"/>
        <v>0.7495422375238241</v>
      </c>
    </row>
    <row r="471" spans="14:15" x14ac:dyDescent="0.25">
      <c r="N471" s="60">
        <f ca="1"/>
        <v>0.82601525681004939</v>
      </c>
      <c r="O471" s="60">
        <f ca="1"/>
        <v>0.64333131242671304</v>
      </c>
    </row>
    <row r="472" spans="14:15" x14ac:dyDescent="0.25">
      <c r="N472" s="60">
        <f ca="1"/>
        <v>0.70184103898193972</v>
      </c>
      <c r="O472" s="60">
        <f ca="1"/>
        <v>0.91777063383011215</v>
      </c>
    </row>
    <row r="473" spans="14:15" x14ac:dyDescent="0.25">
      <c r="N473" s="60">
        <f ca="1"/>
        <v>1.1725474570443379</v>
      </c>
      <c r="O473" s="60">
        <f ca="1"/>
        <v>0.57319954423689978</v>
      </c>
    </row>
    <row r="474" spans="14:15" x14ac:dyDescent="0.25">
      <c r="N474" s="60">
        <f ca="1"/>
        <v>0.40271526669545488</v>
      </c>
      <c r="O474" s="60">
        <f ca="1"/>
        <v>0.15337073772610044</v>
      </c>
    </row>
    <row r="475" spans="14:15" x14ac:dyDescent="0.25">
      <c r="N475" s="60">
        <f ca="1"/>
        <v>0.93165746521108739</v>
      </c>
      <c r="O475" s="60">
        <f ca="1"/>
        <v>1.0039318607980607</v>
      </c>
    </row>
    <row r="476" spans="14:15" x14ac:dyDescent="0.25">
      <c r="N476" s="60">
        <f ca="1"/>
        <v>1.3908360032984042</v>
      </c>
      <c r="O476" s="60">
        <f ca="1"/>
        <v>1.0937127496330081</v>
      </c>
    </row>
    <row r="477" spans="14:15" x14ac:dyDescent="0.25">
      <c r="N477" s="60">
        <f ca="1"/>
        <v>0.29290249226437021</v>
      </c>
      <c r="O477" s="60">
        <f ca="1"/>
        <v>-0.12476842932039983</v>
      </c>
    </row>
    <row r="478" spans="14:15" x14ac:dyDescent="0.25">
      <c r="N478" s="60">
        <f ca="1"/>
        <v>0.65824971680764277</v>
      </c>
      <c r="O478" s="60">
        <f ca="1"/>
        <v>0.80657589380640227</v>
      </c>
    </row>
    <row r="479" spans="14:15" x14ac:dyDescent="0.25">
      <c r="N479" s="60">
        <f ca="1"/>
        <v>1.303823381672401</v>
      </c>
      <c r="O479" s="60">
        <f ca="1"/>
        <v>1.1061488028772017</v>
      </c>
    </row>
    <row r="480" spans="14:15" x14ac:dyDescent="0.25">
      <c r="N480" s="60">
        <f ca="1"/>
        <v>0.62147908086258441</v>
      </c>
      <c r="O480" s="60">
        <f ca="1"/>
        <v>0.7720095110952705</v>
      </c>
    </row>
    <row r="481" spans="14:15" x14ac:dyDescent="0.25">
      <c r="N481" s="60">
        <f ca="1"/>
        <v>0.3892498577086243</v>
      </c>
      <c r="O481" s="60">
        <f ca="1"/>
        <v>0.37513478927258642</v>
      </c>
    </row>
    <row r="482" spans="14:15" x14ac:dyDescent="0.25">
      <c r="N482" s="60">
        <f ca="1"/>
        <v>0.83165066702182211</v>
      </c>
      <c r="O482" s="60">
        <f ca="1"/>
        <v>0.64284089961044311</v>
      </c>
    </row>
    <row r="483" spans="14:15" x14ac:dyDescent="0.25">
      <c r="N483" s="60">
        <f ca="1"/>
        <v>1.0945732370729353</v>
      </c>
      <c r="O483" s="60">
        <f ca="1"/>
        <v>1.0304683337779998</v>
      </c>
    </row>
    <row r="484" spans="14:15" x14ac:dyDescent="0.25">
      <c r="N484" s="60">
        <f ca="1"/>
        <v>1.1452819394651743</v>
      </c>
      <c r="O484" s="60">
        <f ca="1"/>
        <v>1.1991795982159921</v>
      </c>
    </row>
    <row r="485" spans="14:15" x14ac:dyDescent="0.25">
      <c r="N485" s="60">
        <f ca="1"/>
        <v>0.90241780733526933</v>
      </c>
      <c r="O485" s="60">
        <f ca="1"/>
        <v>0.84745700699564031</v>
      </c>
    </row>
    <row r="486" spans="14:15" x14ac:dyDescent="0.25">
      <c r="N486" s="60">
        <f ca="1"/>
        <v>1.0083787387059699</v>
      </c>
      <c r="O486" s="60">
        <f ca="1"/>
        <v>0.61535848459578291</v>
      </c>
    </row>
    <row r="487" spans="14:15" x14ac:dyDescent="0.25">
      <c r="N487" s="60">
        <f ca="1"/>
        <v>1.2849790815651134</v>
      </c>
      <c r="O487" s="60">
        <f ca="1"/>
        <v>1.9503877599464046</v>
      </c>
    </row>
    <row r="488" spans="14:15" x14ac:dyDescent="0.25">
      <c r="N488" s="60">
        <f ca="1"/>
        <v>1.0306919739791958</v>
      </c>
      <c r="O488" s="60">
        <f ca="1"/>
        <v>0.39611191742362828</v>
      </c>
    </row>
    <row r="489" spans="14:15" x14ac:dyDescent="0.25">
      <c r="N489" s="60">
        <f ca="1"/>
        <v>1.1587472894140594</v>
      </c>
      <c r="O489" s="60">
        <f ca="1"/>
        <v>1.098002497340723</v>
      </c>
    </row>
    <row r="490" spans="14:15" x14ac:dyDescent="0.25">
      <c r="N490" s="60">
        <f ca="1"/>
        <v>2.6477669338366501</v>
      </c>
      <c r="O490" s="60">
        <f ca="1"/>
        <v>1.9701369539067124</v>
      </c>
    </row>
    <row r="491" spans="14:15" x14ac:dyDescent="0.25">
      <c r="N491" s="60">
        <f ca="1"/>
        <v>0.37958909128463614</v>
      </c>
      <c r="O491" s="60">
        <f ca="1"/>
        <v>1.753900475126019E-2</v>
      </c>
    </row>
    <row r="492" spans="14:15" x14ac:dyDescent="0.25">
      <c r="N492" s="60">
        <f ca="1"/>
        <v>1.6590707718355433</v>
      </c>
      <c r="O492" s="60">
        <f ca="1"/>
        <v>1.1125373011656197</v>
      </c>
    </row>
    <row r="493" spans="14:15" x14ac:dyDescent="0.25">
      <c r="N493" s="60">
        <f ca="1"/>
        <v>0.70286804785501267</v>
      </c>
      <c r="O493" s="60">
        <f ca="1"/>
        <v>0.35218126838900377</v>
      </c>
    </row>
    <row r="494" spans="14:15" x14ac:dyDescent="0.25">
      <c r="N494" s="60">
        <f ca="1"/>
        <v>0.52127599554134496</v>
      </c>
      <c r="O494" s="60">
        <f ca="1"/>
        <v>0.13835813430835137</v>
      </c>
    </row>
    <row r="495" spans="14:15" x14ac:dyDescent="0.25">
      <c r="N495" s="60">
        <f ca="1"/>
        <v>0.50068587538768283</v>
      </c>
      <c r="O495" s="60">
        <f ca="1"/>
        <v>0.20594943986290926</v>
      </c>
    </row>
    <row r="496" spans="14:15" x14ac:dyDescent="0.25">
      <c r="N496" s="60">
        <f ca="1"/>
        <v>0.86485766048905144</v>
      </c>
      <c r="O496" s="60">
        <f ca="1"/>
        <v>0.90875448039250595</v>
      </c>
    </row>
    <row r="497" spans="14:15" x14ac:dyDescent="0.25">
      <c r="N497" s="60">
        <f ca="1"/>
        <v>0.37797108785107325</v>
      </c>
      <c r="O497" s="60">
        <f ca="1"/>
        <v>0.57422165262042868</v>
      </c>
    </row>
    <row r="498" spans="14:15" x14ac:dyDescent="0.25">
      <c r="N498" s="60">
        <f ca="1"/>
        <v>1.6760960131517115</v>
      </c>
      <c r="O498" s="60">
        <f ca="1"/>
        <v>2.3510335386774699</v>
      </c>
    </row>
    <row r="499" spans="14:15" x14ac:dyDescent="0.25">
      <c r="N499" s="60">
        <f ca="1"/>
        <v>1.31622460282998</v>
      </c>
      <c r="O499" s="60">
        <f ca="1"/>
        <v>1.061113935953043</v>
      </c>
    </row>
    <row r="500" spans="14:15" x14ac:dyDescent="0.25">
      <c r="N500" s="60">
        <f ca="1"/>
        <v>0.15320633180485335</v>
      </c>
      <c r="O500" s="60">
        <f ca="1"/>
        <v>0.2335990119550691</v>
      </c>
    </row>
    <row r="501" spans="14:15" x14ac:dyDescent="0.25">
      <c r="N501" s="60">
        <f ca="1"/>
        <v>0.46881855708859477</v>
      </c>
      <c r="O501" s="60">
        <f ca="1"/>
        <v>0.20913796967314296</v>
      </c>
    </row>
    <row r="502" spans="14:15" x14ac:dyDescent="0.25">
      <c r="N502" s="60">
        <f ca="1"/>
        <v>1.9821733909245518</v>
      </c>
      <c r="O502" s="60">
        <f ca="1"/>
        <v>2.4428034856065119</v>
      </c>
    </row>
    <row r="503" spans="14:15" x14ac:dyDescent="0.25">
      <c r="N503" s="60">
        <f ca="1"/>
        <v>1.6489228409252843</v>
      </c>
      <c r="O503" s="60">
        <f ca="1"/>
        <v>1.6415282227214298</v>
      </c>
    </row>
    <row r="504" spans="14:15" x14ac:dyDescent="0.25">
      <c r="N504" s="60">
        <f ca="1"/>
        <v>0.87230638565183516</v>
      </c>
      <c r="O504" s="60">
        <f ca="1"/>
        <v>0.95019390032628281</v>
      </c>
    </row>
    <row r="505" spans="14:15" x14ac:dyDescent="0.25">
      <c r="N505" s="60">
        <f ca="1"/>
        <v>0.60331057874139615</v>
      </c>
      <c r="O505" s="60">
        <f ca="1"/>
        <v>0.18007521052740749</v>
      </c>
    </row>
    <row r="506" spans="14:15" x14ac:dyDescent="0.25">
      <c r="N506" s="60">
        <f ca="1"/>
        <v>1.5052548647815358</v>
      </c>
      <c r="O506" s="60">
        <f ca="1"/>
        <v>1.7637407768798701</v>
      </c>
    </row>
    <row r="507" spans="14:15" x14ac:dyDescent="0.25">
      <c r="N507" s="60">
        <f ca="1"/>
        <v>1.0836455715090212</v>
      </c>
      <c r="O507" s="60">
        <f ca="1"/>
        <v>0.56143100452781325</v>
      </c>
    </row>
    <row r="508" spans="14:15" x14ac:dyDescent="0.25">
      <c r="N508" s="60">
        <f ca="1"/>
        <v>1.2414466635641448</v>
      </c>
      <c r="O508" s="60">
        <f ca="1"/>
        <v>1.7198151470353888</v>
      </c>
    </row>
    <row r="509" spans="14:15" x14ac:dyDescent="0.25">
      <c r="N509" s="60">
        <f ca="1"/>
        <v>0.82257390976422851</v>
      </c>
      <c r="O509" s="60">
        <f ca="1"/>
        <v>0.49998527756593086</v>
      </c>
    </row>
    <row r="510" spans="14:15" x14ac:dyDescent="0.25">
      <c r="N510" s="60">
        <f ca="1"/>
        <v>0.8065705809151914</v>
      </c>
      <c r="O510" s="60">
        <f ca="1"/>
        <v>0.88740679694104085</v>
      </c>
    </row>
    <row r="511" spans="14:15" x14ac:dyDescent="0.25">
      <c r="N511" s="60">
        <f ca="1"/>
        <v>0.94424189150802973</v>
      </c>
      <c r="O511" s="60">
        <f ca="1"/>
        <v>1.6518668433153616</v>
      </c>
    </row>
    <row r="512" spans="14:15" x14ac:dyDescent="0.25">
      <c r="N512" s="60">
        <f ca="1"/>
        <v>1.1642570986046568</v>
      </c>
      <c r="O512" s="60">
        <f ca="1"/>
        <v>1.5948599252154319</v>
      </c>
    </row>
    <row r="513" spans="14:15" x14ac:dyDescent="0.25">
      <c r="N513" s="60">
        <f ca="1"/>
        <v>0.90498778691675408</v>
      </c>
      <c r="O513" s="60">
        <f ca="1"/>
        <v>1.3340472449973024</v>
      </c>
    </row>
    <row r="514" spans="14:15" x14ac:dyDescent="0.25">
      <c r="N514" s="60">
        <f ca="1"/>
        <v>0.28702914596848556</v>
      </c>
      <c r="O514" s="60">
        <f ca="1"/>
        <v>0.58922117239372618</v>
      </c>
    </row>
    <row r="515" spans="14:15" x14ac:dyDescent="0.25">
      <c r="N515" s="60">
        <f ca="1"/>
        <v>0.66123954917326622</v>
      </c>
      <c r="O515" s="60">
        <f ca="1"/>
        <v>3.282714488259264E-2</v>
      </c>
    </row>
    <row r="516" spans="14:15" x14ac:dyDescent="0.25">
      <c r="N516" s="60">
        <f ca="1"/>
        <v>0.63219236930745903</v>
      </c>
      <c r="O516" s="60">
        <f ca="1"/>
        <v>0.83078809697323708</v>
      </c>
    </row>
    <row r="517" spans="14:15" x14ac:dyDescent="0.25">
      <c r="N517" s="60">
        <f ca="1"/>
        <v>1.3384003325943696</v>
      </c>
      <c r="O517" s="60">
        <f ca="1"/>
        <v>1.3319129538767838</v>
      </c>
    </row>
    <row r="518" spans="14:15" x14ac:dyDescent="0.25">
      <c r="N518" s="60">
        <f ca="1"/>
        <v>0.7014156838444906</v>
      </c>
      <c r="O518" s="60">
        <f ca="1"/>
        <v>0.92593000159235173</v>
      </c>
    </row>
    <row r="519" spans="14:15" x14ac:dyDescent="0.25">
      <c r="N519" s="60">
        <f ca="1"/>
        <v>1.4738088797694415</v>
      </c>
      <c r="O519" s="60">
        <f ca="1"/>
        <v>1.7908511436578856</v>
      </c>
    </row>
    <row r="520" spans="14:15" x14ac:dyDescent="0.25">
      <c r="N520" s="60">
        <f ca="1"/>
        <v>1.4322455966261907</v>
      </c>
      <c r="O520" s="60">
        <f ca="1"/>
        <v>1.7762392895884953</v>
      </c>
    </row>
    <row r="521" spans="14:15" x14ac:dyDescent="0.25">
      <c r="N521" s="60">
        <f ca="1"/>
        <v>0.51884592697410936</v>
      </c>
      <c r="O521" s="60">
        <f ca="1"/>
        <v>1.0378135517036808</v>
      </c>
    </row>
    <row r="522" spans="14:15" x14ac:dyDescent="0.25">
      <c r="N522" s="60">
        <f ca="1"/>
        <v>0.75824639669460558</v>
      </c>
      <c r="O522" s="60">
        <f ca="1"/>
        <v>0.80188645778271816</v>
      </c>
    </row>
    <row r="523" spans="14:15" x14ac:dyDescent="0.25">
      <c r="N523" s="60">
        <f ca="1"/>
        <v>1.1418328530141821</v>
      </c>
      <c r="O523" s="60">
        <f ca="1"/>
        <v>0.94917650199424131</v>
      </c>
    </row>
    <row r="524" spans="14:15" x14ac:dyDescent="0.25">
      <c r="N524" s="60">
        <f ca="1"/>
        <v>0.60336999497571098</v>
      </c>
      <c r="O524" s="60">
        <f ca="1"/>
        <v>0.14989467313994664</v>
      </c>
    </row>
    <row r="525" spans="14:15" x14ac:dyDescent="0.25">
      <c r="N525" s="60">
        <f ca="1"/>
        <v>1.4078900541786457</v>
      </c>
      <c r="O525" s="60">
        <f ca="1"/>
        <v>1.4487683588253926</v>
      </c>
    </row>
    <row r="526" spans="14:15" x14ac:dyDescent="0.25">
      <c r="N526" s="60">
        <f ca="1"/>
        <v>1.5486558238910331</v>
      </c>
      <c r="O526" s="60">
        <f ca="1"/>
        <v>1.0939739601868959</v>
      </c>
    </row>
    <row r="527" spans="14:15" x14ac:dyDescent="0.25">
      <c r="N527" s="60">
        <f ca="1"/>
        <v>0.74127576569699338</v>
      </c>
      <c r="O527" s="60">
        <f ca="1"/>
        <v>0.4616348149816466</v>
      </c>
    </row>
    <row r="528" spans="14:15" x14ac:dyDescent="0.25">
      <c r="N528" s="60">
        <f ca="1"/>
        <v>0.80920386049087933</v>
      </c>
      <c r="O528" s="60">
        <f ca="1"/>
        <v>0.13199752513247676</v>
      </c>
    </row>
    <row r="529" spans="14:15" x14ac:dyDescent="0.25">
      <c r="N529" s="60">
        <f ca="1"/>
        <v>1.5499549481539456</v>
      </c>
      <c r="O529" s="60">
        <f ca="1"/>
        <v>1.3538283929644268</v>
      </c>
    </row>
    <row r="530" spans="14:15" x14ac:dyDescent="0.25">
      <c r="N530" s="60">
        <f ca="1"/>
        <v>0.42655371022586386</v>
      </c>
      <c r="O530" s="60">
        <f ca="1"/>
        <v>0.48902332966890488</v>
      </c>
    </row>
    <row r="531" spans="14:15" x14ac:dyDescent="0.25">
      <c r="N531" s="60">
        <f ca="1"/>
        <v>0.84078443943485626</v>
      </c>
      <c r="O531" s="60">
        <f ca="1"/>
        <v>1.087833336535879</v>
      </c>
    </row>
    <row r="532" spans="14:15" x14ac:dyDescent="0.25">
      <c r="N532" s="60">
        <f ca="1"/>
        <v>0.65601894522704385</v>
      </c>
      <c r="O532" s="60">
        <f ca="1"/>
        <v>1.203005950177793</v>
      </c>
    </row>
    <row r="533" spans="14:15" x14ac:dyDescent="0.25">
      <c r="N533" s="60">
        <f ca="1"/>
        <v>1.0887545500391596</v>
      </c>
      <c r="O533" s="60">
        <f ca="1"/>
        <v>1.5823240194945889</v>
      </c>
    </row>
    <row r="534" spans="14:15" x14ac:dyDescent="0.25">
      <c r="N534" s="60">
        <f ca="1"/>
        <v>1.3617872806873366</v>
      </c>
      <c r="O534" s="60">
        <f ca="1"/>
        <v>1.1796553601238948</v>
      </c>
    </row>
    <row r="535" spans="14:15" x14ac:dyDescent="0.25">
      <c r="N535" s="60">
        <f ca="1"/>
        <v>1.8104638770620611</v>
      </c>
      <c r="O535" s="60">
        <f ca="1"/>
        <v>2.1893048661519932</v>
      </c>
    </row>
    <row r="536" spans="14:15" x14ac:dyDescent="0.25">
      <c r="N536" s="60">
        <f ca="1"/>
        <v>0.27843751030257696</v>
      </c>
      <c r="O536" s="60">
        <f ca="1"/>
        <v>0.89627946890799692</v>
      </c>
    </row>
    <row r="537" spans="14:15" x14ac:dyDescent="0.25">
      <c r="N537" s="60">
        <f ca="1"/>
        <v>0.41971647234727044</v>
      </c>
      <c r="O537" s="60">
        <f ca="1"/>
        <v>0.32866023263095623</v>
      </c>
    </row>
    <row r="538" spans="14:15" x14ac:dyDescent="0.25">
      <c r="N538" s="60">
        <f ca="1"/>
        <v>1.5553425323247256</v>
      </c>
      <c r="O538" s="60">
        <f ca="1"/>
        <v>1.2392748976500192</v>
      </c>
    </row>
    <row r="539" spans="14:15" x14ac:dyDescent="0.25">
      <c r="N539" s="60">
        <f ca="1"/>
        <v>0.59398120636777818</v>
      </c>
      <c r="O539" s="60">
        <f ca="1"/>
        <v>-0.22929714728659545</v>
      </c>
    </row>
    <row r="540" spans="14:15" x14ac:dyDescent="0.25">
      <c r="N540" s="60">
        <f ca="1"/>
        <v>0.92225867021462182</v>
      </c>
      <c r="O540" s="60">
        <f ca="1"/>
        <v>1.4217870359222173</v>
      </c>
    </row>
    <row r="541" spans="14:15" x14ac:dyDescent="0.25">
      <c r="N541" s="60">
        <f ca="1"/>
        <v>1.8805230833763185</v>
      </c>
      <c r="O541" s="60">
        <f ca="1"/>
        <v>2.203559578882091</v>
      </c>
    </row>
    <row r="542" spans="14:15" x14ac:dyDescent="0.25">
      <c r="N542" s="60">
        <f ca="1"/>
        <v>0.47042104816584512</v>
      </c>
      <c r="O542" s="60">
        <f ca="1"/>
        <v>0.61889545962138015</v>
      </c>
    </row>
    <row r="543" spans="14:15" x14ac:dyDescent="0.25">
      <c r="N543" s="60">
        <f ca="1"/>
        <v>0.18945208136491595</v>
      </c>
      <c r="O543" s="60">
        <f ca="1"/>
        <v>0.46363038829993797</v>
      </c>
    </row>
    <row r="544" spans="14:15" x14ac:dyDescent="0.25">
      <c r="N544" s="60">
        <f ca="1"/>
        <v>0.390325569932157</v>
      </c>
      <c r="O544" s="60">
        <f ca="1"/>
        <v>-0.34827647904919395</v>
      </c>
    </row>
    <row r="545" spans="14:15" x14ac:dyDescent="0.25">
      <c r="N545" s="60">
        <f ca="1"/>
        <v>0.94393944120409201</v>
      </c>
      <c r="O545" s="60">
        <f ca="1"/>
        <v>0.69384563923620901</v>
      </c>
    </row>
    <row r="546" spans="14:15" x14ac:dyDescent="0.25">
      <c r="N546" s="60">
        <f ca="1"/>
        <v>1.0348788220018068</v>
      </c>
      <c r="O546" s="60">
        <f ca="1"/>
        <v>1.2374389676551445</v>
      </c>
    </row>
    <row r="547" spans="14:15" x14ac:dyDescent="0.25">
      <c r="N547" s="60">
        <f ca="1"/>
        <v>1.4319205376910249</v>
      </c>
      <c r="O547" s="60">
        <f ca="1"/>
        <v>1.6667048538886891</v>
      </c>
    </row>
    <row r="548" spans="14:15" x14ac:dyDescent="0.25">
      <c r="N548" s="60">
        <f ca="1"/>
        <v>0.9980523163814029</v>
      </c>
      <c r="O548" s="60">
        <f ca="1"/>
        <v>0.77881560979991371</v>
      </c>
    </row>
    <row r="549" spans="14:15" x14ac:dyDescent="0.25">
      <c r="N549" s="60">
        <f ca="1"/>
        <v>0.80394629773624349</v>
      </c>
      <c r="O549" s="60">
        <f ca="1"/>
        <v>1.5167680322449391</v>
      </c>
    </row>
    <row r="550" spans="14:15" x14ac:dyDescent="0.25">
      <c r="N550" s="60">
        <f ca="1"/>
        <v>1.8072230157039366</v>
      </c>
      <c r="O550" s="60">
        <f ca="1"/>
        <v>1.8083112300486306</v>
      </c>
    </row>
    <row r="551" spans="14:15" x14ac:dyDescent="0.25">
      <c r="N551" s="60">
        <f ca="1"/>
        <v>1.8998234807639114</v>
      </c>
      <c r="O551" s="60">
        <f ca="1"/>
        <v>1.1503939985381288</v>
      </c>
    </row>
    <row r="552" spans="14:15" x14ac:dyDescent="0.25">
      <c r="N552" s="60">
        <f ca="1"/>
        <v>1.341830306102171</v>
      </c>
      <c r="O552" s="60">
        <f ca="1"/>
        <v>1.3496150633678983</v>
      </c>
    </row>
    <row r="553" spans="14:15" x14ac:dyDescent="0.25">
      <c r="N553" s="60">
        <f ca="1"/>
        <v>1.1479667013354051</v>
      </c>
      <c r="O553" s="60">
        <f ca="1"/>
        <v>1.3677245679384364</v>
      </c>
    </row>
    <row r="554" spans="14:15" x14ac:dyDescent="0.25">
      <c r="N554" s="60">
        <f ca="1"/>
        <v>0.71394794928228122</v>
      </c>
      <c r="O554" s="60">
        <f ca="1"/>
        <v>1.1662286107351916</v>
      </c>
    </row>
    <row r="555" spans="14:15" x14ac:dyDescent="0.25">
      <c r="N555" s="60">
        <f ca="1"/>
        <v>1.7815077382255764</v>
      </c>
      <c r="O555" s="60">
        <f ca="1"/>
        <v>2.0123403498851187</v>
      </c>
    </row>
    <row r="556" spans="14:15" x14ac:dyDescent="0.25">
      <c r="N556" s="60">
        <f ca="1"/>
        <v>1.3092399064701865</v>
      </c>
      <c r="O556" s="60">
        <f ca="1"/>
        <v>1.013407337662926</v>
      </c>
    </row>
    <row r="557" spans="14:15" x14ac:dyDescent="0.25">
      <c r="N557" s="60">
        <f ca="1"/>
        <v>0.88840255020107639</v>
      </c>
      <c r="O557" s="60">
        <f ca="1"/>
        <v>0.82492488074669024</v>
      </c>
    </row>
    <row r="558" spans="14:15" x14ac:dyDescent="0.25">
      <c r="N558" s="60">
        <f ca="1"/>
        <v>0.69016126445563475</v>
      </c>
      <c r="O558" s="60">
        <f ca="1"/>
        <v>0.47405161260555884</v>
      </c>
    </row>
    <row r="559" spans="14:15" x14ac:dyDescent="0.25">
      <c r="N559" s="60">
        <f ca="1"/>
        <v>0.84476181063909817</v>
      </c>
      <c r="O559" s="60">
        <f ca="1"/>
        <v>0.85369402950339346</v>
      </c>
    </row>
    <row r="560" spans="14:15" x14ac:dyDescent="0.25">
      <c r="N560" s="60">
        <f ca="1"/>
        <v>0.89075211706176638</v>
      </c>
      <c r="O560" s="60">
        <f ca="1"/>
        <v>0.49806424912962532</v>
      </c>
    </row>
    <row r="561" spans="14:15" x14ac:dyDescent="0.25">
      <c r="N561" s="60">
        <f ca="1"/>
        <v>0.81088748829852419</v>
      </c>
      <c r="O561" s="60">
        <f ca="1"/>
        <v>1.4207885185211935</v>
      </c>
    </row>
    <row r="562" spans="14:15" x14ac:dyDescent="0.25">
      <c r="N562" s="60">
        <f ca="1"/>
        <v>0.48976165879568184</v>
      </c>
      <c r="O562" s="60">
        <f ca="1"/>
        <v>1.5400976361045893</v>
      </c>
    </row>
    <row r="563" spans="14:15" x14ac:dyDescent="0.25">
      <c r="N563" s="60">
        <f ca="1"/>
        <v>2.2568981618878765</v>
      </c>
      <c r="O563" s="60">
        <f ca="1"/>
        <v>1.8599227614472076</v>
      </c>
    </row>
    <row r="564" spans="14:15" x14ac:dyDescent="0.25">
      <c r="N564" s="60">
        <f ca="1"/>
        <v>0.53850548711710866</v>
      </c>
      <c r="O564" s="60">
        <f ca="1"/>
        <v>0.61129488375948726</v>
      </c>
    </row>
    <row r="565" spans="14:15" x14ac:dyDescent="0.25">
      <c r="N565" s="60">
        <f ca="1"/>
        <v>0.52761840742406607</v>
      </c>
      <c r="O565" s="60">
        <f ca="1"/>
        <v>0.89883554855165526</v>
      </c>
    </row>
    <row r="566" spans="14:15" x14ac:dyDescent="0.25">
      <c r="N566" s="60">
        <f ca="1"/>
        <v>1.4822078801217562</v>
      </c>
      <c r="O566" s="60">
        <f ca="1"/>
        <v>1.0296791791773332</v>
      </c>
    </row>
    <row r="567" spans="14:15" x14ac:dyDescent="0.25">
      <c r="N567" s="60">
        <f ca="1"/>
        <v>0.49637901214896568</v>
      </c>
      <c r="O567" s="60">
        <f ca="1"/>
        <v>0.66784503382067983</v>
      </c>
    </row>
    <row r="568" spans="14:15" x14ac:dyDescent="0.25">
      <c r="N568" s="60">
        <f ca="1"/>
        <v>1.6020876666649697</v>
      </c>
      <c r="O568" s="60">
        <f ca="1"/>
        <v>1.3369957009689513</v>
      </c>
    </row>
    <row r="569" spans="14:15" x14ac:dyDescent="0.25">
      <c r="N569" s="60">
        <f ca="1"/>
        <v>0.57319717971215489</v>
      </c>
      <c r="O569" s="60">
        <f ca="1"/>
        <v>0.40005602610560453</v>
      </c>
    </row>
    <row r="570" spans="14:15" x14ac:dyDescent="0.25">
      <c r="N570" s="60">
        <f ca="1"/>
        <v>1.9684207527207898</v>
      </c>
      <c r="O570" s="60">
        <f ca="1"/>
        <v>2.1541766212078888</v>
      </c>
    </row>
    <row r="571" spans="14:15" x14ac:dyDescent="0.25">
      <c r="N571" s="60">
        <f ca="1"/>
        <v>1.4413882233947011</v>
      </c>
      <c r="O571" s="60">
        <f ca="1"/>
        <v>0.52526159017453911</v>
      </c>
    </row>
    <row r="572" spans="14:15" x14ac:dyDescent="0.25">
      <c r="N572" s="60">
        <f ca="1"/>
        <v>0.71278521245814352</v>
      </c>
      <c r="O572" s="60">
        <f ca="1"/>
        <v>0.97921590524781144</v>
      </c>
    </row>
    <row r="573" spans="14:15" x14ac:dyDescent="0.25">
      <c r="N573" s="60">
        <f ca="1"/>
        <v>0.49622876361163892</v>
      </c>
      <c r="O573" s="60">
        <f ca="1"/>
        <v>0.52883457019719626</v>
      </c>
    </row>
    <row r="574" spans="14:15" x14ac:dyDescent="0.25">
      <c r="N574" s="60">
        <f ca="1"/>
        <v>0.68374529315607591</v>
      </c>
      <c r="O574" s="60">
        <f ca="1"/>
        <v>0.52066787313290708</v>
      </c>
    </row>
    <row r="575" spans="14:15" x14ac:dyDescent="0.25">
      <c r="N575" s="60">
        <f ca="1"/>
        <v>0.75929597292838968</v>
      </c>
      <c r="O575" s="60">
        <f ca="1"/>
        <v>0.68132638947244883</v>
      </c>
    </row>
    <row r="576" spans="14:15" x14ac:dyDescent="0.25">
      <c r="N576" s="60">
        <f ca="1"/>
        <v>0.75772578011812797</v>
      </c>
      <c r="O576" s="60">
        <f ca="1"/>
        <v>-0.10104490721252524</v>
      </c>
    </row>
    <row r="577" spans="14:15" x14ac:dyDescent="0.25">
      <c r="N577" s="60">
        <f ca="1"/>
        <v>1.7492514416621916</v>
      </c>
      <c r="O577" s="60">
        <f ca="1"/>
        <v>1.6740966474151433</v>
      </c>
    </row>
    <row r="578" spans="14:15" x14ac:dyDescent="0.25">
      <c r="N578" s="60">
        <f ca="1"/>
        <v>0.89353483072754114</v>
      </c>
      <c r="O578" s="60">
        <f ca="1"/>
        <v>0.65856183811478775</v>
      </c>
    </row>
    <row r="579" spans="14:15" x14ac:dyDescent="0.25">
      <c r="N579" s="60">
        <f ca="1"/>
        <v>0.61451913667441294</v>
      </c>
      <c r="O579" s="60">
        <f ca="1"/>
        <v>1.2196136589816726</v>
      </c>
    </row>
    <row r="580" spans="14:15" x14ac:dyDescent="0.25">
      <c r="N580" s="60">
        <f ca="1"/>
        <v>1.1232328617474465</v>
      </c>
      <c r="O580" s="60">
        <f ca="1"/>
        <v>0.53148164612911308</v>
      </c>
    </row>
    <row r="581" spans="14:15" x14ac:dyDescent="0.25">
      <c r="N581" s="60">
        <f ca="1"/>
        <v>1.4833387045249984</v>
      </c>
      <c r="O581" s="60">
        <f ca="1"/>
        <v>1.1063803233790477</v>
      </c>
    </row>
    <row r="582" spans="14:15" x14ac:dyDescent="0.25">
      <c r="N582" s="60">
        <f ca="1"/>
        <v>0.86848045753249192</v>
      </c>
      <c r="O582" s="60">
        <f ca="1"/>
        <v>0.7126402076914784</v>
      </c>
    </row>
    <row r="583" spans="14:15" x14ac:dyDescent="0.25">
      <c r="N583" s="60">
        <f ca="1"/>
        <v>0.74082600157618461</v>
      </c>
      <c r="O583" s="60">
        <f ca="1"/>
        <v>0.94887508145126365</v>
      </c>
    </row>
    <row r="584" spans="14:15" x14ac:dyDescent="0.25">
      <c r="N584" s="60">
        <f ca="1"/>
        <v>0.72488862572712986</v>
      </c>
      <c r="O584" s="60">
        <f ca="1"/>
        <v>0.76095838564329632</v>
      </c>
    </row>
    <row r="585" spans="14:15" x14ac:dyDescent="0.25">
      <c r="N585" s="60">
        <f ca="1"/>
        <v>0.76316766027479854</v>
      </c>
      <c r="O585" s="60">
        <f ca="1"/>
        <v>1.0578623008622512</v>
      </c>
    </row>
    <row r="586" spans="14:15" x14ac:dyDescent="0.25">
      <c r="N586" s="60">
        <f ca="1"/>
        <v>0.94629771891019809</v>
      </c>
      <c r="O586" s="60">
        <f ca="1"/>
        <v>0.57533460067126851</v>
      </c>
    </row>
    <row r="587" spans="14:15" x14ac:dyDescent="0.25">
      <c r="N587" s="60">
        <f ca="1"/>
        <v>0.46583486032011856</v>
      </c>
      <c r="O587" s="60">
        <f ca="1"/>
        <v>0.2843983076457548</v>
      </c>
    </row>
    <row r="588" spans="14:15" x14ac:dyDescent="0.25">
      <c r="N588" s="60">
        <f ca="1"/>
        <v>0.9652902029293603</v>
      </c>
      <c r="O588" s="60">
        <f ca="1"/>
        <v>1.1335447254076181</v>
      </c>
    </row>
    <row r="589" spans="14:15" x14ac:dyDescent="0.25">
      <c r="N589" s="60">
        <f ca="1"/>
        <v>0.1934179469796958</v>
      </c>
      <c r="O589" s="60">
        <f ca="1"/>
        <v>0.3074954617633967</v>
      </c>
    </row>
    <row r="590" spans="14:15" x14ac:dyDescent="0.25">
      <c r="N590" s="60">
        <f ca="1"/>
        <v>1.0511735985834116</v>
      </c>
      <c r="O590" s="60">
        <f ca="1"/>
        <v>1.4196700171783907</v>
      </c>
    </row>
    <row r="591" spans="14:15" x14ac:dyDescent="0.25">
      <c r="N591" s="60">
        <f ca="1"/>
        <v>0.98914787909314461</v>
      </c>
      <c r="O591" s="60">
        <f ca="1"/>
        <v>0.40558022498482993</v>
      </c>
    </row>
    <row r="592" spans="14:15" x14ac:dyDescent="0.25">
      <c r="N592" s="60">
        <f ca="1"/>
        <v>0.500580343403765</v>
      </c>
      <c r="O592" s="60">
        <f ca="1"/>
        <v>0.50808009473349824</v>
      </c>
    </row>
    <row r="593" spans="14:15" x14ac:dyDescent="0.25">
      <c r="N593" s="60">
        <f ca="1"/>
        <v>0.72043731940852385</v>
      </c>
      <c r="O593" s="60">
        <f ca="1"/>
        <v>0.8490460610624756</v>
      </c>
    </row>
    <row r="594" spans="14:15" x14ac:dyDescent="0.25">
      <c r="N594" s="60">
        <f ca="1"/>
        <v>2.3461744283313628</v>
      </c>
      <c r="O594" s="60">
        <f ca="1"/>
        <v>2.2816923136241805</v>
      </c>
    </row>
    <row r="595" spans="14:15" x14ac:dyDescent="0.25">
      <c r="N595" s="60">
        <f ca="1"/>
        <v>1.7121996351821174</v>
      </c>
      <c r="O595" s="60">
        <f ca="1"/>
        <v>1.9052129767790746</v>
      </c>
    </row>
    <row r="596" spans="14:15" x14ac:dyDescent="0.25">
      <c r="N596" s="60">
        <f ca="1"/>
        <v>0.45122780497288018</v>
      </c>
      <c r="O596" s="60">
        <f ca="1"/>
        <v>-0.4776036023341349</v>
      </c>
    </row>
    <row r="597" spans="14:15" x14ac:dyDescent="0.25">
      <c r="N597" s="60">
        <f ca="1"/>
        <v>0.71166194522397164</v>
      </c>
      <c r="O597" s="60">
        <f ca="1"/>
        <v>0.40122639633606244</v>
      </c>
    </row>
    <row r="598" spans="14:15" x14ac:dyDescent="0.25">
      <c r="N598" s="60">
        <f ca="1"/>
        <v>0.86178637235439393</v>
      </c>
      <c r="O598" s="60">
        <f ca="1"/>
        <v>0.50263358441161521</v>
      </c>
    </row>
    <row r="599" spans="14:15" x14ac:dyDescent="0.25">
      <c r="N599" s="60">
        <f ca="1"/>
        <v>0.97132821013576531</v>
      </c>
      <c r="O599" s="60">
        <f ca="1"/>
        <v>0.8524672517731815</v>
      </c>
    </row>
    <row r="600" spans="14:15" x14ac:dyDescent="0.25">
      <c r="N600" s="60">
        <f ca="1"/>
        <v>1.005172827857433</v>
      </c>
      <c r="O600" s="60">
        <f ca="1"/>
        <v>1.0182207444194491</v>
      </c>
    </row>
    <row r="601" spans="14:15" x14ac:dyDescent="0.25">
      <c r="N601" s="60">
        <f ca="1"/>
        <v>2.0762700038679411</v>
      </c>
      <c r="O601" s="60">
        <f ca="1"/>
        <v>2.239817344019432</v>
      </c>
    </row>
    <row r="602" spans="14:15" x14ac:dyDescent="0.25">
      <c r="N602" s="60">
        <f ca="1"/>
        <v>0.97538223498639454</v>
      </c>
      <c r="O602" s="60">
        <f ca="1"/>
        <v>0.94328483669865382</v>
      </c>
    </row>
    <row r="603" spans="14:15" x14ac:dyDescent="0.25">
      <c r="N603" s="60">
        <f ca="1"/>
        <v>1.7153228157420415</v>
      </c>
      <c r="O603" s="60">
        <f ca="1"/>
        <v>1.9428199980914156</v>
      </c>
    </row>
    <row r="604" spans="14:15" x14ac:dyDescent="0.25">
      <c r="N604" s="60">
        <f ca="1"/>
        <v>1.5300669683429264</v>
      </c>
      <c r="O604" s="60">
        <f ca="1"/>
        <v>1.6910281849248703</v>
      </c>
    </row>
    <row r="605" spans="14:15" x14ac:dyDescent="0.25">
      <c r="N605" s="60">
        <f ca="1"/>
        <v>1.5184996423540242</v>
      </c>
      <c r="O605" s="60">
        <f ca="1"/>
        <v>1.3538734919857802</v>
      </c>
    </row>
    <row r="606" spans="14:15" x14ac:dyDescent="0.25">
      <c r="N606" s="60">
        <f ca="1"/>
        <v>0.65035587051767174</v>
      </c>
      <c r="O606" s="60">
        <f ca="1"/>
        <v>0.58975276792063314</v>
      </c>
    </row>
    <row r="607" spans="14:15" x14ac:dyDescent="0.25">
      <c r="N607" s="60">
        <f ca="1"/>
        <v>0.97394338426437332</v>
      </c>
      <c r="O607" s="60">
        <f ca="1"/>
        <v>1.1763639476951282</v>
      </c>
    </row>
    <row r="608" spans="14:15" x14ac:dyDescent="0.25">
      <c r="N608" s="60">
        <f ca="1"/>
        <v>0.31357437215266232</v>
      </c>
      <c r="O608" s="60">
        <f ca="1"/>
        <v>0.59279050832649949</v>
      </c>
    </row>
    <row r="609" spans="14:15" x14ac:dyDescent="0.25">
      <c r="N609" s="60">
        <f ca="1"/>
        <v>0.5100690559763873</v>
      </c>
      <c r="O609" s="60">
        <f ca="1"/>
        <v>0.49629126647332383</v>
      </c>
    </row>
    <row r="610" spans="14:15" x14ac:dyDescent="0.25">
      <c r="N610" s="60">
        <f ca="1"/>
        <v>1.2849174911610626</v>
      </c>
      <c r="O610" s="60">
        <f ca="1"/>
        <v>1.2049516090513865</v>
      </c>
    </row>
    <row r="611" spans="14:15" x14ac:dyDescent="0.25">
      <c r="N611" s="60">
        <f ca="1"/>
        <v>0.81026324576821385</v>
      </c>
      <c r="O611" s="60">
        <f ca="1"/>
        <v>0.94469550422332982</v>
      </c>
    </row>
    <row r="612" spans="14:15" x14ac:dyDescent="0.25">
      <c r="N612" s="60">
        <f ca="1"/>
        <v>0.89888612862024564</v>
      </c>
      <c r="O612" s="60">
        <f ca="1"/>
        <v>0.85367226534141671</v>
      </c>
    </row>
    <row r="613" spans="14:15" x14ac:dyDescent="0.25">
      <c r="N613" s="60">
        <f ca="1"/>
        <v>1.0588878507359272</v>
      </c>
      <c r="O613" s="60">
        <f ca="1"/>
        <v>1.1671090774920834</v>
      </c>
    </row>
    <row r="614" spans="14:15" x14ac:dyDescent="0.25">
      <c r="N614" s="60">
        <f ca="1"/>
        <v>1.5847812317572001</v>
      </c>
      <c r="O614" s="60">
        <f ca="1"/>
        <v>1.6336631603056195</v>
      </c>
    </row>
    <row r="615" spans="14:15" x14ac:dyDescent="0.25">
      <c r="N615" s="60">
        <f ca="1"/>
        <v>0.77596002325243929</v>
      </c>
      <c r="O615" s="60">
        <f ca="1"/>
        <v>0.82634649319682152</v>
      </c>
    </row>
    <row r="616" spans="14:15" x14ac:dyDescent="0.25">
      <c r="N616" s="60">
        <f ca="1"/>
        <v>0.56323804076379869</v>
      </c>
      <c r="O616" s="60">
        <f ca="1"/>
        <v>0.44384661470251652</v>
      </c>
    </row>
    <row r="617" spans="14:15" x14ac:dyDescent="0.25">
      <c r="N617" s="60">
        <f ca="1"/>
        <v>1.9344514425598032</v>
      </c>
      <c r="O617" s="60">
        <f ca="1"/>
        <v>1.672991233549862</v>
      </c>
    </row>
    <row r="618" spans="14:15" x14ac:dyDescent="0.25">
      <c r="N618" s="60">
        <f ca="1"/>
        <v>0.93852597166452778</v>
      </c>
      <c r="O618" s="60">
        <f ca="1"/>
        <v>1.6103702765464201</v>
      </c>
    </row>
    <row r="619" spans="14:15" x14ac:dyDescent="0.25">
      <c r="N619" s="60">
        <f ca="1"/>
        <v>1.0709295565166073</v>
      </c>
      <c r="O619" s="60">
        <f ca="1"/>
        <v>0.61118630352172676</v>
      </c>
    </row>
    <row r="620" spans="14:15" x14ac:dyDescent="0.25">
      <c r="N620" s="60">
        <f ca="1"/>
        <v>1.0376107829063266</v>
      </c>
      <c r="O620" s="60">
        <f ca="1"/>
        <v>1.2945020355615566</v>
      </c>
    </row>
    <row r="621" spans="14:15" x14ac:dyDescent="0.25">
      <c r="N621" s="60">
        <f ca="1"/>
        <v>0.56619123351373601</v>
      </c>
      <c r="O621" s="60">
        <f ca="1"/>
        <v>1.0722903675890032</v>
      </c>
    </row>
    <row r="622" spans="14:15" x14ac:dyDescent="0.25">
      <c r="N622" s="60">
        <f ca="1"/>
        <v>0.66915622270283326</v>
      </c>
      <c r="O622" s="60">
        <f ca="1"/>
        <v>0.86745680876496634</v>
      </c>
    </row>
    <row r="623" spans="14:15" x14ac:dyDescent="0.25">
      <c r="N623" s="60">
        <f ca="1"/>
        <v>0.54131737482986442</v>
      </c>
      <c r="O623" s="60">
        <f ca="1"/>
        <v>0.23104917891177529</v>
      </c>
    </row>
    <row r="624" spans="14:15" x14ac:dyDescent="0.25">
      <c r="N624" s="60">
        <f ca="1"/>
        <v>2.328009286681274</v>
      </c>
      <c r="O624" s="60">
        <f ca="1"/>
        <v>2.7824717430354058</v>
      </c>
    </row>
    <row r="625" spans="14:15" x14ac:dyDescent="0.25">
      <c r="N625" s="60">
        <f ca="1"/>
        <v>1.2201544238771138</v>
      </c>
      <c r="O625" s="60">
        <f ca="1"/>
        <v>0.954929156923084</v>
      </c>
    </row>
    <row r="626" spans="14:15" x14ac:dyDescent="0.25">
      <c r="N626" s="60">
        <f ca="1"/>
        <v>1.8303133679221613</v>
      </c>
      <c r="O626" s="60">
        <f ca="1"/>
        <v>1.3266698189405621</v>
      </c>
    </row>
    <row r="627" spans="14:15" x14ac:dyDescent="0.25">
      <c r="N627" s="60">
        <f ca="1"/>
        <v>1.3840378791821943</v>
      </c>
      <c r="O627" s="60">
        <f ca="1"/>
        <v>1.7111792251112556</v>
      </c>
    </row>
    <row r="628" spans="14:15" x14ac:dyDescent="0.25">
      <c r="N628" s="60">
        <f ca="1"/>
        <v>0.75239564877871046</v>
      </c>
      <c r="O628" s="60">
        <f ca="1"/>
        <v>0.74521913438461829</v>
      </c>
    </row>
    <row r="629" spans="14:15" x14ac:dyDescent="0.25">
      <c r="N629" s="60">
        <f ca="1"/>
        <v>1.2653255825678824</v>
      </c>
      <c r="O629" s="60">
        <f ca="1"/>
        <v>0.79257520681289717</v>
      </c>
    </row>
    <row r="630" spans="14:15" x14ac:dyDescent="0.25">
      <c r="N630" s="60">
        <f ca="1"/>
        <v>1.1157665792847944</v>
      </c>
      <c r="O630" s="60">
        <f ca="1"/>
        <v>1.1082419950623195</v>
      </c>
    </row>
    <row r="631" spans="14:15" x14ac:dyDescent="0.25">
      <c r="N631" s="60">
        <f ca="1"/>
        <v>0.87111167822048718</v>
      </c>
      <c r="O631" s="60">
        <f ca="1"/>
        <v>0.74105419070477385</v>
      </c>
    </row>
    <row r="632" spans="14:15" x14ac:dyDescent="0.25">
      <c r="N632" s="60">
        <f ca="1"/>
        <v>1.0045522353883893</v>
      </c>
      <c r="O632" s="60">
        <f ca="1"/>
        <v>0.82529067912132048</v>
      </c>
    </row>
    <row r="633" spans="14:15" x14ac:dyDescent="0.25">
      <c r="N633" s="60">
        <f ca="1"/>
        <v>0.48671496855726903</v>
      </c>
      <c r="O633" s="60">
        <f ca="1"/>
        <v>0.51417188292828975</v>
      </c>
    </row>
    <row r="634" spans="14:15" x14ac:dyDescent="0.25">
      <c r="N634" s="60">
        <f ca="1"/>
        <v>1.0600704684087172</v>
      </c>
      <c r="O634" s="60">
        <f ca="1"/>
        <v>0.7148097818746133</v>
      </c>
    </row>
    <row r="635" spans="14:15" x14ac:dyDescent="0.25">
      <c r="N635" s="60">
        <f ca="1"/>
        <v>1.0103611103282737</v>
      </c>
      <c r="O635" s="60">
        <f ca="1"/>
        <v>1.0754290375088111</v>
      </c>
    </row>
    <row r="636" spans="14:15" x14ac:dyDescent="0.25">
      <c r="N636" s="60">
        <f ca="1"/>
        <v>0.80166737694823498</v>
      </c>
      <c r="O636" s="60">
        <f ca="1"/>
        <v>1.0259306292676109</v>
      </c>
    </row>
    <row r="637" spans="14:15" x14ac:dyDescent="0.25">
      <c r="N637" s="60">
        <f ca="1"/>
        <v>1.0202618522203288</v>
      </c>
      <c r="O637" s="60">
        <f ca="1"/>
        <v>0.53944909137265906</v>
      </c>
    </row>
    <row r="638" spans="14:15" x14ac:dyDescent="0.25">
      <c r="N638" s="60">
        <f ca="1"/>
        <v>1.4830484830321888</v>
      </c>
      <c r="O638" s="60">
        <f ca="1"/>
        <v>1.4885830566274985</v>
      </c>
    </row>
    <row r="639" spans="14:15" x14ac:dyDescent="0.25">
      <c r="N639" s="60">
        <f ca="1"/>
        <v>2.3035690248637928</v>
      </c>
      <c r="O639" s="60">
        <f ca="1"/>
        <v>3.2028940778642543</v>
      </c>
    </row>
    <row r="640" spans="14:15" x14ac:dyDescent="0.25">
      <c r="N640" s="60">
        <f ca="1"/>
        <v>1.1365831905997053</v>
      </c>
      <c r="O640" s="60">
        <f ca="1"/>
        <v>1.2806662321695914</v>
      </c>
    </row>
    <row r="641" spans="14:15" x14ac:dyDescent="0.25">
      <c r="N641" s="60">
        <f ca="1"/>
        <v>3.3388709025645196</v>
      </c>
      <c r="O641" s="60">
        <f ca="1"/>
        <v>3.2804437646426443</v>
      </c>
    </row>
    <row r="642" spans="14:15" x14ac:dyDescent="0.25">
      <c r="N642" s="60">
        <f ca="1"/>
        <v>0.49588245997356323</v>
      </c>
      <c r="O642" s="60">
        <f ca="1"/>
        <v>1.0514227575841077</v>
      </c>
    </row>
    <row r="643" spans="14:15" x14ac:dyDescent="0.25">
      <c r="N643" s="60">
        <f ca="1"/>
        <v>1.4296878173959153</v>
      </c>
      <c r="O643" s="60">
        <f ca="1"/>
        <v>1.6994833552024731</v>
      </c>
    </row>
    <row r="644" spans="14:15" x14ac:dyDescent="0.25">
      <c r="N644" s="60">
        <f ca="1"/>
        <v>0.9817555304652249</v>
      </c>
      <c r="O644" s="60">
        <f ca="1"/>
        <v>0.77249715771912375</v>
      </c>
    </row>
    <row r="645" spans="14:15" x14ac:dyDescent="0.25">
      <c r="N645" s="60">
        <f ca="1"/>
        <v>1.7731216941848242</v>
      </c>
      <c r="O645" s="60">
        <f ca="1"/>
        <v>2.0277775923631105</v>
      </c>
    </row>
    <row r="646" spans="14:15" x14ac:dyDescent="0.25">
      <c r="N646" s="60">
        <f ca="1"/>
        <v>0.83410008749997766</v>
      </c>
      <c r="O646" s="60">
        <f ca="1"/>
        <v>0.94816448565149125</v>
      </c>
    </row>
    <row r="647" spans="14:15" x14ac:dyDescent="0.25">
      <c r="N647" s="60">
        <f ca="1"/>
        <v>1.7478365606191306</v>
      </c>
      <c r="O647" s="60">
        <f ca="1"/>
        <v>1.6540736948785788</v>
      </c>
    </row>
    <row r="648" spans="14:15" x14ac:dyDescent="0.25">
      <c r="N648" s="60">
        <f ca="1"/>
        <v>1.352940605055778</v>
      </c>
      <c r="O648" s="60">
        <f ca="1"/>
        <v>1.173938394531276</v>
      </c>
    </row>
    <row r="649" spans="14:15" x14ac:dyDescent="0.25">
      <c r="N649" s="60">
        <f ca="1"/>
        <v>1.2360721159201733</v>
      </c>
      <c r="O649" s="60">
        <f ca="1"/>
        <v>1.4014628726691398</v>
      </c>
    </row>
    <row r="650" spans="14:15" x14ac:dyDescent="0.25">
      <c r="N650" s="60">
        <f ca="1"/>
        <v>2.3086689061743311</v>
      </c>
      <c r="O650" s="60">
        <f ca="1"/>
        <v>2.3473368387481832</v>
      </c>
    </row>
    <row r="651" spans="14:15" x14ac:dyDescent="0.25">
      <c r="N651" s="60">
        <f ca="1"/>
        <v>0.68944926653358518</v>
      </c>
      <c r="O651" s="60">
        <f ca="1"/>
        <v>0.12805406991447055</v>
      </c>
    </row>
    <row r="652" spans="14:15" x14ac:dyDescent="0.25">
      <c r="N652" s="60">
        <f ca="1"/>
        <v>1.7101698470530713</v>
      </c>
      <c r="O652" s="60">
        <f ca="1"/>
        <v>1.4911880464627831</v>
      </c>
    </row>
    <row r="653" spans="14:15" x14ac:dyDescent="0.25">
      <c r="N653" s="60">
        <f ca="1"/>
        <v>1.2810634317532188</v>
      </c>
      <c r="O653" s="60">
        <f ca="1"/>
        <v>1.4950331454953132</v>
      </c>
    </row>
    <row r="654" spans="14:15" x14ac:dyDescent="0.25">
      <c r="N654" s="60">
        <f ca="1"/>
        <v>1.4933277032035175</v>
      </c>
      <c r="O654" s="60">
        <f ca="1"/>
        <v>1.5807975313316418</v>
      </c>
    </row>
    <row r="655" spans="14:15" x14ac:dyDescent="0.25">
      <c r="N655" s="60">
        <f ca="1"/>
        <v>0.70885467415258452</v>
      </c>
      <c r="O655" s="60">
        <f ca="1"/>
        <v>0.73150742618446962</v>
      </c>
    </row>
    <row r="656" spans="14:15" x14ac:dyDescent="0.25">
      <c r="N656" s="60">
        <f ca="1"/>
        <v>1.8227928496271686</v>
      </c>
      <c r="O656" s="60">
        <f ca="1"/>
        <v>2.1494607972872131</v>
      </c>
    </row>
    <row r="657" spans="14:15" x14ac:dyDescent="0.25">
      <c r="N657" s="60">
        <f ca="1"/>
        <v>0.21286140096008915</v>
      </c>
      <c r="O657" s="60">
        <f ca="1"/>
        <v>0.65923004240673178</v>
      </c>
    </row>
    <row r="658" spans="14:15" x14ac:dyDescent="0.25">
      <c r="N658" s="60">
        <f ca="1"/>
        <v>0.92918964576013463</v>
      </c>
      <c r="O658" s="60">
        <f ca="1"/>
        <v>1.3391924331325882</v>
      </c>
    </row>
    <row r="659" spans="14:15" x14ac:dyDescent="0.25">
      <c r="N659" s="60">
        <f ca="1"/>
        <v>0.44689990647932576</v>
      </c>
      <c r="O659" s="60">
        <f ca="1"/>
        <v>1.012804492434543</v>
      </c>
    </row>
    <row r="660" spans="14:15" x14ac:dyDescent="0.25">
      <c r="N660" s="60">
        <f ca="1"/>
        <v>0.36659675007185072</v>
      </c>
      <c r="O660" s="60">
        <f ca="1"/>
        <v>0.34836492115529699</v>
      </c>
    </row>
    <row r="661" spans="14:15" x14ac:dyDescent="0.25">
      <c r="N661" s="60">
        <f ca="1"/>
        <v>1.3467071354031319</v>
      </c>
      <c r="O661" s="60">
        <f ca="1"/>
        <v>1.249056496707714</v>
      </c>
    </row>
    <row r="662" spans="14:15" x14ac:dyDescent="0.25">
      <c r="N662" s="60">
        <f ca="1"/>
        <v>0.45190472505215384</v>
      </c>
      <c r="O662" s="60">
        <f ca="1"/>
        <v>1.1712315190557145</v>
      </c>
    </row>
    <row r="663" spans="14:15" x14ac:dyDescent="0.25">
      <c r="N663" s="60">
        <f ca="1"/>
        <v>0.72549060326161352</v>
      </c>
      <c r="O663" s="60">
        <f ca="1"/>
        <v>1.1050553105278269</v>
      </c>
    </row>
    <row r="664" spans="14:15" x14ac:dyDescent="0.25">
      <c r="N664" s="60">
        <f ca="1"/>
        <v>0.77239405810334116</v>
      </c>
      <c r="O664" s="60">
        <f ca="1"/>
        <v>0.2869752920283638</v>
      </c>
    </row>
    <row r="665" spans="14:15" x14ac:dyDescent="0.25">
      <c r="N665" s="60">
        <f ca="1"/>
        <v>0.91390142726697154</v>
      </c>
      <c r="O665" s="60">
        <f ca="1"/>
        <v>1.5893897729524824</v>
      </c>
    </row>
    <row r="666" spans="14:15" x14ac:dyDescent="0.25">
      <c r="N666" s="60">
        <f ca="1"/>
        <v>0.92370539121939588</v>
      </c>
      <c r="O666" s="60">
        <f ca="1"/>
        <v>1.0709200481417671</v>
      </c>
    </row>
    <row r="667" spans="14:15" x14ac:dyDescent="0.25">
      <c r="N667" s="60">
        <f ca="1"/>
        <v>0.49351132670842907</v>
      </c>
      <c r="O667" s="60">
        <f ca="1"/>
        <v>0.14995110079140722</v>
      </c>
    </row>
    <row r="668" spans="14:15" x14ac:dyDescent="0.25">
      <c r="N668" s="60">
        <f ca="1"/>
        <v>2.5491004274343951</v>
      </c>
      <c r="O668" s="60">
        <f ca="1"/>
        <v>3.2316484534884049</v>
      </c>
    </row>
    <row r="669" spans="14:15" x14ac:dyDescent="0.25">
      <c r="N669" s="60">
        <f ca="1"/>
        <v>0.29612227210643594</v>
      </c>
      <c r="O669" s="60">
        <f ca="1"/>
        <v>-4.4460286518677894E-2</v>
      </c>
    </row>
    <row r="670" spans="14:15" x14ac:dyDescent="0.25">
      <c r="N670" s="60">
        <f ca="1"/>
        <v>0.7069648631483062</v>
      </c>
      <c r="O670" s="60">
        <f ca="1"/>
        <v>0.66505222701026656</v>
      </c>
    </row>
    <row r="671" spans="14:15" x14ac:dyDescent="0.25">
      <c r="N671" s="60">
        <f ca="1"/>
        <v>1.2375303782044951</v>
      </c>
      <c r="O671" s="60">
        <f ca="1"/>
        <v>1.2424051961858282</v>
      </c>
    </row>
    <row r="672" spans="14:15" x14ac:dyDescent="0.25">
      <c r="N672" s="60">
        <f ca="1"/>
        <v>1.4040138310521109</v>
      </c>
      <c r="O672" s="60">
        <f ca="1"/>
        <v>1.3424497361664762</v>
      </c>
    </row>
    <row r="673" spans="14:15" x14ac:dyDescent="0.25">
      <c r="N673" s="60">
        <f ca="1"/>
        <v>2.3433075098178127</v>
      </c>
      <c r="O673" s="60">
        <f ca="1"/>
        <v>1.9549554566702412</v>
      </c>
    </row>
    <row r="674" spans="14:15" x14ac:dyDescent="0.25">
      <c r="N674" s="60">
        <f ca="1"/>
        <v>1.2508937914310778</v>
      </c>
      <c r="O674" s="60">
        <f ca="1"/>
        <v>1.4842670711105828</v>
      </c>
    </row>
    <row r="675" spans="14:15" x14ac:dyDescent="0.25">
      <c r="N675" s="60">
        <f ca="1"/>
        <v>0.84877365748598721</v>
      </c>
      <c r="O675" s="60">
        <f ca="1"/>
        <v>0.78316013623019665</v>
      </c>
    </row>
    <row r="676" spans="14:15" x14ac:dyDescent="0.25">
      <c r="N676" s="60">
        <f ca="1"/>
        <v>1.2661380879030673</v>
      </c>
      <c r="O676" s="60">
        <f ca="1"/>
        <v>1.2850935624606814</v>
      </c>
    </row>
    <row r="677" spans="14:15" x14ac:dyDescent="0.25">
      <c r="N677" s="60">
        <f ca="1"/>
        <v>1.3620259309970733</v>
      </c>
      <c r="O677" s="60">
        <f ca="1"/>
        <v>1.4225327227307487</v>
      </c>
    </row>
    <row r="678" spans="14:15" x14ac:dyDescent="0.25">
      <c r="N678" s="60">
        <f ca="1"/>
        <v>0.66190110249780298</v>
      </c>
      <c r="O678" s="60">
        <f ca="1"/>
        <v>1.0433236073517649</v>
      </c>
    </row>
    <row r="679" spans="14:15" x14ac:dyDescent="0.25">
      <c r="N679" s="60">
        <f ca="1"/>
        <v>0.49311490023003662</v>
      </c>
      <c r="O679" s="60">
        <f ca="1"/>
        <v>0.504767133630455</v>
      </c>
    </row>
    <row r="680" spans="14:15" x14ac:dyDescent="0.25">
      <c r="N680" s="60">
        <f ca="1"/>
        <v>0.78771858698945174</v>
      </c>
      <c r="O680" s="60">
        <f ca="1"/>
        <v>1.0306204040892579</v>
      </c>
    </row>
    <row r="681" spans="14:15" x14ac:dyDescent="0.25">
      <c r="N681" s="60">
        <f ca="1"/>
        <v>0.58275707559734247</v>
      </c>
      <c r="O681" s="60">
        <f ca="1"/>
        <v>0.23361093118728504</v>
      </c>
    </row>
    <row r="682" spans="14:15" x14ac:dyDescent="0.25">
      <c r="N682" s="60">
        <f ca="1"/>
        <v>1.393045959400339</v>
      </c>
      <c r="O682" s="60">
        <f ca="1"/>
        <v>1.351495971252886</v>
      </c>
    </row>
    <row r="683" spans="14:15" x14ac:dyDescent="0.25">
      <c r="N683" s="60">
        <f ca="1"/>
        <v>0.41988370543828368</v>
      </c>
      <c r="O683" s="60">
        <f ca="1"/>
        <v>0.74310447438785898</v>
      </c>
    </row>
    <row r="684" spans="14:15" x14ac:dyDescent="0.25">
      <c r="N684" s="60">
        <f ca="1"/>
        <v>0.59136245731024739</v>
      </c>
      <c r="O684" s="60">
        <f ca="1"/>
        <v>5.5301720491047979E-2</v>
      </c>
    </row>
    <row r="685" spans="14:15" x14ac:dyDescent="0.25">
      <c r="N685" s="60">
        <f ca="1"/>
        <v>1.2319776149322184</v>
      </c>
      <c r="O685" s="60">
        <f ca="1"/>
        <v>1.2411434214305053</v>
      </c>
    </row>
    <row r="686" spans="14:15" x14ac:dyDescent="0.25">
      <c r="N686" s="60">
        <f ca="1"/>
        <v>0.56328581022185742</v>
      </c>
      <c r="O686" s="60">
        <f ca="1"/>
        <v>0.91979767443812988</v>
      </c>
    </row>
    <row r="687" spans="14:15" x14ac:dyDescent="0.25">
      <c r="N687" s="60">
        <f ca="1"/>
        <v>0.4750762121096323</v>
      </c>
      <c r="O687" s="60">
        <f ca="1"/>
        <v>0.72881643749864344</v>
      </c>
    </row>
    <row r="688" spans="14:15" x14ac:dyDescent="0.25">
      <c r="N688" s="60">
        <f ca="1"/>
        <v>0.9564099778275259</v>
      </c>
      <c r="O688" s="60">
        <f ca="1"/>
        <v>0.77580728364497586</v>
      </c>
    </row>
    <row r="689" spans="14:15" x14ac:dyDescent="0.25">
      <c r="N689" s="60">
        <f ca="1"/>
        <v>2.1199172098259096</v>
      </c>
      <c r="O689" s="60">
        <f ca="1"/>
        <v>1.9497407087062151</v>
      </c>
    </row>
    <row r="690" spans="14:15" x14ac:dyDescent="0.25">
      <c r="N690" s="60">
        <f ca="1"/>
        <v>1.0332023665808932</v>
      </c>
      <c r="O690" s="60">
        <f ca="1"/>
        <v>1.4722019877245767</v>
      </c>
    </row>
    <row r="691" spans="14:15" x14ac:dyDescent="0.25">
      <c r="N691" s="60">
        <f ca="1"/>
        <v>0.69474272787822999</v>
      </c>
      <c r="O691" s="60">
        <f ca="1"/>
        <v>1.1234134202682493</v>
      </c>
    </row>
    <row r="692" spans="14:15" x14ac:dyDescent="0.25">
      <c r="N692" s="60">
        <f ca="1"/>
        <v>1.1368702080892492</v>
      </c>
      <c r="O692" s="60">
        <f ca="1"/>
        <v>1.1733308340540594</v>
      </c>
    </row>
    <row r="693" spans="14:15" x14ac:dyDescent="0.25">
      <c r="N693" s="60">
        <f ca="1"/>
        <v>0.47868952364339507</v>
      </c>
      <c r="O693" s="60">
        <f ca="1"/>
        <v>-0.19242009082148342</v>
      </c>
    </row>
    <row r="694" spans="14:15" x14ac:dyDescent="0.25">
      <c r="N694" s="60">
        <f ca="1"/>
        <v>0.5633994000547734</v>
      </c>
      <c r="O694" s="60">
        <f ca="1"/>
        <v>0.26748967540558483</v>
      </c>
    </row>
    <row r="695" spans="14:15" x14ac:dyDescent="0.25">
      <c r="N695" s="60">
        <f ca="1"/>
        <v>1.9173508895160292</v>
      </c>
      <c r="O695" s="60">
        <f ca="1"/>
        <v>1.8631189835980702</v>
      </c>
    </row>
    <row r="696" spans="14:15" x14ac:dyDescent="0.25">
      <c r="N696" s="60">
        <f ca="1"/>
        <v>1.8599913494568474</v>
      </c>
      <c r="O696" s="60">
        <f ca="1"/>
        <v>2.156524291226503</v>
      </c>
    </row>
    <row r="697" spans="14:15" x14ac:dyDescent="0.25">
      <c r="N697" s="60">
        <f ca="1"/>
        <v>0.95867460291813134</v>
      </c>
      <c r="O697" s="60">
        <f ca="1"/>
        <v>1.0128656882150853</v>
      </c>
    </row>
    <row r="698" spans="14:15" x14ac:dyDescent="0.25">
      <c r="N698" s="60">
        <f ca="1"/>
        <v>0.40360229774423118</v>
      </c>
      <c r="O698" s="60">
        <f ca="1"/>
        <v>0.44631665143594734</v>
      </c>
    </row>
    <row r="699" spans="14:15" x14ac:dyDescent="0.25">
      <c r="N699" s="60">
        <f ca="1"/>
        <v>1.2629270689262029</v>
      </c>
      <c r="O699" s="60">
        <f ca="1"/>
        <v>2.151533413189652</v>
      </c>
    </row>
    <row r="700" spans="14:15" x14ac:dyDescent="0.25">
      <c r="N700" s="60">
        <f ca="1"/>
        <v>0.58382840846817097</v>
      </c>
      <c r="O700" s="60">
        <f ca="1"/>
        <v>1.2259814688786075</v>
      </c>
    </row>
    <row r="701" spans="14:15" x14ac:dyDescent="0.25">
      <c r="N701" s="60">
        <f ca="1"/>
        <v>1.9399075922399454</v>
      </c>
      <c r="O701" s="60">
        <f ca="1"/>
        <v>2.0535971233064063</v>
      </c>
    </row>
    <row r="702" spans="14:15" x14ac:dyDescent="0.25">
      <c r="N702" s="60">
        <f ca="1"/>
        <v>0.49110936445205605</v>
      </c>
      <c r="O702" s="60">
        <f ca="1"/>
        <v>1.0987685391503192</v>
      </c>
    </row>
    <row r="703" spans="14:15" x14ac:dyDescent="0.25">
      <c r="N703" s="60">
        <f ca="1"/>
        <v>0.79828351858957447</v>
      </c>
      <c r="O703" s="60">
        <f ca="1"/>
        <v>0.48126943659711802</v>
      </c>
    </row>
    <row r="704" spans="14:15" x14ac:dyDescent="0.25">
      <c r="N704" s="60">
        <f ca="1"/>
        <v>0.75767816774125218</v>
      </c>
      <c r="O704" s="60">
        <f ca="1"/>
        <v>0.19186241333169196</v>
      </c>
    </row>
    <row r="705" spans="14:15" x14ac:dyDescent="0.25">
      <c r="N705" s="60">
        <f ca="1"/>
        <v>1.4269801031715483</v>
      </c>
      <c r="O705" s="60">
        <f ca="1"/>
        <v>1.4985698515200849</v>
      </c>
    </row>
    <row r="706" spans="14:15" x14ac:dyDescent="0.25">
      <c r="N706" s="60">
        <f ca="1"/>
        <v>0.82802901647878646</v>
      </c>
      <c r="O706" s="60">
        <f ca="1"/>
        <v>0.89801111331715944</v>
      </c>
    </row>
    <row r="707" spans="14:15" x14ac:dyDescent="0.25">
      <c r="N707" s="60">
        <f ca="1"/>
        <v>1.2305924256972836</v>
      </c>
      <c r="O707" s="60">
        <f ca="1"/>
        <v>1.3709090629261005</v>
      </c>
    </row>
    <row r="708" spans="14:15" x14ac:dyDescent="0.25">
      <c r="N708" s="60">
        <f ca="1"/>
        <v>1.1409193574675631</v>
      </c>
      <c r="O708" s="60">
        <f ca="1"/>
        <v>1.0091792197194811</v>
      </c>
    </row>
    <row r="709" spans="14:15" x14ac:dyDescent="0.25">
      <c r="N709" s="60">
        <f ca="1"/>
        <v>1.6672965308184327</v>
      </c>
      <c r="O709" s="60">
        <f ca="1"/>
        <v>0.84836177944835167</v>
      </c>
    </row>
    <row r="710" spans="14:15" x14ac:dyDescent="0.25">
      <c r="N710" s="60">
        <f ca="1"/>
        <v>0.88348738524139947</v>
      </c>
      <c r="O710" s="60">
        <f ca="1"/>
        <v>0.95238142406173565</v>
      </c>
    </row>
    <row r="711" spans="14:15" x14ac:dyDescent="0.25">
      <c r="N711" s="60">
        <f ca="1"/>
        <v>1.4223600382438746</v>
      </c>
      <c r="O711" s="60">
        <f ca="1"/>
        <v>1.3846616779511915</v>
      </c>
    </row>
    <row r="712" spans="14:15" x14ac:dyDescent="0.25">
      <c r="N712" s="60">
        <f ca="1"/>
        <v>0.36452353448641628</v>
      </c>
      <c r="O712" s="60">
        <f ca="1"/>
        <v>0.34662587639353259</v>
      </c>
    </row>
    <row r="713" spans="14:15" x14ac:dyDescent="0.25">
      <c r="N713" s="60">
        <f ca="1"/>
        <v>0.72437460576034363</v>
      </c>
      <c r="O713" s="60">
        <f ca="1"/>
        <v>1.1435404446754369</v>
      </c>
    </row>
    <row r="714" spans="14:15" x14ac:dyDescent="0.25">
      <c r="N714" s="60">
        <f ca="1"/>
        <v>0.74975058909156467</v>
      </c>
      <c r="O714" s="60">
        <f ca="1"/>
        <v>0.55290846852520315</v>
      </c>
    </row>
    <row r="715" spans="14:15" x14ac:dyDescent="0.25">
      <c r="N715" s="60">
        <f ca="1"/>
        <v>1.8408236072369968</v>
      </c>
      <c r="O715" s="60">
        <f ca="1"/>
        <v>0.93490101708194384</v>
      </c>
    </row>
    <row r="716" spans="14:15" x14ac:dyDescent="0.25">
      <c r="N716" s="60">
        <f ca="1"/>
        <v>0.51075592407546955</v>
      </c>
      <c r="O716" s="60">
        <f ca="1"/>
        <v>0.46417815783593619</v>
      </c>
    </row>
    <row r="717" spans="14:15" x14ac:dyDescent="0.25">
      <c r="N717" s="60">
        <f ca="1"/>
        <v>0.54407886787002047</v>
      </c>
      <c r="O717" s="60">
        <f ca="1"/>
        <v>5.1782163604266351E-2</v>
      </c>
    </row>
    <row r="718" spans="14:15" x14ac:dyDescent="0.25">
      <c r="N718" s="60">
        <f ca="1"/>
        <v>1.0421847654285701</v>
      </c>
      <c r="O718" s="60">
        <f ca="1"/>
        <v>1.1636095541931357</v>
      </c>
    </row>
    <row r="719" spans="14:15" x14ac:dyDescent="0.25">
      <c r="N719" s="60">
        <f ca="1"/>
        <v>0.59170840960322346</v>
      </c>
      <c r="O719" s="60">
        <f ca="1"/>
        <v>1.2082284598502708</v>
      </c>
    </row>
    <row r="720" spans="14:15" x14ac:dyDescent="0.25">
      <c r="N720" s="60">
        <f ca="1"/>
        <v>1.2716552832219139</v>
      </c>
      <c r="O720" s="60">
        <f ca="1"/>
        <v>1.2546965002774737</v>
      </c>
    </row>
    <row r="721" spans="14:15" x14ac:dyDescent="0.25">
      <c r="N721" s="60">
        <f ca="1"/>
        <v>0.42846529555926394</v>
      </c>
      <c r="O721" s="60">
        <f ca="1"/>
        <v>0.32991100206404317</v>
      </c>
    </row>
    <row r="722" spans="14:15" x14ac:dyDescent="0.25">
      <c r="N722" s="60">
        <f ca="1"/>
        <v>0.61970826479629559</v>
      </c>
      <c r="O722" s="60">
        <f ca="1"/>
        <v>0.70917121632715774</v>
      </c>
    </row>
    <row r="723" spans="14:15" x14ac:dyDescent="0.25">
      <c r="N723" s="60">
        <f ca="1"/>
        <v>1.9987963585288437</v>
      </c>
      <c r="O723" s="60">
        <f ca="1"/>
        <v>1.7350551991783361</v>
      </c>
    </row>
    <row r="724" spans="14:15" x14ac:dyDescent="0.25">
      <c r="N724" s="60">
        <f ca="1"/>
        <v>0.64037963437203238</v>
      </c>
      <c r="O724" s="60">
        <f ca="1"/>
        <v>0.39407717870155301</v>
      </c>
    </row>
    <row r="725" spans="14:15" x14ac:dyDescent="0.25">
      <c r="N725" s="60">
        <f ca="1"/>
        <v>1.0223342633825352</v>
      </c>
      <c r="O725" s="60">
        <f ca="1"/>
        <v>1.7122734667887656</v>
      </c>
    </row>
    <row r="726" spans="14:15" x14ac:dyDescent="0.25">
      <c r="N726" s="60">
        <f ca="1"/>
        <v>1.4101079937947498</v>
      </c>
      <c r="O726" s="60">
        <f ca="1"/>
        <v>1.8547692243612732</v>
      </c>
    </row>
    <row r="727" spans="14:15" x14ac:dyDescent="0.25">
      <c r="N727" s="60">
        <f ca="1"/>
        <v>0.36694662011129442</v>
      </c>
      <c r="O727" s="60">
        <f ca="1"/>
        <v>1.0192477586980964</v>
      </c>
    </row>
    <row r="728" spans="14:15" x14ac:dyDescent="0.25">
      <c r="N728" s="60">
        <f ca="1"/>
        <v>1.2300153693037437</v>
      </c>
      <c r="O728" s="60">
        <f ca="1"/>
        <v>1.563049679277646</v>
      </c>
    </row>
    <row r="729" spans="14:15" x14ac:dyDescent="0.25">
      <c r="N729" s="60">
        <f ca="1"/>
        <v>0.64626541879256594</v>
      </c>
      <c r="O729" s="60">
        <f ca="1"/>
        <v>1.4414479404091156</v>
      </c>
    </row>
    <row r="730" spans="14:15" x14ac:dyDescent="0.25">
      <c r="N730" s="60">
        <f ca="1"/>
        <v>1.8116774555295019</v>
      </c>
      <c r="O730" s="60">
        <f ca="1"/>
        <v>1.4784181126881579</v>
      </c>
    </row>
    <row r="731" spans="14:15" x14ac:dyDescent="0.25">
      <c r="N731" s="60">
        <f ca="1"/>
        <v>0.40629777108312803</v>
      </c>
      <c r="O731" s="60">
        <f ca="1"/>
        <v>-2.2609432607402669E-2</v>
      </c>
    </row>
    <row r="732" spans="14:15" x14ac:dyDescent="0.25">
      <c r="N732" s="60">
        <f ca="1"/>
        <v>0.48586757328862368</v>
      </c>
      <c r="O732" s="60">
        <f ca="1"/>
        <v>0.57676765874118929</v>
      </c>
    </row>
    <row r="733" spans="14:15" x14ac:dyDescent="0.25">
      <c r="N733" s="60">
        <f ca="1"/>
        <v>0.28706708140738535</v>
      </c>
      <c r="O733" s="60">
        <f ca="1"/>
        <v>0.20628881500078128</v>
      </c>
    </row>
    <row r="734" spans="14:15" x14ac:dyDescent="0.25">
      <c r="N734" s="60">
        <f ca="1"/>
        <v>0.62553590823587257</v>
      </c>
      <c r="O734" s="60">
        <f ca="1"/>
        <v>0.16502618486886589</v>
      </c>
    </row>
    <row r="735" spans="14:15" x14ac:dyDescent="0.25">
      <c r="N735" s="60">
        <f ca="1"/>
        <v>0.16058991625122765</v>
      </c>
      <c r="O735" s="60">
        <f ca="1"/>
        <v>0.62225117771109739</v>
      </c>
    </row>
    <row r="736" spans="14:15" x14ac:dyDescent="0.25">
      <c r="N736" s="60">
        <f ca="1"/>
        <v>0.69804539281164324</v>
      </c>
      <c r="O736" s="60">
        <f ca="1"/>
        <v>0.84523302171514403</v>
      </c>
    </row>
    <row r="737" spans="14:15" x14ac:dyDescent="0.25">
      <c r="N737" s="60">
        <f ca="1"/>
        <v>0.94749063457812888</v>
      </c>
      <c r="O737" s="60">
        <f ca="1"/>
        <v>0.98436031531738322</v>
      </c>
    </row>
    <row r="738" spans="14:15" x14ac:dyDescent="0.25">
      <c r="N738" s="60">
        <f ca="1"/>
        <v>1.323554281643003</v>
      </c>
      <c r="O738" s="60">
        <f ca="1"/>
        <v>1.4061656366861295</v>
      </c>
    </row>
    <row r="739" spans="14:15" x14ac:dyDescent="0.25">
      <c r="N739" s="60">
        <f ca="1"/>
        <v>0.50133191098712437</v>
      </c>
      <c r="O739" s="60">
        <f ca="1"/>
        <v>0.56509955483037777</v>
      </c>
    </row>
    <row r="740" spans="14:15" x14ac:dyDescent="0.25">
      <c r="N740" s="60">
        <f ca="1"/>
        <v>0.87512929121433813</v>
      </c>
      <c r="O740" s="60">
        <f ca="1"/>
        <v>1.0479209349886565</v>
      </c>
    </row>
    <row r="741" spans="14:15" x14ac:dyDescent="0.25">
      <c r="N741" s="60">
        <f ca="1"/>
        <v>0.85838697646526974</v>
      </c>
      <c r="O741" s="60">
        <f ca="1"/>
        <v>0.21634885320009056</v>
      </c>
    </row>
    <row r="742" spans="14:15" x14ac:dyDescent="0.25">
      <c r="N742" s="60">
        <f ca="1"/>
        <v>1.7368343794448002</v>
      </c>
      <c r="O742" s="60">
        <f ca="1"/>
        <v>1.6315077300998597</v>
      </c>
    </row>
    <row r="743" spans="14:15" x14ac:dyDescent="0.25">
      <c r="N743" s="60">
        <f ca="1"/>
        <v>0.48565602349395925</v>
      </c>
      <c r="O743" s="60">
        <f ca="1"/>
        <v>0.35039820167922753</v>
      </c>
    </row>
    <row r="744" spans="14:15" x14ac:dyDescent="0.25">
      <c r="N744" s="60">
        <f ca="1"/>
        <v>1.1594077885081306</v>
      </c>
      <c r="O744" s="60">
        <f ca="1"/>
        <v>1.3625444939391105</v>
      </c>
    </row>
    <row r="745" spans="14:15" x14ac:dyDescent="0.25">
      <c r="N745" s="60">
        <f ca="1"/>
        <v>1.7714909104716876</v>
      </c>
      <c r="O745" s="60">
        <f ca="1"/>
        <v>1.6578484061863612</v>
      </c>
    </row>
    <row r="746" spans="14:15" x14ac:dyDescent="0.25">
      <c r="N746" s="60">
        <f ca="1"/>
        <v>0.56416917000111733</v>
      </c>
      <c r="O746" s="60">
        <f ca="1"/>
        <v>-1.9356958788662171E-2</v>
      </c>
    </row>
    <row r="747" spans="14:15" x14ac:dyDescent="0.25">
      <c r="N747" s="60">
        <f ca="1"/>
        <v>1.5589336882113796</v>
      </c>
      <c r="O747" s="60">
        <f ca="1"/>
        <v>1.9995748227419829</v>
      </c>
    </row>
    <row r="748" spans="14:15" x14ac:dyDescent="0.25">
      <c r="N748" s="60">
        <f ca="1"/>
        <v>1.0888969937268693</v>
      </c>
      <c r="O748" s="60">
        <f ca="1"/>
        <v>1.176163363794372</v>
      </c>
    </row>
    <row r="749" spans="14:15" x14ac:dyDescent="0.25">
      <c r="N749" s="60">
        <f ca="1"/>
        <v>1.0402820867852651</v>
      </c>
      <c r="O749" s="60">
        <f ca="1"/>
        <v>1.0708290333130577</v>
      </c>
    </row>
    <row r="750" spans="14:15" x14ac:dyDescent="0.25">
      <c r="N750" s="60">
        <f ca="1"/>
        <v>0.86966610026715674</v>
      </c>
      <c r="O750" s="60">
        <f ca="1"/>
        <v>0.9337916047025232</v>
      </c>
    </row>
    <row r="751" spans="14:15" x14ac:dyDescent="0.25">
      <c r="N751" s="60">
        <f ca="1"/>
        <v>0.82409518148322702</v>
      </c>
      <c r="O751" s="60">
        <f ca="1"/>
        <v>0.52342878406471871</v>
      </c>
    </row>
    <row r="752" spans="14:15" x14ac:dyDescent="0.25">
      <c r="N752" s="60">
        <f ca="1"/>
        <v>1.6712183891765213</v>
      </c>
      <c r="O752" s="60">
        <f ca="1"/>
        <v>1.2796591079829436</v>
      </c>
    </row>
    <row r="753" spans="14:15" x14ac:dyDescent="0.25">
      <c r="N753" s="60">
        <f ca="1"/>
        <v>0.45827409635700694</v>
      </c>
      <c r="O753" s="60">
        <f ca="1"/>
        <v>0.69910186880031611</v>
      </c>
    </row>
    <row r="754" spans="14:15" x14ac:dyDescent="0.25">
      <c r="N754" s="60">
        <f ca="1"/>
        <v>0.95912897054365898</v>
      </c>
      <c r="O754" s="60">
        <f ca="1"/>
        <v>1.0333729351900396</v>
      </c>
    </row>
    <row r="755" spans="14:15" x14ac:dyDescent="0.25">
      <c r="N755" s="60">
        <f ca="1"/>
        <v>0.71446355081350921</v>
      </c>
      <c r="O755" s="60">
        <f ca="1"/>
        <v>4.0992471731038926E-2</v>
      </c>
    </row>
    <row r="756" spans="14:15" x14ac:dyDescent="0.25">
      <c r="N756" s="60">
        <f ca="1"/>
        <v>0.5175124639673333</v>
      </c>
      <c r="O756" s="60">
        <f ca="1"/>
        <v>0.54500372704218214</v>
      </c>
    </row>
    <row r="757" spans="14:15" x14ac:dyDescent="0.25">
      <c r="N757" s="60">
        <f ca="1"/>
        <v>1.3171963202786598</v>
      </c>
      <c r="O757" s="60">
        <f ca="1"/>
        <v>1.1060469778547868</v>
      </c>
    </row>
    <row r="758" spans="14:15" x14ac:dyDescent="0.25">
      <c r="N758" s="60">
        <f ca="1"/>
        <v>0.66604808288220618</v>
      </c>
      <c r="O758" s="60">
        <f ca="1"/>
        <v>0.78064232740356565</v>
      </c>
    </row>
    <row r="759" spans="14:15" x14ac:dyDescent="0.25">
      <c r="N759" s="60">
        <f ca="1"/>
        <v>0.30295665664563903</v>
      </c>
      <c r="O759" s="60">
        <f ca="1"/>
        <v>0.92303454120759532</v>
      </c>
    </row>
    <row r="760" spans="14:15" x14ac:dyDescent="0.25">
      <c r="N760" s="60">
        <f ca="1"/>
        <v>1.2413730791930706</v>
      </c>
      <c r="O760" s="60">
        <f ca="1"/>
        <v>1.220421207441778</v>
      </c>
    </row>
    <row r="761" spans="14:15" x14ac:dyDescent="0.25">
      <c r="N761" s="60">
        <f ca="1"/>
        <v>0.1815794527006882</v>
      </c>
      <c r="O761" s="60">
        <f ca="1"/>
        <v>0.4036013158700551</v>
      </c>
    </row>
    <row r="762" spans="14:15" x14ac:dyDescent="0.25">
      <c r="N762" s="60">
        <f ca="1"/>
        <v>2.695088937821251</v>
      </c>
      <c r="O762" s="60">
        <f ca="1"/>
        <v>2.5247590066157675</v>
      </c>
    </row>
    <row r="763" spans="14:15" x14ac:dyDescent="0.25">
      <c r="N763" s="60">
        <f ca="1"/>
        <v>0.65782172718902099</v>
      </c>
      <c r="O763" s="60">
        <f ca="1"/>
        <v>0.6478846202425762</v>
      </c>
    </row>
    <row r="764" spans="14:15" x14ac:dyDescent="0.25">
      <c r="N764" s="60">
        <f ca="1"/>
        <v>1.6836345080567652</v>
      </c>
      <c r="O764" s="60">
        <f ca="1"/>
        <v>1.2265851635029001</v>
      </c>
    </row>
    <row r="765" spans="14:15" x14ac:dyDescent="0.25">
      <c r="N765" s="60">
        <f ca="1"/>
        <v>0.63156958236634231</v>
      </c>
      <c r="O765" s="60">
        <f ca="1"/>
        <v>0.48585725802169583</v>
      </c>
    </row>
    <row r="766" spans="14:15" x14ac:dyDescent="0.25">
      <c r="N766" s="60">
        <f ca="1"/>
        <v>1.1488963951514692</v>
      </c>
      <c r="O766" s="60">
        <f ca="1"/>
        <v>1.0991782908420185</v>
      </c>
    </row>
    <row r="767" spans="14:15" x14ac:dyDescent="0.25">
      <c r="N767" s="60">
        <f ca="1"/>
        <v>0.76100369004218027</v>
      </c>
      <c r="O767" s="60">
        <f ca="1"/>
        <v>0.27386429622061415</v>
      </c>
    </row>
    <row r="768" spans="14:15" x14ac:dyDescent="0.25">
      <c r="N768" s="60">
        <f ca="1"/>
        <v>0.54940675831228214</v>
      </c>
      <c r="O768" s="60">
        <f ca="1"/>
        <v>8.3125991151244971E-2</v>
      </c>
    </row>
    <row r="769" spans="14:15" x14ac:dyDescent="0.25">
      <c r="N769" s="60">
        <f ca="1"/>
        <v>0.91170135423850307</v>
      </c>
      <c r="O769" s="60">
        <f ca="1"/>
        <v>1.2035251511595897</v>
      </c>
    </row>
    <row r="770" spans="14:15" x14ac:dyDescent="0.25">
      <c r="N770" s="60">
        <f ca="1"/>
        <v>2.1870264934390429</v>
      </c>
      <c r="O770" s="60">
        <f ca="1"/>
        <v>1.8703307203677402</v>
      </c>
    </row>
    <row r="771" spans="14:15" x14ac:dyDescent="0.25">
      <c r="N771" s="60">
        <f ca="1"/>
        <v>0.74054301383234633</v>
      </c>
      <c r="O771" s="60">
        <f ca="1"/>
        <v>0.52472933276567613</v>
      </c>
    </row>
    <row r="772" spans="14:15" x14ac:dyDescent="0.25">
      <c r="N772" s="60">
        <f ca="1"/>
        <v>1.2286115323202815</v>
      </c>
      <c r="O772" s="60">
        <f ca="1"/>
        <v>1.3452007019536891</v>
      </c>
    </row>
    <row r="773" spans="14:15" x14ac:dyDescent="0.25">
      <c r="N773" s="60">
        <f ca="1"/>
        <v>1.0993818302497937</v>
      </c>
      <c r="O773" s="60">
        <f ca="1"/>
        <v>1.4503063736640545</v>
      </c>
    </row>
    <row r="774" spans="14:15" x14ac:dyDescent="0.25">
      <c r="N774" s="60">
        <f ca="1"/>
        <v>0.98874371504250091</v>
      </c>
      <c r="O774" s="60">
        <f ca="1"/>
        <v>1.3259238040347037</v>
      </c>
    </row>
    <row r="775" spans="14:15" x14ac:dyDescent="0.25">
      <c r="N775" s="60">
        <f ca="1"/>
        <v>0.79108222136667161</v>
      </c>
      <c r="O775" s="60">
        <f ca="1"/>
        <v>0.81080355783569091</v>
      </c>
    </row>
    <row r="776" spans="14:15" x14ac:dyDescent="0.25">
      <c r="N776" s="60">
        <f ca="1"/>
        <v>2.7148998443797043</v>
      </c>
      <c r="O776" s="60">
        <f ca="1"/>
        <v>2.6198451213690044</v>
      </c>
    </row>
    <row r="777" spans="14:15" x14ac:dyDescent="0.25">
      <c r="N777" s="60">
        <f ca="1"/>
        <v>0.75190672821236715</v>
      </c>
      <c r="O777" s="60">
        <f ca="1"/>
        <v>0.39431630557671093</v>
      </c>
    </row>
    <row r="778" spans="14:15" x14ac:dyDescent="0.25">
      <c r="N778" s="60">
        <f ca="1"/>
        <v>0.47053077717154057</v>
      </c>
      <c r="O778" s="60">
        <f ca="1"/>
        <v>0.31516453875788514</v>
      </c>
    </row>
    <row r="779" spans="14:15" x14ac:dyDescent="0.25">
      <c r="N779" s="60">
        <f ca="1"/>
        <v>0.86111568926492355</v>
      </c>
      <c r="O779" s="60">
        <f ca="1"/>
        <v>0.42262468907683148</v>
      </c>
    </row>
    <row r="780" spans="14:15" x14ac:dyDescent="0.25">
      <c r="N780" s="60">
        <f ca="1"/>
        <v>0.8707252481523402</v>
      </c>
      <c r="O780" s="60">
        <f ca="1"/>
        <v>0.86815156488017453</v>
      </c>
    </row>
    <row r="781" spans="14:15" x14ac:dyDescent="0.25">
      <c r="N781" s="60">
        <f ca="1"/>
        <v>0.70317309054302723</v>
      </c>
      <c r="O781" s="60">
        <f ca="1"/>
        <v>-0.32625554116660849</v>
      </c>
    </row>
    <row r="782" spans="14:15" x14ac:dyDescent="0.25">
      <c r="N782" s="60">
        <f ca="1"/>
        <v>0.77231897227997526</v>
      </c>
      <c r="O782" s="60">
        <f ca="1"/>
        <v>0.70013954303600268</v>
      </c>
    </row>
    <row r="783" spans="14:15" x14ac:dyDescent="0.25">
      <c r="N783" s="60">
        <f ca="1"/>
        <v>0.30540770943357914</v>
      </c>
      <c r="O783" s="60">
        <f ca="1"/>
        <v>0.76058909871939973</v>
      </c>
    </row>
    <row r="784" spans="14:15" x14ac:dyDescent="0.25">
      <c r="N784" s="60">
        <f ca="1"/>
        <v>0.24636760271326361</v>
      </c>
      <c r="O784" s="60">
        <f ca="1"/>
        <v>0.35670877252236477</v>
      </c>
    </row>
    <row r="785" spans="14:15" x14ac:dyDescent="0.25">
      <c r="N785" s="60">
        <f ca="1"/>
        <v>1.5607974450857938</v>
      </c>
      <c r="O785" s="60">
        <f ca="1"/>
        <v>1.0175046106421115</v>
      </c>
    </row>
    <row r="786" spans="14:15" x14ac:dyDescent="0.25">
      <c r="N786" s="60">
        <f ca="1"/>
        <v>1.1213494735499239</v>
      </c>
      <c r="O786" s="60">
        <f ca="1"/>
        <v>0.81630692487662493</v>
      </c>
    </row>
    <row r="787" spans="14:15" x14ac:dyDescent="0.25">
      <c r="N787" s="60">
        <f ca="1"/>
        <v>1.3748780404199696</v>
      </c>
      <c r="O787" s="60">
        <f ca="1"/>
        <v>1.607009577547033</v>
      </c>
    </row>
    <row r="788" spans="14:15" x14ac:dyDescent="0.25">
      <c r="N788" s="60">
        <f ca="1"/>
        <v>2.0928216536262525</v>
      </c>
      <c r="O788" s="60">
        <f ca="1"/>
        <v>2.6287646983744728</v>
      </c>
    </row>
    <row r="789" spans="14:15" x14ac:dyDescent="0.25">
      <c r="N789" s="60">
        <f ca="1"/>
        <v>2.7686083194026008</v>
      </c>
      <c r="O789" s="60">
        <f ca="1"/>
        <v>2.7413944172639928</v>
      </c>
    </row>
    <row r="790" spans="14:15" x14ac:dyDescent="0.25">
      <c r="N790" s="60">
        <f ca="1"/>
        <v>1.3381926491359335</v>
      </c>
      <c r="O790" s="60">
        <f ca="1"/>
        <v>1.532720508892867</v>
      </c>
    </row>
    <row r="791" spans="14:15" x14ac:dyDescent="0.25">
      <c r="N791" s="60">
        <f ca="1"/>
        <v>1.1936898143450037</v>
      </c>
      <c r="O791" s="60">
        <f ca="1"/>
        <v>0.95489348136263308</v>
      </c>
    </row>
    <row r="792" spans="14:15" x14ac:dyDescent="0.25">
      <c r="N792" s="60">
        <f ca="1"/>
        <v>0.72970555499365608</v>
      </c>
      <c r="O792" s="60">
        <f ca="1"/>
        <v>1.2247089396124633</v>
      </c>
    </row>
    <row r="793" spans="14:15" x14ac:dyDescent="0.25">
      <c r="N793" s="60">
        <f ca="1"/>
        <v>0.40539235067785467</v>
      </c>
      <c r="O793" s="60">
        <f ca="1"/>
        <v>0.37460887066478193</v>
      </c>
    </row>
    <row r="794" spans="14:15" x14ac:dyDescent="0.25">
      <c r="N794" s="60">
        <f ca="1"/>
        <v>0.55536773387561056</v>
      </c>
      <c r="O794" s="60">
        <f ca="1"/>
        <v>0.62912779078054382</v>
      </c>
    </row>
    <row r="795" spans="14:15" x14ac:dyDescent="0.25">
      <c r="N795" s="60">
        <f ca="1"/>
        <v>0.6907624198154233</v>
      </c>
      <c r="O795" s="60">
        <f ca="1"/>
        <v>0.51607037894042118</v>
      </c>
    </row>
    <row r="796" spans="14:15" x14ac:dyDescent="0.25">
      <c r="N796" s="60">
        <f ca="1"/>
        <v>0.29967740168213208</v>
      </c>
      <c r="O796" s="60">
        <f ca="1"/>
        <v>0.71615414981979031</v>
      </c>
    </row>
    <row r="797" spans="14:15" x14ac:dyDescent="0.25">
      <c r="N797" s="60">
        <f ca="1"/>
        <v>0.92814287694415143</v>
      </c>
      <c r="O797" s="60">
        <f ca="1"/>
        <v>0.3452478064443727</v>
      </c>
    </row>
    <row r="798" spans="14:15" x14ac:dyDescent="0.25">
      <c r="N798" s="60">
        <f ca="1"/>
        <v>0.43853246442412624</v>
      </c>
      <c r="O798" s="60">
        <f ca="1"/>
        <v>0.64044295162777742</v>
      </c>
    </row>
    <row r="799" spans="14:15" x14ac:dyDescent="0.25">
      <c r="N799" s="60">
        <f ca="1"/>
        <v>0.31269127815579906</v>
      </c>
      <c r="O799" s="60">
        <f ca="1"/>
        <v>0.65755997425783463</v>
      </c>
    </row>
    <row r="800" spans="14:15" x14ac:dyDescent="0.25">
      <c r="N800" s="60">
        <f ca="1"/>
        <v>0.52777549989436912</v>
      </c>
      <c r="O800" s="60">
        <f ca="1"/>
        <v>0.31120784227705073</v>
      </c>
    </row>
    <row r="801" spans="14:15" x14ac:dyDescent="0.25">
      <c r="N801" s="60">
        <f ca="1"/>
        <v>0.58110628702295475</v>
      </c>
      <c r="O801" s="60">
        <f ca="1"/>
        <v>0.84742538129538603</v>
      </c>
    </row>
    <row r="802" spans="14:15" x14ac:dyDescent="0.25">
      <c r="N802" s="60">
        <f ca="1"/>
        <v>1.308842916804124</v>
      </c>
      <c r="O802" s="60">
        <f ca="1"/>
        <v>1.1179611675292196</v>
      </c>
    </row>
    <row r="803" spans="14:15" x14ac:dyDescent="0.25">
      <c r="N803" s="60">
        <f ca="1"/>
        <v>1.1338433175835738</v>
      </c>
      <c r="O803" s="60">
        <f ca="1"/>
        <v>1.3072320958942785</v>
      </c>
    </row>
    <row r="804" spans="14:15" x14ac:dyDescent="0.25">
      <c r="N804" s="60">
        <f ca="1"/>
        <v>1.0963236421904592</v>
      </c>
      <c r="O804" s="60">
        <f ca="1"/>
        <v>0.79088919683355452</v>
      </c>
    </row>
    <row r="805" spans="14:15" x14ac:dyDescent="0.25">
      <c r="N805" s="60">
        <f ca="1"/>
        <v>0.55032739009793086</v>
      </c>
      <c r="O805" s="60">
        <f ca="1"/>
        <v>0.12511980330488176</v>
      </c>
    </row>
    <row r="806" spans="14:15" x14ac:dyDescent="0.25">
      <c r="N806" s="60">
        <f ca="1"/>
        <v>0.90503459576520473</v>
      </c>
      <c r="O806" s="60">
        <f ca="1"/>
        <v>0.66272696219847949</v>
      </c>
    </row>
    <row r="807" spans="14:15" x14ac:dyDescent="0.25">
      <c r="N807" s="60">
        <f ca="1"/>
        <v>0.57884225252479593</v>
      </c>
      <c r="O807" s="60">
        <f ca="1"/>
        <v>1.1783500575760808</v>
      </c>
    </row>
    <row r="808" spans="14:15" x14ac:dyDescent="0.25">
      <c r="N808" s="60">
        <f ca="1"/>
        <v>0.40645981257653896</v>
      </c>
      <c r="O808" s="60">
        <f ca="1"/>
        <v>0.50252590439956291</v>
      </c>
    </row>
    <row r="809" spans="14:15" x14ac:dyDescent="0.25">
      <c r="N809" s="60">
        <f ca="1"/>
        <v>1.258803067890615</v>
      </c>
      <c r="O809" s="60">
        <f ca="1"/>
        <v>0.97351590095070428</v>
      </c>
    </row>
    <row r="810" spans="14:15" x14ac:dyDescent="0.25">
      <c r="N810" s="60">
        <f ca="1"/>
        <v>0.74201204452859715</v>
      </c>
      <c r="O810" s="60">
        <f ca="1"/>
        <v>0.70726457222803818</v>
      </c>
    </row>
    <row r="811" spans="14:15" x14ac:dyDescent="0.25">
      <c r="N811" s="60">
        <f ca="1"/>
        <v>1.2570770320099949</v>
      </c>
      <c r="O811" s="60">
        <f ca="1"/>
        <v>1.1500785792455392</v>
      </c>
    </row>
    <row r="812" spans="14:15" x14ac:dyDescent="0.25">
      <c r="N812" s="60">
        <f ca="1"/>
        <v>0.44827662777035121</v>
      </c>
      <c r="O812" s="60">
        <f ca="1"/>
        <v>-9.6207868721889522E-2</v>
      </c>
    </row>
    <row r="813" spans="14:15" x14ac:dyDescent="0.25">
      <c r="N813" s="60">
        <f ca="1"/>
        <v>0.53326102022394151</v>
      </c>
      <c r="O813" s="60">
        <f ca="1"/>
        <v>0.80693768596876492</v>
      </c>
    </row>
    <row r="814" spans="14:15" x14ac:dyDescent="0.25">
      <c r="N814" s="60">
        <f ca="1"/>
        <v>1.1075001280428904</v>
      </c>
      <c r="O814" s="60">
        <f ca="1"/>
        <v>1.2389896567205418</v>
      </c>
    </row>
    <row r="815" spans="14:15" x14ac:dyDescent="0.25">
      <c r="N815" s="60">
        <f ca="1"/>
        <v>0.75606933541692745</v>
      </c>
      <c r="O815" s="60">
        <f ca="1"/>
        <v>6.082188970386182E-2</v>
      </c>
    </row>
    <row r="816" spans="14:15" x14ac:dyDescent="0.25">
      <c r="N816" s="60">
        <f ca="1"/>
        <v>1.5324272422589922</v>
      </c>
      <c r="O816" s="60">
        <f ca="1"/>
        <v>1.5444187618862781</v>
      </c>
    </row>
    <row r="817" spans="14:15" x14ac:dyDescent="0.25">
      <c r="N817" s="60">
        <f ca="1"/>
        <v>1.4639866157172852</v>
      </c>
      <c r="O817" s="60">
        <f ca="1"/>
        <v>1.7870700443327452</v>
      </c>
    </row>
    <row r="818" spans="14:15" x14ac:dyDescent="0.25">
      <c r="N818" s="60">
        <f ca="1"/>
        <v>0.59428812109373974</v>
      </c>
      <c r="O818" s="60">
        <f ca="1"/>
        <v>0.41328883917221132</v>
      </c>
    </row>
    <row r="819" spans="14:15" x14ac:dyDescent="0.25">
      <c r="N819" s="60">
        <f ca="1"/>
        <v>0.3248425663065006</v>
      </c>
      <c r="O819" s="60">
        <f ca="1"/>
        <v>6.5606219334651772E-2</v>
      </c>
    </row>
    <row r="820" spans="14:15" x14ac:dyDescent="0.25">
      <c r="N820" s="60">
        <f ca="1"/>
        <v>1.0691024386419232</v>
      </c>
      <c r="O820" s="60">
        <f ca="1"/>
        <v>1.1592207314496974</v>
      </c>
    </row>
    <row r="821" spans="14:15" x14ac:dyDescent="0.25">
      <c r="N821" s="60">
        <f ca="1"/>
        <v>0.35596344890791987</v>
      </c>
      <c r="O821" s="60">
        <f ca="1"/>
        <v>1.0068543004672144</v>
      </c>
    </row>
    <row r="822" spans="14:15" x14ac:dyDescent="0.25">
      <c r="N822" s="60">
        <f ca="1"/>
        <v>0.51040171200425355</v>
      </c>
      <c r="O822" s="60">
        <f ca="1"/>
        <v>0.18890453263350959</v>
      </c>
    </row>
    <row r="823" spans="14:15" x14ac:dyDescent="0.25">
      <c r="N823" s="60">
        <f ca="1"/>
        <v>0.72611140396465301</v>
      </c>
      <c r="O823" s="60">
        <f ca="1"/>
        <v>0.6128301738428541</v>
      </c>
    </row>
    <row r="824" spans="14:15" x14ac:dyDescent="0.25">
      <c r="N824" s="60">
        <f ca="1"/>
        <v>0.8841207811363575</v>
      </c>
      <c r="O824" s="60">
        <f ca="1"/>
        <v>1.0563804764602256</v>
      </c>
    </row>
    <row r="825" spans="14:15" x14ac:dyDescent="0.25">
      <c r="N825" s="60">
        <f ca="1"/>
        <v>0.89743386667433978</v>
      </c>
      <c r="O825" s="60">
        <f ca="1"/>
        <v>1.0671367196746697</v>
      </c>
    </row>
    <row r="826" spans="14:15" x14ac:dyDescent="0.25">
      <c r="N826" s="60">
        <f ca="1"/>
        <v>1.5650834825516058</v>
      </c>
      <c r="O826" s="60">
        <f ca="1"/>
        <v>1.6390281843962542</v>
      </c>
    </row>
    <row r="827" spans="14:15" x14ac:dyDescent="0.25">
      <c r="N827" s="60">
        <f ca="1"/>
        <v>1.0366214156327669</v>
      </c>
      <c r="O827" s="60">
        <f ca="1"/>
        <v>1.2138289668478155</v>
      </c>
    </row>
    <row r="828" spans="14:15" x14ac:dyDescent="0.25">
      <c r="N828" s="60">
        <f ca="1"/>
        <v>0.62333442624615865</v>
      </c>
      <c r="O828" s="60">
        <f ca="1"/>
        <v>0.34977594618480773</v>
      </c>
    </row>
    <row r="829" spans="14:15" x14ac:dyDescent="0.25">
      <c r="N829" s="60">
        <f ca="1"/>
        <v>0.53058279463881974</v>
      </c>
      <c r="O829" s="60">
        <f ca="1"/>
        <v>0.55123167649617022</v>
      </c>
    </row>
    <row r="830" spans="14:15" x14ac:dyDescent="0.25">
      <c r="N830" s="60">
        <f ca="1"/>
        <v>0.43742404312095118</v>
      </c>
      <c r="O830" s="60">
        <f ca="1"/>
        <v>0.5034987696769242</v>
      </c>
    </row>
    <row r="831" spans="14:15" x14ac:dyDescent="0.25">
      <c r="N831" s="60">
        <f ca="1"/>
        <v>2.3459237194702904</v>
      </c>
      <c r="O831" s="60">
        <f ca="1"/>
        <v>2.0823880627827949</v>
      </c>
    </row>
    <row r="832" spans="14:15" x14ac:dyDescent="0.25">
      <c r="N832" s="60">
        <f ca="1"/>
        <v>1.7608039180707298</v>
      </c>
      <c r="O832" s="60">
        <f ca="1"/>
        <v>0.97357429534228335</v>
      </c>
    </row>
    <row r="833" spans="14:15" x14ac:dyDescent="0.25">
      <c r="N833" s="60">
        <f ca="1"/>
        <v>0.27053824467055565</v>
      </c>
      <c r="O833" s="60">
        <f ca="1"/>
        <v>0.90701911091223353</v>
      </c>
    </row>
    <row r="834" spans="14:15" x14ac:dyDescent="0.25">
      <c r="N834" s="60">
        <f ca="1"/>
        <v>1.2100369569235505</v>
      </c>
      <c r="O834" s="60">
        <f ca="1"/>
        <v>1.2806848593466729</v>
      </c>
    </row>
    <row r="835" spans="14:15" x14ac:dyDescent="0.25">
      <c r="N835" s="60">
        <f ca="1"/>
        <v>1.1716514402135234</v>
      </c>
      <c r="O835" s="60">
        <f ca="1"/>
        <v>1.2647358585356059</v>
      </c>
    </row>
    <row r="836" spans="14:15" x14ac:dyDescent="0.25">
      <c r="N836" s="60">
        <f ca="1"/>
        <v>2.4462614055136775</v>
      </c>
      <c r="O836" s="60">
        <f ca="1"/>
        <v>2.4443190951496385</v>
      </c>
    </row>
    <row r="837" spans="14:15" x14ac:dyDescent="0.25">
      <c r="N837" s="60">
        <f ca="1"/>
        <v>0.55152893172823203</v>
      </c>
      <c r="O837" s="60">
        <f ca="1"/>
        <v>0.40932806005833888</v>
      </c>
    </row>
    <row r="838" spans="14:15" x14ac:dyDescent="0.25">
      <c r="N838" s="60">
        <f ca="1"/>
        <v>0.96774839106831723</v>
      </c>
      <c r="O838" s="60">
        <f ca="1"/>
        <v>0.30429944893415017</v>
      </c>
    </row>
    <row r="839" spans="14:15" x14ac:dyDescent="0.25">
      <c r="N839" s="60">
        <f ca="1"/>
        <v>2.0988624425714573</v>
      </c>
      <c r="O839" s="60">
        <f ca="1"/>
        <v>1.5336174894562604</v>
      </c>
    </row>
    <row r="840" spans="14:15" x14ac:dyDescent="0.25">
      <c r="N840" s="60">
        <f ca="1"/>
        <v>0.56805397488198039</v>
      </c>
      <c r="O840" s="60">
        <f ca="1"/>
        <v>0.3833544884500093</v>
      </c>
    </row>
    <row r="841" spans="14:15" x14ac:dyDescent="0.25">
      <c r="N841" s="60">
        <f ca="1"/>
        <v>2.2490835166862517</v>
      </c>
      <c r="O841" s="60">
        <f ca="1"/>
        <v>2.2389244471279244</v>
      </c>
    </row>
    <row r="842" spans="14:15" x14ac:dyDescent="0.25">
      <c r="N842" s="60">
        <f ca="1"/>
        <v>1.2572318984755155</v>
      </c>
      <c r="O842" s="60">
        <f ca="1"/>
        <v>0.7417534028307402</v>
      </c>
    </row>
    <row r="843" spans="14:15" x14ac:dyDescent="0.25">
      <c r="N843" s="60">
        <f ca="1"/>
        <v>0.73640030779872845</v>
      </c>
      <c r="O843" s="60">
        <f ca="1"/>
        <v>0.50664328187084928</v>
      </c>
    </row>
    <row r="844" spans="14:15" x14ac:dyDescent="0.25">
      <c r="N844" s="60">
        <f ca="1"/>
        <v>1.048747693726974</v>
      </c>
      <c r="O844" s="60">
        <f ca="1"/>
        <v>1.3240571707023183</v>
      </c>
    </row>
    <row r="845" spans="14:15" x14ac:dyDescent="0.25">
      <c r="N845" s="60">
        <f ca="1"/>
        <v>0.77759039444787625</v>
      </c>
      <c r="O845" s="60">
        <f ca="1"/>
        <v>0.98019126009264368</v>
      </c>
    </row>
    <row r="846" spans="14:15" x14ac:dyDescent="0.25">
      <c r="N846" s="60">
        <f ca="1"/>
        <v>0.63539377270837871</v>
      </c>
      <c r="O846" s="60">
        <f ca="1"/>
        <v>0.73800052654068116</v>
      </c>
    </row>
    <row r="847" spans="14:15" x14ac:dyDescent="0.25">
      <c r="N847" s="60">
        <f ca="1"/>
        <v>0.66776843372311556</v>
      </c>
      <c r="O847" s="60">
        <f ca="1"/>
        <v>0.84128427785842275</v>
      </c>
    </row>
    <row r="848" spans="14:15" x14ac:dyDescent="0.25">
      <c r="N848" s="60">
        <f ca="1"/>
        <v>0.7442906518216017</v>
      </c>
      <c r="O848" s="60">
        <f ca="1"/>
        <v>0.7281128144053457</v>
      </c>
    </row>
    <row r="849" spans="14:15" x14ac:dyDescent="0.25">
      <c r="N849" s="60">
        <f ca="1"/>
        <v>1.5019580770378289</v>
      </c>
      <c r="O849" s="60">
        <f ca="1"/>
        <v>0.9119022472356344</v>
      </c>
    </row>
    <row r="850" spans="14:15" x14ac:dyDescent="0.25">
      <c r="N850" s="60">
        <f ca="1"/>
        <v>0.90353254328456489</v>
      </c>
      <c r="O850" s="60">
        <f ca="1"/>
        <v>1.2288662270562827</v>
      </c>
    </row>
    <row r="851" spans="14:15" x14ac:dyDescent="0.25">
      <c r="N851" s="60">
        <f ca="1"/>
        <v>0.97844589601980236</v>
      </c>
      <c r="O851" s="60">
        <f ca="1"/>
        <v>0.95249660970790639</v>
      </c>
    </row>
    <row r="852" spans="14:15" x14ac:dyDescent="0.25">
      <c r="N852" s="60">
        <f ca="1"/>
        <v>0.59920783567172531</v>
      </c>
      <c r="O852" s="60">
        <f ca="1"/>
        <v>1.0421587069995064</v>
      </c>
    </row>
    <row r="853" spans="14:15" x14ac:dyDescent="0.25">
      <c r="N853" s="60">
        <f ca="1"/>
        <v>0.78034260132842326</v>
      </c>
      <c r="O853" s="60">
        <f ca="1"/>
        <v>1.1389128326894642</v>
      </c>
    </row>
    <row r="854" spans="14:15" x14ac:dyDescent="0.25">
      <c r="N854" s="60">
        <f ca="1"/>
        <v>1.2781485598567508</v>
      </c>
      <c r="O854" s="60">
        <f ca="1"/>
        <v>0.89533178189933837</v>
      </c>
    </row>
    <row r="855" spans="14:15" x14ac:dyDescent="0.25">
      <c r="N855" s="60">
        <f ca="1"/>
        <v>0.77233145403612202</v>
      </c>
      <c r="O855" s="60">
        <f ca="1"/>
        <v>0.5501232659481915</v>
      </c>
    </row>
    <row r="856" spans="14:15" x14ac:dyDescent="0.25">
      <c r="N856" s="60">
        <f ca="1"/>
        <v>1.1774427171479349</v>
      </c>
      <c r="O856" s="60">
        <f ca="1"/>
        <v>1.2356787315020972</v>
      </c>
    </row>
    <row r="857" spans="14:15" x14ac:dyDescent="0.25">
      <c r="N857" s="60">
        <f ca="1"/>
        <v>0.2717587935863911</v>
      </c>
      <c r="O857" s="60">
        <f ca="1"/>
        <v>0.33865252960732345</v>
      </c>
    </row>
    <row r="858" spans="14:15" x14ac:dyDescent="0.25">
      <c r="N858" s="60">
        <f ca="1"/>
        <v>1.8605507756015309</v>
      </c>
      <c r="O858" s="60">
        <f ca="1"/>
        <v>2.1510685702895538</v>
      </c>
    </row>
    <row r="859" spans="14:15" x14ac:dyDescent="0.25">
      <c r="N859" s="60">
        <f ca="1"/>
        <v>1.1421038516823585</v>
      </c>
      <c r="O859" s="60">
        <f ca="1"/>
        <v>1.0768044290611338</v>
      </c>
    </row>
    <row r="860" spans="14:15" x14ac:dyDescent="0.25">
      <c r="N860" s="60">
        <f ca="1"/>
        <v>1.5013705054047235</v>
      </c>
      <c r="O860" s="60">
        <f ca="1"/>
        <v>2.0529730071891028</v>
      </c>
    </row>
    <row r="861" spans="14:15" x14ac:dyDescent="0.25">
      <c r="N861" s="60">
        <f ca="1"/>
        <v>0.26649358365944448</v>
      </c>
      <c r="O861" s="60">
        <f ca="1"/>
        <v>-5.3402027232818949E-2</v>
      </c>
    </row>
    <row r="862" spans="14:15" x14ac:dyDescent="0.25">
      <c r="N862" s="60">
        <f ca="1"/>
        <v>0.75886813842630219</v>
      </c>
      <c r="O862" s="60">
        <f ca="1"/>
        <v>0.41918347467406947</v>
      </c>
    </row>
    <row r="863" spans="14:15" x14ac:dyDescent="0.25">
      <c r="N863" s="60">
        <f ca="1"/>
        <v>0.68056612504825076</v>
      </c>
      <c r="O863" s="60">
        <f ca="1"/>
        <v>1.2178620082237053</v>
      </c>
    </row>
    <row r="864" spans="14:15" x14ac:dyDescent="0.25">
      <c r="N864" s="60">
        <f ca="1"/>
        <v>0.54966266756820703</v>
      </c>
      <c r="O864" s="60">
        <f ca="1"/>
        <v>0.17743137926455554</v>
      </c>
    </row>
    <row r="865" spans="14:15" x14ac:dyDescent="0.25">
      <c r="N865" s="60">
        <f ca="1"/>
        <v>1.1391910295831982</v>
      </c>
      <c r="O865" s="60">
        <f ca="1"/>
        <v>1.1595934656125446</v>
      </c>
    </row>
    <row r="866" spans="14:15" x14ac:dyDescent="0.25">
      <c r="N866" s="60">
        <f ca="1"/>
        <v>0.55203779667413477</v>
      </c>
      <c r="O866" s="60">
        <f ca="1"/>
        <v>0.47027944692989315</v>
      </c>
    </row>
    <row r="867" spans="14:15" x14ac:dyDescent="0.25">
      <c r="N867" s="60">
        <f ca="1"/>
        <v>1.5150412140883627</v>
      </c>
      <c r="O867" s="60">
        <f ca="1"/>
        <v>1.4834616463205765</v>
      </c>
    </row>
    <row r="868" spans="14:15" x14ac:dyDescent="0.25">
      <c r="N868" s="60">
        <f ca="1"/>
        <v>0.61944450914487581</v>
      </c>
      <c r="O868" s="60">
        <f ca="1"/>
        <v>0.7153859265034539</v>
      </c>
    </row>
    <row r="869" spans="14:15" x14ac:dyDescent="0.25">
      <c r="N869" s="60">
        <f ca="1"/>
        <v>1.7036232228709045</v>
      </c>
      <c r="O869" s="60">
        <f ca="1"/>
        <v>1.1455355022399851</v>
      </c>
    </row>
    <row r="870" spans="14:15" x14ac:dyDescent="0.25">
      <c r="N870" s="60">
        <f ca="1"/>
        <v>1.2875284154106479</v>
      </c>
      <c r="O870" s="60">
        <f ca="1"/>
        <v>1.3821910009802409</v>
      </c>
    </row>
    <row r="871" spans="14:15" x14ac:dyDescent="0.25">
      <c r="N871" s="60">
        <f ca="1"/>
        <v>0.26890751775765792</v>
      </c>
      <c r="O871" s="60">
        <f ca="1"/>
        <v>0.25924956467800242</v>
      </c>
    </row>
    <row r="872" spans="14:15" x14ac:dyDescent="0.25">
      <c r="N872" s="60">
        <f ca="1"/>
        <v>2.157527559644647</v>
      </c>
      <c r="O872" s="60">
        <f ca="1"/>
        <v>2.6153700249702698</v>
      </c>
    </row>
    <row r="873" spans="14:15" x14ac:dyDescent="0.25">
      <c r="N873" s="60">
        <f ca="1"/>
        <v>1.0415566792502351</v>
      </c>
      <c r="O873" s="60">
        <f ca="1"/>
        <v>0.59906223748905618</v>
      </c>
    </row>
    <row r="874" spans="14:15" x14ac:dyDescent="0.25">
      <c r="N874" s="60">
        <f ca="1"/>
        <v>0.98837951881916808</v>
      </c>
      <c r="O874" s="60">
        <f ca="1"/>
        <v>1.7276271236142315</v>
      </c>
    </row>
    <row r="875" spans="14:15" x14ac:dyDescent="0.25">
      <c r="N875" s="60">
        <f ca="1"/>
        <v>0.60820946119899344</v>
      </c>
      <c r="O875" s="60">
        <f ca="1"/>
        <v>0.76511109506566188</v>
      </c>
    </row>
    <row r="876" spans="14:15" x14ac:dyDescent="0.25">
      <c r="N876" s="60">
        <f ca="1"/>
        <v>1.1792522403216319</v>
      </c>
      <c r="O876" s="60">
        <f ca="1"/>
        <v>1.313246936472044</v>
      </c>
    </row>
    <row r="877" spans="14:15" x14ac:dyDescent="0.25">
      <c r="N877" s="60">
        <f ca="1"/>
        <v>0.50255890386451907</v>
      </c>
      <c r="O877" s="60">
        <f ca="1"/>
        <v>0.78883489316515698</v>
      </c>
    </row>
    <row r="878" spans="14:15" x14ac:dyDescent="0.25">
      <c r="N878" s="60">
        <f ca="1"/>
        <v>0.95069111150696817</v>
      </c>
      <c r="O878" s="60">
        <f ca="1"/>
        <v>1.2847641559445833</v>
      </c>
    </row>
    <row r="879" spans="14:15" x14ac:dyDescent="0.25">
      <c r="N879" s="60">
        <f ca="1"/>
        <v>0.57466187617154074</v>
      </c>
      <c r="O879" s="60">
        <f ca="1"/>
        <v>0.44383561170975966</v>
      </c>
    </row>
    <row r="880" spans="14:15" x14ac:dyDescent="0.25">
      <c r="N880" s="60">
        <f ca="1"/>
        <v>0.9154524820280584</v>
      </c>
      <c r="O880" s="60">
        <f ca="1"/>
        <v>0.56860317075754852</v>
      </c>
    </row>
    <row r="881" spans="14:15" x14ac:dyDescent="0.25">
      <c r="N881" s="60">
        <f ca="1"/>
        <v>0.88034354034599027</v>
      </c>
      <c r="O881" s="60">
        <f ca="1"/>
        <v>1.5320226148752134</v>
      </c>
    </row>
    <row r="882" spans="14:15" x14ac:dyDescent="0.25">
      <c r="N882" s="60">
        <f ca="1"/>
        <v>1.1395517990240649</v>
      </c>
      <c r="O882" s="60">
        <f ca="1"/>
        <v>1.2104431544949468</v>
      </c>
    </row>
    <row r="883" spans="14:15" x14ac:dyDescent="0.25">
      <c r="N883" s="60">
        <f ca="1"/>
        <v>1.1133540178180048</v>
      </c>
      <c r="O883" s="60">
        <f ca="1"/>
        <v>1.4396639879113975</v>
      </c>
    </row>
    <row r="884" spans="14:15" x14ac:dyDescent="0.25">
      <c r="N884" s="60">
        <f ca="1"/>
        <v>0.87812848785609676</v>
      </c>
      <c r="O884" s="60">
        <f ca="1"/>
        <v>0.72709450367177952</v>
      </c>
    </row>
    <row r="885" spans="14:15" x14ac:dyDescent="0.25">
      <c r="N885" s="60">
        <f ca="1"/>
        <v>0.20321326255545849</v>
      </c>
      <c r="O885" s="60">
        <f ca="1"/>
        <v>0.1380555404681002</v>
      </c>
    </row>
    <row r="886" spans="14:15" x14ac:dyDescent="0.25">
      <c r="N886" s="60">
        <f ca="1"/>
        <v>1.0821589146433517</v>
      </c>
      <c r="O886" s="60">
        <f ca="1"/>
        <v>1.31070623305096</v>
      </c>
    </row>
    <row r="887" spans="14:15" x14ac:dyDescent="0.25">
      <c r="N887" s="60">
        <f ca="1"/>
        <v>0.83647436776803452</v>
      </c>
      <c r="O887" s="60">
        <f ca="1"/>
        <v>0.52649172418247148</v>
      </c>
    </row>
    <row r="888" spans="14:15" x14ac:dyDescent="0.25">
      <c r="N888" s="60">
        <f ca="1"/>
        <v>1.0961482144165873</v>
      </c>
      <c r="O888" s="60">
        <f ca="1"/>
        <v>1.2116317940713184</v>
      </c>
    </row>
    <row r="889" spans="14:15" x14ac:dyDescent="0.25">
      <c r="N889" s="60">
        <f ca="1"/>
        <v>1.3176597622919439</v>
      </c>
      <c r="O889" s="60">
        <f ca="1"/>
        <v>1.2782968871606419</v>
      </c>
    </row>
    <row r="890" spans="14:15" x14ac:dyDescent="0.25">
      <c r="N890" s="60">
        <f ca="1"/>
        <v>0.87008628746829608</v>
      </c>
      <c r="O890" s="60">
        <f ca="1"/>
        <v>0.55395458161639444</v>
      </c>
    </row>
    <row r="891" spans="14:15" x14ac:dyDescent="0.25">
      <c r="N891" s="60">
        <f ca="1"/>
        <v>1.2320744359513967</v>
      </c>
      <c r="O891" s="60">
        <f ca="1"/>
        <v>1.1229100620246313</v>
      </c>
    </row>
    <row r="892" spans="14:15" x14ac:dyDescent="0.25">
      <c r="N892" s="60">
        <f ca="1"/>
        <v>0.39485912882571211</v>
      </c>
      <c r="O892" s="60">
        <f ca="1"/>
        <v>0.49262988127109963</v>
      </c>
    </row>
    <row r="893" spans="14:15" x14ac:dyDescent="0.25">
      <c r="N893" s="60">
        <f ca="1"/>
        <v>0.58783818519475284</v>
      </c>
      <c r="O893" s="60">
        <f ca="1"/>
        <v>0.4615539184624658</v>
      </c>
    </row>
    <row r="894" spans="14:15" x14ac:dyDescent="0.25">
      <c r="N894" s="60">
        <f ca="1"/>
        <v>0.5684695953937815</v>
      </c>
      <c r="O894" s="60">
        <f ca="1"/>
        <v>0.94170594379213735</v>
      </c>
    </row>
    <row r="895" spans="14:15" x14ac:dyDescent="0.25">
      <c r="N895" s="60">
        <f ca="1"/>
        <v>0.64802256381002865</v>
      </c>
      <c r="O895" s="60">
        <f ca="1"/>
        <v>0.29677141533621476</v>
      </c>
    </row>
    <row r="896" spans="14:15" x14ac:dyDescent="0.25">
      <c r="N896" s="60">
        <f ca="1"/>
        <v>1.7667713150050979</v>
      </c>
      <c r="O896" s="60">
        <f ca="1"/>
        <v>1.8151654891002009</v>
      </c>
    </row>
    <row r="897" spans="14:15" x14ac:dyDescent="0.25">
      <c r="N897" s="60">
        <f ca="1"/>
        <v>0.49571446227165428</v>
      </c>
      <c r="O897" s="60">
        <f ca="1"/>
        <v>0.19826889491085725</v>
      </c>
    </row>
    <row r="898" spans="14:15" x14ac:dyDescent="0.25">
      <c r="N898" s="60">
        <f ca="1"/>
        <v>0.72897969927550688</v>
      </c>
      <c r="O898" s="60">
        <f ca="1"/>
        <v>0.18999635390949443</v>
      </c>
    </row>
    <row r="899" spans="14:15" x14ac:dyDescent="0.25">
      <c r="N899" s="60">
        <f ca="1"/>
        <v>1.5762286685555098</v>
      </c>
      <c r="O899" s="60">
        <f ca="1"/>
        <v>1.6113310077010199</v>
      </c>
    </row>
    <row r="900" spans="14:15" x14ac:dyDescent="0.25">
      <c r="N900" s="60">
        <f ca="1"/>
        <v>0.80728738279004064</v>
      </c>
      <c r="O900" s="60">
        <f ca="1"/>
        <v>0.9601014532662443</v>
      </c>
    </row>
    <row r="901" spans="14:15" x14ac:dyDescent="0.25">
      <c r="N901" s="60">
        <f ca="1"/>
        <v>0.33996524262006234</v>
      </c>
      <c r="O901" s="60">
        <f ca="1"/>
        <v>0.31305336772253833</v>
      </c>
    </row>
    <row r="902" spans="14:15" x14ac:dyDescent="0.25">
      <c r="N902" s="60">
        <f ca="1"/>
        <v>0.92236701556525369</v>
      </c>
      <c r="O902" s="60">
        <f ca="1"/>
        <v>1.1159911003443737</v>
      </c>
    </row>
    <row r="903" spans="14:15" x14ac:dyDescent="0.25">
      <c r="N903" s="60">
        <f ca="1"/>
        <v>0.75279177458800572</v>
      </c>
      <c r="O903" s="60">
        <f ca="1"/>
        <v>1.1865201902976337</v>
      </c>
    </row>
    <row r="904" spans="14:15" x14ac:dyDescent="0.25">
      <c r="N904" s="60">
        <f ca="1"/>
        <v>0.43497590106561324</v>
      </c>
      <c r="O904" s="60">
        <f ca="1"/>
        <v>0.72064469620948501</v>
      </c>
    </row>
    <row r="905" spans="14:15" x14ac:dyDescent="0.25">
      <c r="N905" s="60">
        <f ca="1"/>
        <v>0.9852389172696806</v>
      </c>
      <c r="O905" s="60">
        <f ca="1"/>
        <v>1.7248341646274308</v>
      </c>
    </row>
    <row r="906" spans="14:15" x14ac:dyDescent="0.25">
      <c r="N906" s="60">
        <f ca="1"/>
        <v>1.5264390493988917</v>
      </c>
      <c r="O906" s="60">
        <f ca="1"/>
        <v>1.570478905311848</v>
      </c>
    </row>
    <row r="907" spans="14:15" x14ac:dyDescent="0.25">
      <c r="N907" s="60">
        <f ca="1"/>
        <v>0.89286055575709744</v>
      </c>
      <c r="O907" s="60">
        <f ca="1"/>
        <v>0.67500861871046824</v>
      </c>
    </row>
    <row r="908" spans="14:15" x14ac:dyDescent="0.25">
      <c r="N908" s="60">
        <f ca="1"/>
        <v>0.61327519634873329</v>
      </c>
      <c r="O908" s="60">
        <f ca="1"/>
        <v>0.65410834843916166</v>
      </c>
    </row>
    <row r="909" spans="14:15" x14ac:dyDescent="0.25">
      <c r="N909" s="60">
        <f ca="1"/>
        <v>0.93758905194386788</v>
      </c>
      <c r="O909" s="60">
        <f ca="1"/>
        <v>0.82740554697255297</v>
      </c>
    </row>
    <row r="910" spans="14:15" x14ac:dyDescent="0.25">
      <c r="N910" s="60">
        <f ca="1"/>
        <v>0.76025158207839716</v>
      </c>
      <c r="O910" s="60">
        <f ca="1"/>
        <v>0.83833580270742392</v>
      </c>
    </row>
    <row r="911" spans="14:15" x14ac:dyDescent="0.25">
      <c r="N911" s="60">
        <f ca="1"/>
        <v>0.79646340715054453</v>
      </c>
      <c r="O911" s="60">
        <f ca="1"/>
        <v>1.4116856227551371</v>
      </c>
    </row>
    <row r="912" spans="14:15" x14ac:dyDescent="0.25">
      <c r="N912" s="60">
        <f ca="1"/>
        <v>1.2119627170838743</v>
      </c>
      <c r="O912" s="60">
        <f ca="1"/>
        <v>1.3858608153166787</v>
      </c>
    </row>
    <row r="913" spans="14:15" x14ac:dyDescent="0.25">
      <c r="N913" s="60">
        <f ca="1"/>
        <v>1.4945538566643335</v>
      </c>
      <c r="O913" s="60">
        <f ca="1"/>
        <v>1.5200017965571346</v>
      </c>
    </row>
    <row r="914" spans="14:15" x14ac:dyDescent="0.25">
      <c r="N914" s="60">
        <f ca="1"/>
        <v>1.0868729364554821</v>
      </c>
      <c r="O914" s="60">
        <f ca="1"/>
        <v>1.0049525313468806</v>
      </c>
    </row>
    <row r="915" spans="14:15" x14ac:dyDescent="0.25">
      <c r="N915" s="60">
        <f ca="1"/>
        <v>0.3170947519311233</v>
      </c>
      <c r="O915" s="60">
        <f ca="1"/>
        <v>0.28659050471042591</v>
      </c>
    </row>
    <row r="916" spans="14:15" x14ac:dyDescent="0.25">
      <c r="N916" s="60">
        <f ca="1"/>
        <v>1.2662147445576404</v>
      </c>
      <c r="O916" s="60">
        <f ca="1"/>
        <v>1.4483587921844161</v>
      </c>
    </row>
    <row r="917" spans="14:15" x14ac:dyDescent="0.25">
      <c r="N917" s="60">
        <f ca="1"/>
        <v>0.73666045308190953</v>
      </c>
      <c r="O917" s="60">
        <f ca="1"/>
        <v>0.78767732700946369</v>
      </c>
    </row>
    <row r="918" spans="14:15" x14ac:dyDescent="0.25">
      <c r="N918" s="60">
        <f ca="1"/>
        <v>1.6827238015018362</v>
      </c>
      <c r="O918" s="60">
        <f ca="1"/>
        <v>1.6030992716767125</v>
      </c>
    </row>
    <row r="919" spans="14:15" x14ac:dyDescent="0.25">
      <c r="N919" s="60">
        <f ca="1"/>
        <v>1.1892110135721867</v>
      </c>
      <c r="O919" s="60">
        <f ca="1"/>
        <v>1.2272353587009095</v>
      </c>
    </row>
    <row r="920" spans="14:15" x14ac:dyDescent="0.25">
      <c r="N920" s="60">
        <f ca="1"/>
        <v>0.3487990780150822</v>
      </c>
      <c r="O920" s="60">
        <f ca="1"/>
        <v>0.7987661042339278</v>
      </c>
    </row>
    <row r="921" spans="14:15" x14ac:dyDescent="0.25">
      <c r="N921" s="60">
        <f ca="1"/>
        <v>1.8368894622974952</v>
      </c>
      <c r="O921" s="60">
        <f ca="1"/>
        <v>1.6630778970995148</v>
      </c>
    </row>
    <row r="922" spans="14:15" x14ac:dyDescent="0.25">
      <c r="N922" s="60">
        <f ca="1"/>
        <v>0.83216457198245841</v>
      </c>
      <c r="O922" s="60">
        <f ca="1"/>
        <v>0.49845677280926715</v>
      </c>
    </row>
    <row r="923" spans="14:15" x14ac:dyDescent="0.25">
      <c r="N923" s="60">
        <f ca="1"/>
        <v>0.97623415549356207</v>
      </c>
      <c r="O923" s="60">
        <f ca="1"/>
        <v>1.0823592232260655</v>
      </c>
    </row>
    <row r="924" spans="14:15" x14ac:dyDescent="0.25">
      <c r="N924" s="60">
        <f ca="1"/>
        <v>1.3943892330073695</v>
      </c>
      <c r="O924" s="60">
        <f ca="1"/>
        <v>1.1872651101568259</v>
      </c>
    </row>
    <row r="925" spans="14:15" x14ac:dyDescent="0.25">
      <c r="N925" s="60">
        <f ca="1"/>
        <v>1.0282399208823618</v>
      </c>
      <c r="O925" s="60">
        <f ca="1"/>
        <v>1.3876526029070781</v>
      </c>
    </row>
    <row r="926" spans="14:15" x14ac:dyDescent="0.25">
      <c r="N926" s="60">
        <f ca="1"/>
        <v>0.78608056528817871</v>
      </c>
      <c r="O926" s="60">
        <f ca="1"/>
        <v>0.69633889286718476</v>
      </c>
    </row>
    <row r="927" spans="14:15" x14ac:dyDescent="0.25">
      <c r="N927" s="60">
        <f ca="1"/>
        <v>0.63867402812278173</v>
      </c>
      <c r="O927" s="60">
        <f ca="1"/>
        <v>0.68213770844653054</v>
      </c>
    </row>
    <row r="928" spans="14:15" x14ac:dyDescent="0.25">
      <c r="N928" s="60">
        <f ca="1"/>
        <v>1.3097615316516249</v>
      </c>
      <c r="O928" s="60">
        <f ca="1"/>
        <v>1.2244535887138976</v>
      </c>
    </row>
    <row r="929" spans="14:15" x14ac:dyDescent="0.25">
      <c r="N929" s="60">
        <f ca="1"/>
        <v>1.4723667804641425</v>
      </c>
      <c r="O929" s="60">
        <f ca="1"/>
        <v>0.97663511758998434</v>
      </c>
    </row>
    <row r="930" spans="14:15" x14ac:dyDescent="0.25">
      <c r="N930" s="60">
        <f ca="1"/>
        <v>1.5915065527568908</v>
      </c>
      <c r="O930" s="60">
        <f ca="1"/>
        <v>2.0543888022815047</v>
      </c>
    </row>
    <row r="931" spans="14:15" x14ac:dyDescent="0.25">
      <c r="N931" s="60">
        <f ca="1"/>
        <v>1.1043191456125425</v>
      </c>
      <c r="O931" s="60">
        <f ca="1"/>
        <v>0.71725185371526945</v>
      </c>
    </row>
    <row r="932" spans="14:15" x14ac:dyDescent="0.25">
      <c r="N932" s="60">
        <f ca="1"/>
        <v>0.35140025988210205</v>
      </c>
      <c r="O932" s="60">
        <f ca="1"/>
        <v>0.82903520707371214</v>
      </c>
    </row>
    <row r="933" spans="14:15" x14ac:dyDescent="0.25">
      <c r="N933" s="60">
        <f ca="1"/>
        <v>0.62700288619603262</v>
      </c>
      <c r="O933" s="60">
        <f ca="1"/>
        <v>0.90180986033457589</v>
      </c>
    </row>
    <row r="934" spans="14:15" x14ac:dyDescent="0.25">
      <c r="N934" s="60">
        <f ca="1"/>
        <v>0.83698391604756051</v>
      </c>
      <c r="O934" s="60">
        <f ca="1"/>
        <v>0.57918000469884912</v>
      </c>
    </row>
    <row r="935" spans="14:15" x14ac:dyDescent="0.25">
      <c r="N935" s="60">
        <f ca="1"/>
        <v>1.022017710305869</v>
      </c>
      <c r="O935" s="60">
        <f ca="1"/>
        <v>1.367412347257388</v>
      </c>
    </row>
    <row r="936" spans="14:15" x14ac:dyDescent="0.25">
      <c r="N936" s="60">
        <f ca="1"/>
        <v>0.42811705843183567</v>
      </c>
      <c r="O936" s="60">
        <f ca="1"/>
        <v>1.0121541373739884</v>
      </c>
    </row>
    <row r="937" spans="14:15" x14ac:dyDescent="0.25">
      <c r="N937" s="60">
        <f ca="1"/>
        <v>0.63466378252313804</v>
      </c>
      <c r="O937" s="60">
        <f ca="1"/>
        <v>0.7916070245815916</v>
      </c>
    </row>
    <row r="938" spans="14:15" x14ac:dyDescent="0.25">
      <c r="N938" s="60">
        <f ca="1"/>
        <v>0.96216385435844465</v>
      </c>
      <c r="O938" s="60">
        <f ca="1"/>
        <v>0.86225129067858342</v>
      </c>
    </row>
    <row r="939" spans="14:15" x14ac:dyDescent="0.25">
      <c r="N939" s="60">
        <f ca="1"/>
        <v>1.4601820761532631</v>
      </c>
      <c r="O939" s="60">
        <f ca="1"/>
        <v>2.0366012122408592</v>
      </c>
    </row>
    <row r="940" spans="14:15" x14ac:dyDescent="0.25">
      <c r="N940" s="60">
        <f ca="1"/>
        <v>0.52187278267760928</v>
      </c>
      <c r="O940" s="60">
        <f ca="1"/>
        <v>0.53703615400399152</v>
      </c>
    </row>
    <row r="941" spans="14:15" x14ac:dyDescent="0.25">
      <c r="N941" s="60">
        <f ca="1"/>
        <v>1.4692445820269964</v>
      </c>
      <c r="O941" s="60">
        <f ca="1"/>
        <v>1.9175038771065016</v>
      </c>
    </row>
    <row r="942" spans="14:15" x14ac:dyDescent="0.25">
      <c r="N942" s="60">
        <f ca="1"/>
        <v>0.73679445166560309</v>
      </c>
      <c r="O942" s="60">
        <f ca="1"/>
        <v>0.72320176984941442</v>
      </c>
    </row>
    <row r="943" spans="14:15" x14ac:dyDescent="0.25">
      <c r="N943" s="60">
        <f ca="1"/>
        <v>1.4674737734718608</v>
      </c>
      <c r="O943" s="60">
        <f ca="1"/>
        <v>1.9267209866142416</v>
      </c>
    </row>
    <row r="944" spans="14:15" x14ac:dyDescent="0.25">
      <c r="N944" s="60">
        <f ca="1"/>
        <v>1.0328474377131953</v>
      </c>
      <c r="O944" s="60">
        <f ca="1"/>
        <v>0.44974883143293898</v>
      </c>
    </row>
    <row r="945" spans="14:15" x14ac:dyDescent="0.25">
      <c r="N945" s="60">
        <f ca="1"/>
        <v>0.70663863053050435</v>
      </c>
      <c r="O945" s="60">
        <f ca="1"/>
        <v>-1.5258733045803274E-2</v>
      </c>
    </row>
    <row r="946" spans="14:15" x14ac:dyDescent="0.25">
      <c r="N946" s="60">
        <f ca="1"/>
        <v>1.2759270763841037</v>
      </c>
      <c r="O946" s="60">
        <f ca="1"/>
        <v>1.0299104627356026</v>
      </c>
    </row>
    <row r="947" spans="14:15" x14ac:dyDescent="0.25">
      <c r="N947" s="60">
        <f ca="1"/>
        <v>0.46571787980913171</v>
      </c>
      <c r="O947" s="60">
        <f ca="1"/>
        <v>1.5198721470710825</v>
      </c>
    </row>
    <row r="948" spans="14:15" x14ac:dyDescent="0.25">
      <c r="N948" s="60">
        <f ca="1"/>
        <v>1.4042283958564326</v>
      </c>
      <c r="O948" s="60">
        <f ca="1"/>
        <v>1.0689960046165128</v>
      </c>
    </row>
    <row r="949" spans="14:15" x14ac:dyDescent="0.25">
      <c r="N949" s="60">
        <f ca="1"/>
        <v>1.7394087374581628</v>
      </c>
      <c r="O949" s="60">
        <f ca="1"/>
        <v>2.2012450652223112</v>
      </c>
    </row>
    <row r="950" spans="14:15" x14ac:dyDescent="0.25">
      <c r="N950" s="60">
        <f ca="1"/>
        <v>0.85104320015820523</v>
      </c>
      <c r="O950" s="60">
        <f ca="1"/>
        <v>0.59429917366556884</v>
      </c>
    </row>
    <row r="951" spans="14:15" x14ac:dyDescent="0.25">
      <c r="N951" s="60">
        <f ca="1"/>
        <v>1.6383508283370958</v>
      </c>
      <c r="O951" s="60">
        <f ca="1"/>
        <v>2.043659801178463</v>
      </c>
    </row>
    <row r="952" spans="14:15" x14ac:dyDescent="0.25">
      <c r="N952" s="60">
        <f ca="1"/>
        <v>0.8745829590477433</v>
      </c>
      <c r="O952" s="60">
        <f ca="1"/>
        <v>1.203428600760458</v>
      </c>
    </row>
    <row r="953" spans="14:15" x14ac:dyDescent="0.25">
      <c r="N953" s="60">
        <f ca="1"/>
        <v>1.0963178833520093</v>
      </c>
      <c r="O953" s="60">
        <f ca="1"/>
        <v>0.8915401852664836</v>
      </c>
    </row>
    <row r="954" spans="14:15" x14ac:dyDescent="0.25">
      <c r="N954" s="60">
        <f ca="1"/>
        <v>1.660311248784377</v>
      </c>
      <c r="O954" s="60">
        <f ca="1"/>
        <v>1.3917251714199863</v>
      </c>
    </row>
    <row r="955" spans="14:15" x14ac:dyDescent="0.25">
      <c r="N955" s="60">
        <f ca="1"/>
        <v>0.73590150869823923</v>
      </c>
      <c r="O955" s="60">
        <f ca="1"/>
        <v>0.89860287595866395</v>
      </c>
    </row>
    <row r="956" spans="14:15" x14ac:dyDescent="0.25">
      <c r="N956" s="60">
        <f ca="1"/>
        <v>1.3165181316946952</v>
      </c>
      <c r="O956" s="60">
        <f ca="1"/>
        <v>2.0569335553821295</v>
      </c>
    </row>
    <row r="957" spans="14:15" x14ac:dyDescent="0.25">
      <c r="N957" s="60">
        <f ca="1"/>
        <v>0.8928575568661008</v>
      </c>
      <c r="O957" s="60">
        <f ca="1"/>
        <v>-0.16169152895624994</v>
      </c>
    </row>
    <row r="958" spans="14:15" x14ac:dyDescent="0.25">
      <c r="N958" s="60">
        <f ca="1"/>
        <v>0.40858052071298012</v>
      </c>
      <c r="O958" s="60">
        <f ca="1"/>
        <v>-4.886300840757718E-2</v>
      </c>
    </row>
    <row r="959" spans="14:15" x14ac:dyDescent="0.25">
      <c r="N959" s="60">
        <f ca="1"/>
        <v>0.53898382151662139</v>
      </c>
      <c r="O959" s="60">
        <f ca="1"/>
        <v>0.43582632877784516</v>
      </c>
    </row>
    <row r="960" spans="14:15" x14ac:dyDescent="0.25">
      <c r="N960" s="60">
        <f ca="1"/>
        <v>1.6054875871053889</v>
      </c>
      <c r="O960" s="60">
        <f ca="1"/>
        <v>1.9275877770716443</v>
      </c>
    </row>
    <row r="961" spans="14:15" x14ac:dyDescent="0.25">
      <c r="N961" s="60">
        <f ca="1"/>
        <v>0.93691787045831831</v>
      </c>
      <c r="O961" s="60">
        <f ca="1"/>
        <v>1.2290192002122549</v>
      </c>
    </row>
    <row r="962" spans="14:15" x14ac:dyDescent="0.25">
      <c r="N962" s="60">
        <f ca="1"/>
        <v>0.91264893066240627</v>
      </c>
      <c r="O962" s="60">
        <f ca="1"/>
        <v>1.1584253683743637</v>
      </c>
    </row>
    <row r="963" spans="14:15" x14ac:dyDescent="0.25">
      <c r="N963" s="60">
        <f ca="1"/>
        <v>0.57239024452788922</v>
      </c>
      <c r="O963" s="60">
        <f ca="1"/>
        <v>0.52396339931378866</v>
      </c>
    </row>
    <row r="964" spans="14:15" x14ac:dyDescent="0.25">
      <c r="N964" s="60">
        <f ca="1"/>
        <v>1.2422380804730615</v>
      </c>
      <c r="O964" s="60">
        <f ca="1"/>
        <v>1.8262160600790864</v>
      </c>
    </row>
    <row r="965" spans="14:15" x14ac:dyDescent="0.25">
      <c r="N965" s="60">
        <f ca="1"/>
        <v>0.44884324952443272</v>
      </c>
      <c r="O965" s="60">
        <f ca="1"/>
        <v>1.3091920479212196</v>
      </c>
    </row>
    <row r="966" spans="14:15" x14ac:dyDescent="0.25">
      <c r="N966" s="60">
        <f ca="1"/>
        <v>1.269556784519932</v>
      </c>
      <c r="O966" s="60">
        <f ca="1"/>
        <v>1.2309547421935709</v>
      </c>
    </row>
    <row r="967" spans="14:15" x14ac:dyDescent="0.25">
      <c r="N967" s="60">
        <f ca="1"/>
        <v>0.4169157713023845</v>
      </c>
      <c r="O967" s="60">
        <f ca="1"/>
        <v>0.38651862532715464</v>
      </c>
    </row>
    <row r="968" spans="14:15" x14ac:dyDescent="0.25">
      <c r="N968" s="60">
        <f ca="1"/>
        <v>1.076236850487162</v>
      </c>
      <c r="O968" s="60">
        <f ca="1"/>
        <v>0.73432222468336916</v>
      </c>
    </row>
    <row r="969" spans="14:15" x14ac:dyDescent="0.25">
      <c r="N969" s="60">
        <f ca="1"/>
        <v>0.95620650437710031</v>
      </c>
      <c r="O969" s="60">
        <f ca="1"/>
        <v>0.69023735461891089</v>
      </c>
    </row>
    <row r="970" spans="14:15" x14ac:dyDescent="0.25">
      <c r="N970" s="60">
        <f ca="1"/>
        <v>1.266489396488311</v>
      </c>
      <c r="O970" s="60">
        <f ca="1"/>
        <v>0.88531419636334552</v>
      </c>
    </row>
    <row r="971" spans="14:15" x14ac:dyDescent="0.25">
      <c r="N971" s="60">
        <f ca="1"/>
        <v>1.2027131342605057</v>
      </c>
      <c r="O971" s="60">
        <f ca="1"/>
        <v>0.73757543597583997</v>
      </c>
    </row>
    <row r="972" spans="14:15" x14ac:dyDescent="0.25">
      <c r="N972" s="60">
        <f ca="1"/>
        <v>1.1759584413470932</v>
      </c>
      <c r="O972" s="60">
        <f ca="1"/>
        <v>0.61530752872641681</v>
      </c>
    </row>
    <row r="973" spans="14:15" x14ac:dyDescent="0.25">
      <c r="N973" s="60">
        <f ca="1"/>
        <v>0.3071984319760212</v>
      </c>
      <c r="O973" s="60">
        <f ca="1"/>
        <v>0.38365237556934062</v>
      </c>
    </row>
    <row r="974" spans="14:15" x14ac:dyDescent="0.25">
      <c r="N974" s="60">
        <f ca="1"/>
        <v>2.5993590901116659</v>
      </c>
      <c r="O974" s="60">
        <f ca="1"/>
        <v>2.4248540743002289</v>
      </c>
    </row>
    <row r="975" spans="14:15" x14ac:dyDescent="0.25">
      <c r="N975" s="60">
        <f ca="1"/>
        <v>1.0463160280049186</v>
      </c>
      <c r="O975" s="60">
        <f ca="1"/>
        <v>0.78259082813073699</v>
      </c>
    </row>
    <row r="976" spans="14:15" x14ac:dyDescent="0.25">
      <c r="N976" s="60">
        <f ca="1"/>
        <v>0.51151307495973175</v>
      </c>
      <c r="O976" s="60">
        <f ca="1"/>
        <v>0.1891094235879538</v>
      </c>
    </row>
    <row r="977" spans="14:15" x14ac:dyDescent="0.25">
      <c r="N977" s="60">
        <f ca="1"/>
        <v>1.4429026619855241</v>
      </c>
      <c r="O977" s="60">
        <f ca="1"/>
        <v>1.7925712475531266</v>
      </c>
    </row>
    <row r="978" spans="14:15" x14ac:dyDescent="0.25">
      <c r="N978" s="60">
        <f ca="1"/>
        <v>0.58116488329603522</v>
      </c>
      <c r="O978" s="60">
        <f ca="1"/>
        <v>0.93895274009830154</v>
      </c>
    </row>
    <row r="979" spans="14:15" x14ac:dyDescent="0.25">
      <c r="N979" s="60">
        <f ca="1"/>
        <v>2.1226979146126661</v>
      </c>
      <c r="O979" s="60">
        <f ca="1"/>
        <v>2.6407851400176967</v>
      </c>
    </row>
    <row r="980" spans="14:15" x14ac:dyDescent="0.25">
      <c r="N980" s="60">
        <f ca="1"/>
        <v>1.4259769618145555</v>
      </c>
      <c r="O980" s="60">
        <f ca="1"/>
        <v>0.91274315620737434</v>
      </c>
    </row>
    <row r="981" spans="14:15" x14ac:dyDescent="0.25">
      <c r="N981" s="60">
        <f ca="1"/>
        <v>1.2867603540568984</v>
      </c>
      <c r="O981" s="60">
        <f ca="1"/>
        <v>0.71907625497481387</v>
      </c>
    </row>
    <row r="982" spans="14:15" x14ac:dyDescent="0.25">
      <c r="N982" s="60">
        <f ca="1"/>
        <v>0.75164883825877959</v>
      </c>
      <c r="O982" s="60">
        <f ca="1"/>
        <v>0.9652035231040581</v>
      </c>
    </row>
    <row r="983" spans="14:15" x14ac:dyDescent="0.25">
      <c r="N983" s="60">
        <f ca="1"/>
        <v>1.8907945196395373</v>
      </c>
      <c r="O983" s="60">
        <f ca="1"/>
        <v>2.0088921379189033</v>
      </c>
    </row>
    <row r="984" spans="14:15" x14ac:dyDescent="0.25">
      <c r="N984" s="60">
        <f ca="1"/>
        <v>1.0296347361270985</v>
      </c>
      <c r="O984" s="60">
        <f ca="1"/>
        <v>1.2355597254091155</v>
      </c>
    </row>
    <row r="985" spans="14:15" x14ac:dyDescent="0.25">
      <c r="N985" s="60">
        <f ca="1"/>
        <v>0.47143872999907988</v>
      </c>
      <c r="O985" s="60">
        <f ca="1"/>
        <v>8.6539254225423468E-2</v>
      </c>
    </row>
    <row r="986" spans="14:15" x14ac:dyDescent="0.25">
      <c r="N986" s="60">
        <f ca="1"/>
        <v>0.9555516985026673</v>
      </c>
      <c r="O986" s="60">
        <f ca="1"/>
        <v>0.37785118646449756</v>
      </c>
    </row>
    <row r="987" spans="14:15" x14ac:dyDescent="0.25">
      <c r="N987" s="60">
        <f ca="1"/>
        <v>0.33924021615802796</v>
      </c>
      <c r="O987" s="60">
        <f ca="1"/>
        <v>0.22414872149569279</v>
      </c>
    </row>
    <row r="988" spans="14:15" x14ac:dyDescent="0.25">
      <c r="N988" s="60">
        <f ca="1"/>
        <v>0.97486542919451269</v>
      </c>
      <c r="O988" s="60">
        <f ca="1"/>
        <v>0.54103412985777133</v>
      </c>
    </row>
    <row r="989" spans="14:15" x14ac:dyDescent="0.25">
      <c r="N989" s="60">
        <f ca="1"/>
        <v>0.84266569211569042</v>
      </c>
      <c r="O989" s="60">
        <f ca="1"/>
        <v>0.72150566358499979</v>
      </c>
    </row>
    <row r="990" spans="14:15" x14ac:dyDescent="0.25">
      <c r="N990" s="60">
        <f ca="1"/>
        <v>0.30057061322597656</v>
      </c>
      <c r="O990" s="60">
        <f ca="1"/>
        <v>6.2838859461154944E-2</v>
      </c>
    </row>
    <row r="991" spans="14:15" x14ac:dyDescent="0.25">
      <c r="N991" s="60">
        <f ca="1"/>
        <v>0.44617687197659295</v>
      </c>
      <c r="O991" s="60">
        <f ca="1"/>
        <v>0.5749457100407539</v>
      </c>
    </row>
    <row r="992" spans="14:15" x14ac:dyDescent="0.25">
      <c r="N992" s="60">
        <f ca="1"/>
        <v>0.80520733563391422</v>
      </c>
      <c r="O992" s="60">
        <f ca="1"/>
        <v>0.72289207425122126</v>
      </c>
    </row>
    <row r="993" spans="14:15" x14ac:dyDescent="0.25">
      <c r="N993" s="60">
        <f ca="1"/>
        <v>1.7246122435286348</v>
      </c>
      <c r="O993" s="60">
        <f ca="1"/>
        <v>1.3886373551147826</v>
      </c>
    </row>
    <row r="994" spans="14:15" x14ac:dyDescent="0.25">
      <c r="N994" s="60">
        <f ca="1"/>
        <v>1.6495310425755194</v>
      </c>
      <c r="O994" s="60">
        <f ca="1"/>
        <v>1.7768433515991315</v>
      </c>
    </row>
    <row r="995" spans="14:15" x14ac:dyDescent="0.25">
      <c r="N995" s="60">
        <f ca="1"/>
        <v>0.62990498443978249</v>
      </c>
      <c r="O995" s="60">
        <f ca="1"/>
        <v>1.0056927861340419</v>
      </c>
    </row>
    <row r="996" spans="14:15" x14ac:dyDescent="0.25">
      <c r="N996" s="60">
        <f ca="1"/>
        <v>0.81856460121007324</v>
      </c>
      <c r="O996" s="60">
        <f ca="1"/>
        <v>0.36747288162367564</v>
      </c>
    </row>
    <row r="997" spans="14:15" x14ac:dyDescent="0.25">
      <c r="N997" s="60">
        <f ca="1"/>
        <v>1.4786208765486422</v>
      </c>
      <c r="O997" s="60">
        <f ca="1"/>
        <v>1.6204127674333773</v>
      </c>
    </row>
    <row r="998" spans="14:15" x14ac:dyDescent="0.25">
      <c r="N998" s="60">
        <f ca="1"/>
        <v>0.85877529565099964</v>
      </c>
      <c r="O998" s="60">
        <f ca="1"/>
        <v>1.05647277944049</v>
      </c>
    </row>
    <row r="999" spans="14:15" x14ac:dyDescent="0.25">
      <c r="N999" s="60">
        <f ca="1"/>
        <v>0.50426031000358951</v>
      </c>
      <c r="O999" s="60">
        <f ca="1"/>
        <v>0.41921888882344516</v>
      </c>
    </row>
    <row r="1000" spans="14:15" x14ac:dyDescent="0.25">
      <c r="N1000" s="60">
        <f ca="1"/>
        <v>0.57280192488998749</v>
      </c>
      <c r="O1000" s="60">
        <f ca="1"/>
        <v>1.1739493236419385</v>
      </c>
    </row>
    <row r="1001" spans="14:15" x14ac:dyDescent="0.25">
      <c r="N1001" s="60">
        <f ca="1"/>
        <v>1.6618805910195729</v>
      </c>
      <c r="O1001" s="60">
        <f ca="1"/>
        <v>1.2744964079591061</v>
      </c>
    </row>
    <row r="1002" spans="14:15" x14ac:dyDescent="0.25">
      <c r="N1002" s="60">
        <f ca="1"/>
        <v>1.2685801074465795</v>
      </c>
      <c r="O1002" s="60">
        <f ca="1"/>
        <v>1.5587655548576049</v>
      </c>
    </row>
    <row r="1003" spans="14:15" x14ac:dyDescent="0.25">
      <c r="N1003" s="60">
        <f ca="1"/>
        <v>0.7411976408302603</v>
      </c>
      <c r="O1003" s="60">
        <f ca="1"/>
        <v>0.54566776664478511</v>
      </c>
    </row>
    <row r="1004" spans="14:15" x14ac:dyDescent="0.25">
      <c r="N1004" s="60">
        <f ca="1"/>
        <v>0.31994697373819392</v>
      </c>
      <c r="O1004" s="60">
        <f ca="1"/>
        <v>0.34615740301832337</v>
      </c>
    </row>
    <row r="1005" spans="14:15" x14ac:dyDescent="0.25">
      <c r="N1005" s="60">
        <f ca="1"/>
        <v>0.286364081050414</v>
      </c>
      <c r="O1005" s="60">
        <f ca="1"/>
        <v>7.3873225376831081E-2</v>
      </c>
    </row>
    <row r="1006" spans="14:15" x14ac:dyDescent="0.25">
      <c r="N1006" s="60">
        <f ca="1"/>
        <v>1.1526733979700088</v>
      </c>
      <c r="O1006" s="60">
        <f ca="1"/>
        <v>1.4515791916865823</v>
      </c>
    </row>
    <row r="1007" spans="14:15" x14ac:dyDescent="0.25">
      <c r="N1007" s="60">
        <f ca="1"/>
        <v>0.91196258262919527</v>
      </c>
      <c r="O1007" s="60">
        <f ca="1"/>
        <v>0.86729685525552924</v>
      </c>
    </row>
    <row r="1008" spans="14:15" x14ac:dyDescent="0.25">
      <c r="N1008" s="60">
        <f ca="1"/>
        <v>0.96576751751304857</v>
      </c>
      <c r="O1008" s="60">
        <f ca="1"/>
        <v>0.44026969495377632</v>
      </c>
    </row>
    <row r="1009" spans="14:15" x14ac:dyDescent="0.25">
      <c r="N1009" s="60">
        <f ca="1"/>
        <v>1.4319956670417746</v>
      </c>
      <c r="O1009" s="60">
        <f ca="1"/>
        <v>1.3768392124297471</v>
      </c>
    </row>
    <row r="1010" spans="14:15" x14ac:dyDescent="0.25">
      <c r="N1010" s="60">
        <f ca="1"/>
        <v>0.50429897396724133</v>
      </c>
      <c r="O1010" s="60">
        <f ca="1"/>
        <v>0.54966147158066347</v>
      </c>
    </row>
    <row r="1011" spans="14:15" x14ac:dyDescent="0.25">
      <c r="N1011" s="60">
        <f ca="1"/>
        <v>0.38963383677104424</v>
      </c>
      <c r="O1011" s="60">
        <f ca="1"/>
        <v>-0.13231161367348909</v>
      </c>
    </row>
    <row r="1012" spans="14:15" x14ac:dyDescent="0.25">
      <c r="N1012" s="60">
        <f ca="1"/>
        <v>1.4572009141308011</v>
      </c>
      <c r="O1012" s="60">
        <f ca="1"/>
        <v>0.90570940496517105</v>
      </c>
    </row>
    <row r="1013" spans="14:15" x14ac:dyDescent="0.25">
      <c r="N1013" s="60">
        <f ca="1"/>
        <v>1.2858401267196042</v>
      </c>
      <c r="O1013" s="60">
        <f ca="1"/>
        <v>1.016382223673451</v>
      </c>
    </row>
    <row r="1014" spans="14:15" x14ac:dyDescent="0.25">
      <c r="N1014" s="60">
        <f ca="1"/>
        <v>1.5384988523524996</v>
      </c>
      <c r="O1014" s="60">
        <f ca="1"/>
        <v>1.9726982523447152</v>
      </c>
    </row>
    <row r="1015" spans="14:15" x14ac:dyDescent="0.25">
      <c r="N1015" s="60">
        <f ca="1"/>
        <v>0.70584445379420202</v>
      </c>
      <c r="O1015" s="60">
        <f ca="1"/>
        <v>0.30039822725146381</v>
      </c>
    </row>
    <row r="1016" spans="14:15" x14ac:dyDescent="0.25">
      <c r="N1016" s="60">
        <f ca="1"/>
        <v>0.94741798652951648</v>
      </c>
      <c r="O1016" s="60">
        <f ca="1"/>
        <v>1.2187027931243988</v>
      </c>
    </row>
    <row r="1017" spans="14:15" x14ac:dyDescent="0.25">
      <c r="N1017" s="60">
        <f ca="1"/>
        <v>0.31201481817218585</v>
      </c>
      <c r="O1017" s="60">
        <f ca="1"/>
        <v>2.82720506871183E-2</v>
      </c>
    </row>
    <row r="1018" spans="14:15" x14ac:dyDescent="0.25">
      <c r="N1018" s="60">
        <f ca="1"/>
        <v>1.4741460025338577</v>
      </c>
      <c r="O1018" s="60">
        <f ca="1"/>
        <v>1.7759409450943204</v>
      </c>
    </row>
    <row r="1019" spans="14:15" x14ac:dyDescent="0.25">
      <c r="N1019" s="60">
        <f ca="1"/>
        <v>0.60705550188912294</v>
      </c>
      <c r="O1019" s="60">
        <f ca="1"/>
        <v>0.42748913304363395</v>
      </c>
    </row>
    <row r="1020" spans="14:15" x14ac:dyDescent="0.25">
      <c r="N1020" s="60">
        <f ca="1"/>
        <v>0.8206713629162804</v>
      </c>
      <c r="O1020" s="60">
        <f ca="1"/>
        <v>0.64319093450899056</v>
      </c>
    </row>
    <row r="1021" spans="14:15" x14ac:dyDescent="0.25">
      <c r="N1021" s="60">
        <f ca="1"/>
        <v>0.65439056889787506</v>
      </c>
      <c r="O1021" s="60">
        <f ca="1"/>
        <v>0.55918950152170377</v>
      </c>
    </row>
    <row r="1022" spans="14:15" x14ac:dyDescent="0.25">
      <c r="N1022" s="60">
        <f ca="1"/>
        <v>1.948591641040436</v>
      </c>
      <c r="O1022" s="60">
        <f ca="1"/>
        <v>1.8641294173738419</v>
      </c>
    </row>
    <row r="1023" spans="14:15" x14ac:dyDescent="0.25">
      <c r="N1023" s="60">
        <f ca="1"/>
        <v>0.94052323995294218</v>
      </c>
      <c r="O1023" s="60">
        <f ca="1"/>
        <v>0.80855620489449187</v>
      </c>
    </row>
    <row r="1024" spans="14:15" x14ac:dyDescent="0.25">
      <c r="N1024" s="60">
        <f ca="1"/>
        <v>0.844227502064684</v>
      </c>
      <c r="O1024" s="60">
        <f ca="1"/>
        <v>0.90997261792969697</v>
      </c>
    </row>
    <row r="1025" spans="14:15" x14ac:dyDescent="0.25">
      <c r="N1025" s="60">
        <f ca="1"/>
        <v>0.90875975967075695</v>
      </c>
      <c r="O1025" s="60">
        <f ca="1"/>
        <v>1.5211205190713191</v>
      </c>
    </row>
    <row r="1026" spans="14:15" x14ac:dyDescent="0.25">
      <c r="N1026" s="60">
        <f ca="1"/>
        <v>0.29155433725285224</v>
      </c>
      <c r="O1026" s="60">
        <f ca="1"/>
        <v>0.83209409122240729</v>
      </c>
    </row>
    <row r="1027" spans="14:15" x14ac:dyDescent="0.25">
      <c r="N1027" s="60">
        <f ca="1"/>
        <v>1.1406235316223434</v>
      </c>
      <c r="O1027" s="60">
        <f ca="1"/>
        <v>0.89657733821142582</v>
      </c>
    </row>
    <row r="1028" spans="14:15" x14ac:dyDescent="0.25">
      <c r="N1028" s="60">
        <f ca="1"/>
        <v>0.76362287411510665</v>
      </c>
      <c r="O1028" s="60">
        <f ca="1"/>
        <v>0.65704714668868258</v>
      </c>
    </row>
    <row r="1029" spans="14:15" x14ac:dyDescent="0.25">
      <c r="N1029" s="60">
        <f ca="1"/>
        <v>1.0258395391328392</v>
      </c>
      <c r="O1029" s="60">
        <f ca="1"/>
        <v>0.7498970834592088</v>
      </c>
    </row>
    <row r="1030" spans="14:15" x14ac:dyDescent="0.25">
      <c r="N1030" s="60">
        <f ca="1"/>
        <v>0.84313354334309232</v>
      </c>
      <c r="O1030" s="60">
        <f ca="1"/>
        <v>0.51870063604229988</v>
      </c>
    </row>
    <row r="1031" spans="14:15" x14ac:dyDescent="0.25">
      <c r="N1031" s="60">
        <f ca="1"/>
        <v>0.65421513992008573</v>
      </c>
      <c r="O1031" s="60">
        <f ca="1"/>
        <v>0.47747446387798875</v>
      </c>
    </row>
    <row r="1032" spans="14:15" x14ac:dyDescent="0.25">
      <c r="N1032" s="60">
        <f ca="1"/>
        <v>0.74549168350613826</v>
      </c>
      <c r="O1032" s="60">
        <f ca="1"/>
        <v>0.59850156727038339</v>
      </c>
    </row>
    <row r="1033" spans="14:15" x14ac:dyDescent="0.25">
      <c r="N1033" s="60">
        <f ca="1"/>
        <v>0.61995913196741392</v>
      </c>
      <c r="O1033" s="60">
        <f ca="1"/>
        <v>0.3477289092313916</v>
      </c>
    </row>
    <row r="1034" spans="14:15" x14ac:dyDescent="0.25">
      <c r="N1034" s="60">
        <f ca="1"/>
        <v>0.52075950690732398</v>
      </c>
      <c r="O1034" s="60">
        <f ca="1"/>
        <v>0.29714581173566401</v>
      </c>
    </row>
  </sheetData>
  <mergeCells count="1">
    <mergeCell ref="B2:E2"/>
  </mergeCells>
  <conditionalFormatting sqref="B8:C8">
    <cfRule type="expression" dxfId="1" priority="1">
      <formula>IF($C$7&lt;&gt;"Manual",TRUE,FALSE)</formula>
    </cfRule>
  </conditionalFormatting>
  <conditionalFormatting sqref="B9:C9">
    <cfRule type="expression" dxfId="0" priority="2">
      <formula>IF($C$7&lt;&gt;"PFA",TRUE,FALSE)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A24A351-92F2-4475-8472-639261C36E7D}">
          <x14:formula1>
            <xm:f>Lookups!$A$2:$A$5</xm:f>
          </x14:formula1>
          <xm:sqref>D3</xm:sqref>
        </x14:dataValidation>
        <x14:dataValidation type="list" allowBlank="1" showInputMessage="1" showErrorMessage="1" xr:uid="{B8571A31-ACC7-4D1F-A8DA-6A335FCA7B9E}">
          <x14:formula1>
            <xm:f>Lookups!$B$2:$B$5</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A2DD-C884-419C-8E8A-B0E37BDF888E}">
  <dimension ref="B1:Q104"/>
  <sheetViews>
    <sheetView showGridLines="0" workbookViewId="0">
      <selection activeCell="Q3" sqref="Q3"/>
    </sheetView>
  </sheetViews>
  <sheetFormatPr defaultRowHeight="15" x14ac:dyDescent="0.25"/>
  <cols>
    <col min="1" max="1" width="4.42578125" customWidth="1"/>
    <col min="2" max="2" width="35.28515625" customWidth="1"/>
    <col min="3" max="3" width="11.85546875" customWidth="1"/>
    <col min="4" max="4" width="3.42578125" customWidth="1"/>
    <col min="5" max="5" width="5.5703125" customWidth="1"/>
    <col min="7" max="7" width="11.85546875" customWidth="1"/>
    <col min="8" max="8" width="11" customWidth="1"/>
    <col min="10" max="10" width="23.7109375" style="67" hidden="1" customWidth="1"/>
    <col min="11" max="11" width="9.5703125" style="67" hidden="1" customWidth="1"/>
    <col min="12" max="13" width="9.140625" style="67" hidden="1" customWidth="1"/>
    <col min="14" max="16" width="12" style="67" hidden="1" customWidth="1"/>
  </cols>
  <sheetData>
    <row r="1" spans="2:17" x14ac:dyDescent="0.25">
      <c r="B1" s="14" t="s">
        <v>86</v>
      </c>
    </row>
    <row r="2" spans="2:17" ht="15.75" thickBot="1" x14ac:dyDescent="0.3"/>
    <row r="3" spans="2:17" ht="15.75" thickBot="1" x14ac:dyDescent="0.3">
      <c r="B3" s="133" t="s">
        <v>11</v>
      </c>
      <c r="C3" s="134"/>
      <c r="D3" s="134"/>
      <c r="E3" s="135"/>
      <c r="Q3" s="73" t="s">
        <v>69</v>
      </c>
    </row>
    <row r="4" spans="2:17" x14ac:dyDescent="0.25">
      <c r="B4" s="75" t="s">
        <v>2</v>
      </c>
      <c r="C4" s="76">
        <v>0</v>
      </c>
      <c r="D4" s="77" t="s">
        <v>3</v>
      </c>
      <c r="E4" s="78">
        <v>8</v>
      </c>
      <c r="J4" s="68" t="s">
        <v>21</v>
      </c>
      <c r="K4" s="69" cm="1">
        <f t="array" ref="K4">TOL_LOWER_LIMIT(C4,D4,E4)</f>
        <v>-8</v>
      </c>
      <c r="M4" s="67" t="s">
        <v>71</v>
      </c>
      <c r="N4" s="67" t="s">
        <v>75</v>
      </c>
      <c r="O4" s="67" t="s">
        <v>12</v>
      </c>
      <c r="P4" s="67" t="s">
        <v>14</v>
      </c>
    </row>
    <row r="5" spans="2:17" x14ac:dyDescent="0.25">
      <c r="B5" s="1" t="s">
        <v>5</v>
      </c>
      <c r="C5" s="74">
        <v>3</v>
      </c>
      <c r="D5" s="53"/>
      <c r="E5" s="3"/>
      <c r="J5" s="68" t="s">
        <v>22</v>
      </c>
      <c r="K5" s="69" cm="1">
        <f t="array" ref="K5">TOL_UPPER_LIMIT(C4,D4,E4)</f>
        <v>8</v>
      </c>
      <c r="M5" s="67" cm="1">
        <f t="array" ref="M5:M104">LINSPACE(K12,K13,100)</f>
        <v>-16</v>
      </c>
      <c r="N5" s="67" cm="1">
        <f t="array" ref="N5:N104">_xlfn.NORM.DIST($K$4,_xlfn.ANCHORARRAY(M5),$C$5/2,TRUE)</f>
        <v>0.99999995178696632</v>
      </c>
      <c r="O5" s="67" cm="1">
        <f t="array" ref="O5:O104">1-_xlfn.NORM.DIST($K5,_xlfn.ANCHORARRAY(M5),$C$5/2,TRUE)</f>
        <v>0</v>
      </c>
      <c r="P5" s="67" cm="1">
        <f t="array" ref="P5:P104">1-(IFERROR(_xlfn.ANCHORARRAY(N5),0)+IFERROR(_xlfn.ANCHORARRAY(O5),0))</f>
        <v>4.8213033676525185E-8</v>
      </c>
    </row>
    <row r="6" spans="2:17" ht="15.75" thickBot="1" x14ac:dyDescent="0.3">
      <c r="B6" s="33" t="s">
        <v>77</v>
      </c>
      <c r="C6" s="79">
        <v>0.75</v>
      </c>
      <c r="D6" s="80"/>
      <c r="E6" s="34"/>
      <c r="M6" s="67">
        <v>-15.676767676767676</v>
      </c>
      <c r="N6" s="67">
        <v>0.99999984547689091</v>
      </c>
      <c r="O6" s="67">
        <v>0</v>
      </c>
      <c r="P6" s="67">
        <v>1.545231090860355E-7</v>
      </c>
    </row>
    <row r="7" spans="2:17" ht="15.75" thickBot="1" x14ac:dyDescent="0.3">
      <c r="J7" s="67" t="s">
        <v>80</v>
      </c>
      <c r="K7" s="67">
        <f>IFERROR(K4,K5-2*C5)</f>
        <v>-8</v>
      </c>
      <c r="M7" s="67">
        <v>-15.353535353535353</v>
      </c>
      <c r="N7" s="67">
        <v>0.99999952653204427</v>
      </c>
      <c r="O7" s="67">
        <v>0</v>
      </c>
      <c r="P7" s="67">
        <v>4.7346795573055545E-7</v>
      </c>
    </row>
    <row r="8" spans="2:17" x14ac:dyDescent="0.25">
      <c r="B8" s="81" t="s">
        <v>25</v>
      </c>
      <c r="C8" s="82">
        <f>K17</f>
        <v>-6.9882653747058772</v>
      </c>
      <c r="D8" s="83"/>
      <c r="E8" s="84"/>
      <c r="J8" s="67" t="s">
        <v>81</v>
      </c>
      <c r="K8" s="67">
        <f>IFERROR(K5,K4+2*C5)</f>
        <v>8</v>
      </c>
      <c r="M8" s="67">
        <v>-15.030303030303029</v>
      </c>
      <c r="N8" s="67">
        <v>0.99999861291582437</v>
      </c>
      <c r="O8" s="67">
        <v>0</v>
      </c>
      <c r="P8" s="67">
        <v>1.387084175630271E-6</v>
      </c>
    </row>
    <row r="9" spans="2:17" ht="15.75" thickBot="1" x14ac:dyDescent="0.3">
      <c r="B9" s="85" t="s">
        <v>26</v>
      </c>
      <c r="C9" s="86">
        <f>K18</f>
        <v>6.9882653747058772</v>
      </c>
      <c r="D9" s="87"/>
      <c r="E9" s="88"/>
      <c r="M9" s="67">
        <v>-14.707070707070706</v>
      </c>
      <c r="N9" s="67">
        <v>0.99999611418536172</v>
      </c>
      <c r="O9" s="67">
        <v>0</v>
      </c>
      <c r="P9" s="67">
        <v>3.8858146382825254E-6</v>
      </c>
    </row>
    <row r="10" spans="2:17" x14ac:dyDescent="0.25">
      <c r="M10" s="67">
        <v>-14.383838383838382</v>
      </c>
      <c r="N10" s="67">
        <v>0.99998958915170277</v>
      </c>
      <c r="O10" s="67">
        <v>0</v>
      </c>
      <c r="P10" s="67">
        <v>1.0410848297226494E-5</v>
      </c>
    </row>
    <row r="11" spans="2:17" x14ac:dyDescent="0.25">
      <c r="J11" s="67" t="s">
        <v>73</v>
      </c>
      <c r="K11" s="71">
        <f>K8-K7</f>
        <v>16</v>
      </c>
      <c r="M11" s="67">
        <v>-14.060606060606059</v>
      </c>
      <c r="N11" s="67">
        <v>0.99997332040269171</v>
      </c>
      <c r="O11" s="67">
        <v>0</v>
      </c>
      <c r="P11" s="67">
        <v>2.6679597308287839E-5</v>
      </c>
    </row>
    <row r="12" spans="2:17" x14ac:dyDescent="0.25">
      <c r="J12" s="67" t="s">
        <v>72</v>
      </c>
      <c r="K12" s="67">
        <f>K7-K11/2</f>
        <v>-16</v>
      </c>
      <c r="M12" s="67">
        <v>-13.737373737373735</v>
      </c>
      <c r="N12" s="67">
        <v>0.999934591612615</v>
      </c>
      <c r="O12" s="67">
        <v>0</v>
      </c>
      <c r="P12" s="67">
        <v>6.5408387385001987E-5</v>
      </c>
    </row>
    <row r="13" spans="2:17" x14ac:dyDescent="0.25">
      <c r="J13" s="67" t="s">
        <v>74</v>
      </c>
      <c r="K13" s="67">
        <f>K8+K11/2</f>
        <v>16</v>
      </c>
      <c r="M13" s="67">
        <v>-13.414141414141412</v>
      </c>
      <c r="N13" s="67">
        <v>0.99984656330277832</v>
      </c>
      <c r="O13" s="67">
        <v>0</v>
      </c>
      <c r="P13" s="67">
        <v>1.5343669722167608E-4</v>
      </c>
    </row>
    <row r="14" spans="2:17" x14ac:dyDescent="0.25">
      <c r="M14" s="67">
        <v>-13.090909090909088</v>
      </c>
      <c r="N14" s="67">
        <v>0.99965552531158319</v>
      </c>
      <c r="O14" s="67">
        <v>0</v>
      </c>
      <c r="P14" s="67">
        <v>3.4447468841680706E-4</v>
      </c>
    </row>
    <row r="15" spans="2:17" x14ac:dyDescent="0.25">
      <c r="J15" s="67" t="s">
        <v>78</v>
      </c>
      <c r="K15" s="67" cm="1">
        <f t="array" ref="K15">_xlfn.LAMBDA(_xlpm.tl,_xlpm.stdunc,_xlpm.target,
    L_SOLVE_NR(
        _xlfn.LAMBDA(_xlpm.x,
            1-(_xlfn.NORM.DIST(_xlpm.tl,_xlpm.tl+_xlpm.x,_xlpm.stdunc,TRUE))
        ),
        0, _xlpm.target, _xlpm.stdunc/500
    )
)(K4,C5/2,C6)</f>
        <v>1.0117346252941226</v>
      </c>
      <c r="M15" s="67">
        <v>-12.767676767676765</v>
      </c>
      <c r="N15" s="67">
        <v>0.99925967924379544</v>
      </c>
      <c r="O15" s="67">
        <v>0</v>
      </c>
      <c r="P15" s="67">
        <v>7.4032075620455995E-4</v>
      </c>
    </row>
    <row r="16" spans="2:17" x14ac:dyDescent="0.25">
      <c r="J16" s="67" t="s">
        <v>79</v>
      </c>
      <c r="K16" s="67" cm="1">
        <f t="array" ref="K16">_xlfn.LAMBDA(_xlpm.tu,_xlpm.stdunc,_xlpm.target,
    L_SOLVE_NR(
        _xlfn.LAMBDA(_xlpm.x,
            _xlfn.NORM.DIST(_xlpm.tu,_xlpm.tu-_xlpm.x,_xlpm.stdunc,TRUE)
        ),
        0, _xlpm.target, _xlpm.stdunc/500
    )
)(K5,C5/2,C6)</f>
        <v>1.0117346252941226</v>
      </c>
      <c r="M16" s="67">
        <v>-12.444444444444441</v>
      </c>
      <c r="N16" s="67">
        <v>0.99847653385800017</v>
      </c>
      <c r="O16" s="67">
        <v>0</v>
      </c>
      <c r="P16" s="67">
        <v>1.5234661419998297E-3</v>
      </c>
    </row>
    <row r="17" spans="10:16" x14ac:dyDescent="0.25">
      <c r="J17" s="71" t="s">
        <v>25</v>
      </c>
      <c r="K17" s="71">
        <f>K4+K15</f>
        <v>-6.9882653747058772</v>
      </c>
      <c r="M17" s="67">
        <v>-12.121212121212118</v>
      </c>
      <c r="N17" s="67">
        <v>0.99699719332839698</v>
      </c>
      <c r="O17" s="67">
        <v>0</v>
      </c>
      <c r="P17" s="67">
        <v>3.00280667160302E-3</v>
      </c>
    </row>
    <row r="18" spans="10:16" x14ac:dyDescent="0.25">
      <c r="J18" s="71" t="s">
        <v>26</v>
      </c>
      <c r="K18" s="71">
        <f>K5-K16</f>
        <v>6.9882653747058772</v>
      </c>
      <c r="M18" s="67">
        <v>-11.797979797979794</v>
      </c>
      <c r="N18" s="67">
        <v>0.99432908262388653</v>
      </c>
      <c r="O18" s="67">
        <v>0</v>
      </c>
      <c r="P18" s="67">
        <v>5.6709173761134712E-3</v>
      </c>
    </row>
    <row r="19" spans="10:16" x14ac:dyDescent="0.25">
      <c r="M19" s="67">
        <v>-11.47474747474747</v>
      </c>
      <c r="N19" s="67">
        <v>0.98973446187481817</v>
      </c>
      <c r="O19" s="67">
        <v>0</v>
      </c>
      <c r="P19" s="67">
        <v>1.0265538125181828E-2</v>
      </c>
    </row>
    <row r="20" spans="10:16" x14ac:dyDescent="0.25">
      <c r="M20" s="67">
        <v>-11.151515151515147</v>
      </c>
      <c r="N20" s="67">
        <v>0.98217996021719467</v>
      </c>
      <c r="O20" s="67">
        <v>0</v>
      </c>
      <c r="P20" s="67">
        <v>1.782003978280533E-2</v>
      </c>
    </row>
    <row r="21" spans="10:16" x14ac:dyDescent="0.25">
      <c r="J21" s="67" t="s">
        <v>76</v>
      </c>
      <c r="M21" s="67">
        <v>-10.828282828282823</v>
      </c>
      <c r="N21" s="67">
        <v>0.97032029373988227</v>
      </c>
      <c r="O21" s="67">
        <v>0</v>
      </c>
      <c r="P21" s="67">
        <v>2.9679706260117733E-2</v>
      </c>
    </row>
    <row r="22" spans="10:16" x14ac:dyDescent="0.25">
      <c r="J22" s="67">
        <v>0</v>
      </c>
      <c r="K22" s="71">
        <f>K4</f>
        <v>-8</v>
      </c>
      <c r="M22" s="67">
        <v>-10.5050505050505</v>
      </c>
      <c r="N22" s="67">
        <v>0.95254364892733967</v>
      </c>
      <c r="O22" s="67">
        <v>0</v>
      </c>
      <c r="P22" s="67">
        <v>4.745635107266033E-2</v>
      </c>
    </row>
    <row r="23" spans="10:16" x14ac:dyDescent="0.25">
      <c r="J23" s="67">
        <v>1.2</v>
      </c>
      <c r="K23" s="71">
        <f>K4</f>
        <v>-8</v>
      </c>
      <c r="M23" s="67">
        <v>-10.181818181818176</v>
      </c>
      <c r="N23" s="67">
        <v>0.92710242952401145</v>
      </c>
      <c r="O23" s="67">
        <v>0</v>
      </c>
      <c r="P23" s="67">
        <v>7.2897570475988549E-2</v>
      </c>
    </row>
    <row r="24" spans="10:16" x14ac:dyDescent="0.25">
      <c r="M24" s="67">
        <v>-9.8585858585858528</v>
      </c>
      <c r="N24" s="67">
        <v>0.89233784935559479</v>
      </c>
      <c r="O24" s="67">
        <v>0</v>
      </c>
      <c r="P24" s="67">
        <v>0.10766215064440521</v>
      </c>
    </row>
    <row r="25" spans="10:16" x14ac:dyDescent="0.25">
      <c r="J25" s="67">
        <v>0</v>
      </c>
      <c r="K25" s="71">
        <f>K5</f>
        <v>8</v>
      </c>
      <c r="M25" s="67">
        <v>-9.5353535353535293</v>
      </c>
      <c r="N25" s="67">
        <v>0.84698055873806799</v>
      </c>
      <c r="O25" s="67">
        <v>0</v>
      </c>
      <c r="P25" s="67">
        <v>0.15301944126193201</v>
      </c>
    </row>
    <row r="26" spans="10:16" x14ac:dyDescent="0.25">
      <c r="J26" s="67">
        <v>1.2</v>
      </c>
      <c r="K26" s="71">
        <f>K5</f>
        <v>8</v>
      </c>
      <c r="M26" s="67">
        <v>-9.2121212121212057</v>
      </c>
      <c r="N26" s="67">
        <v>0.79047796750180466</v>
      </c>
      <c r="O26" s="67">
        <v>0</v>
      </c>
      <c r="P26" s="67">
        <v>0.20952203249819534</v>
      </c>
    </row>
    <row r="27" spans="10:16" x14ac:dyDescent="0.25">
      <c r="M27" s="67">
        <v>-8.8888888888888822</v>
      </c>
      <c r="N27" s="67">
        <v>0.72327308119219924</v>
      </c>
      <c r="O27" s="67">
        <v>0</v>
      </c>
      <c r="P27" s="67">
        <v>0.27672691880780076</v>
      </c>
    </row>
    <row r="28" spans="10:16" x14ac:dyDescent="0.25">
      <c r="J28" s="67">
        <v>0</v>
      </c>
      <c r="K28" s="71">
        <f>K17</f>
        <v>-6.9882653747058772</v>
      </c>
      <c r="M28" s="67">
        <v>-8.5656565656565586</v>
      </c>
      <c r="N28" s="67">
        <v>0.64695198076160776</v>
      </c>
      <c r="O28" s="67">
        <v>0</v>
      </c>
      <c r="P28" s="67">
        <v>0.35304801923839224</v>
      </c>
    </row>
    <row r="29" spans="10:16" x14ac:dyDescent="0.25">
      <c r="J29" s="67">
        <v>1.2</v>
      </c>
      <c r="K29" s="71">
        <f>K17</f>
        <v>-6.9882653747058772</v>
      </c>
      <c r="M29" s="67">
        <v>-8.2424242424242351</v>
      </c>
      <c r="N29" s="67">
        <v>0.56419593524720335</v>
      </c>
      <c r="O29" s="67">
        <v>0</v>
      </c>
      <c r="P29" s="67">
        <v>0.43580406475279665</v>
      </c>
    </row>
    <row r="30" spans="10:16" x14ac:dyDescent="0.25">
      <c r="M30" s="67">
        <v>-7.9191919191919116</v>
      </c>
      <c r="N30" s="67">
        <v>0.4785185510509522</v>
      </c>
      <c r="O30" s="67">
        <v>0</v>
      </c>
      <c r="P30" s="67">
        <v>0.5214814489490478</v>
      </c>
    </row>
    <row r="31" spans="10:16" x14ac:dyDescent="0.25">
      <c r="J31" s="67">
        <v>0</v>
      </c>
      <c r="K31" s="71">
        <f>K18</f>
        <v>6.9882653747058772</v>
      </c>
      <c r="M31" s="67">
        <v>-7.595959595959588</v>
      </c>
      <c r="N31" s="67">
        <v>0.39382622852919413</v>
      </c>
      <c r="O31" s="67">
        <v>0</v>
      </c>
      <c r="P31" s="67">
        <v>0.60617377147080587</v>
      </c>
    </row>
    <row r="32" spans="10:16" x14ac:dyDescent="0.25">
      <c r="J32" s="67">
        <v>1.2</v>
      </c>
      <c r="K32" s="71">
        <f>K18</f>
        <v>6.9882653747058772</v>
      </c>
      <c r="M32" s="67">
        <v>-7.2727272727272645</v>
      </c>
      <c r="N32" s="67">
        <v>0.31389191349489243</v>
      </c>
      <c r="O32" s="67">
        <v>0</v>
      </c>
      <c r="P32" s="67">
        <v>0.68610808650510757</v>
      </c>
    </row>
    <row r="33" spans="13:16" x14ac:dyDescent="0.25">
      <c r="M33" s="67">
        <v>-6.949494949494941</v>
      </c>
      <c r="N33" s="67">
        <v>0.24185852860934831</v>
      </c>
      <c r="O33" s="67">
        <v>0</v>
      </c>
      <c r="P33" s="67">
        <v>0.75814147139065169</v>
      </c>
    </row>
    <row r="34" spans="13:16" x14ac:dyDescent="0.25">
      <c r="M34" s="67">
        <v>-6.6262626262626174</v>
      </c>
      <c r="N34" s="67">
        <v>0.17987936652342854</v>
      </c>
      <c r="O34" s="67">
        <v>0</v>
      </c>
      <c r="P34" s="67">
        <v>0.82012063347657149</v>
      </c>
    </row>
    <row r="35" spans="13:16" x14ac:dyDescent="0.25">
      <c r="M35" s="67">
        <v>-6.3030303030302939</v>
      </c>
      <c r="N35" s="67">
        <v>0.12896165968046905</v>
      </c>
      <c r="O35" s="67">
        <v>0</v>
      </c>
      <c r="P35" s="67">
        <v>0.87103834031953098</v>
      </c>
    </row>
    <row r="36" spans="13:16" x14ac:dyDescent="0.25">
      <c r="M36" s="67">
        <v>-5.9797979797979703</v>
      </c>
      <c r="N36" s="67">
        <v>8.9022110435439492E-2</v>
      </c>
      <c r="O36" s="67">
        <v>0</v>
      </c>
      <c r="P36" s="67">
        <v>0.91097788956456049</v>
      </c>
    </row>
    <row r="37" spans="13:16" x14ac:dyDescent="0.25">
      <c r="M37" s="67">
        <v>-5.6565656565656468</v>
      </c>
      <c r="N37" s="67">
        <v>5.9109894894449184E-2</v>
      </c>
      <c r="O37" s="67">
        <v>0</v>
      </c>
      <c r="P37" s="67">
        <v>0.94089010510555082</v>
      </c>
    </row>
    <row r="38" spans="13:16" x14ac:dyDescent="0.25">
      <c r="M38" s="67">
        <v>-5.3333333333333233</v>
      </c>
      <c r="N38" s="67">
        <v>3.7720179813399667E-2</v>
      </c>
      <c r="O38" s="67">
        <v>0</v>
      </c>
      <c r="P38" s="67">
        <v>0.9622798201866003</v>
      </c>
    </row>
    <row r="39" spans="13:16" x14ac:dyDescent="0.25">
      <c r="M39" s="67">
        <v>-5.0101010101009997</v>
      </c>
      <c r="N39" s="67">
        <v>2.3116164053058132E-2</v>
      </c>
      <c r="O39" s="67">
        <v>0</v>
      </c>
      <c r="P39" s="67">
        <v>0.97688383594694184</v>
      </c>
    </row>
    <row r="40" spans="13:16" x14ac:dyDescent="0.25">
      <c r="M40" s="67">
        <v>-4.6868686868686762</v>
      </c>
      <c r="N40" s="67">
        <v>1.3595870826398687E-2</v>
      </c>
      <c r="O40" s="67">
        <v>0</v>
      </c>
      <c r="P40" s="67">
        <v>0.98640412917360132</v>
      </c>
    </row>
    <row r="41" spans="13:16" x14ac:dyDescent="0.25">
      <c r="M41" s="67">
        <v>-4.3636363636363527</v>
      </c>
      <c r="N41" s="67">
        <v>7.6701806207408072E-3</v>
      </c>
      <c r="O41" s="67">
        <v>0</v>
      </c>
      <c r="P41" s="67">
        <v>0.99232981937925924</v>
      </c>
    </row>
    <row r="42" spans="13:16" x14ac:dyDescent="0.25">
      <c r="M42" s="67">
        <v>-4.0404040404040291</v>
      </c>
      <c r="N42" s="67">
        <v>4.1485972199508253E-3</v>
      </c>
      <c r="O42" s="67">
        <v>0</v>
      </c>
      <c r="P42" s="67">
        <v>0.99585140278004913</v>
      </c>
    </row>
    <row r="43" spans="13:16" x14ac:dyDescent="0.25">
      <c r="M43" s="67">
        <v>-3.717171717171706</v>
      </c>
      <c r="N43" s="67">
        <v>2.1503590694327249E-3</v>
      </c>
      <c r="O43" s="67">
        <v>2.7755575615628914E-15</v>
      </c>
      <c r="P43" s="67">
        <v>0.9978496409305645</v>
      </c>
    </row>
    <row r="44" spans="13:16" x14ac:dyDescent="0.25">
      <c r="M44" s="67">
        <v>-3.3939393939393829</v>
      </c>
      <c r="N44" s="67">
        <v>1.0677627473226197E-3</v>
      </c>
      <c r="O44" s="67">
        <v>1.532107773982716E-14</v>
      </c>
      <c r="P44" s="67">
        <v>0.99893223725266211</v>
      </c>
    </row>
    <row r="45" spans="13:16" x14ac:dyDescent="0.25">
      <c r="M45" s="67">
        <v>-3.0707070707070598</v>
      </c>
      <c r="N45" s="67">
        <v>5.0775289737163955E-4</v>
      </c>
      <c r="O45" s="67">
        <v>7.8825834748386114E-14</v>
      </c>
      <c r="P45" s="67">
        <v>0.99949224710254958</v>
      </c>
    </row>
    <row r="46" spans="13:16" x14ac:dyDescent="0.25">
      <c r="M46" s="67">
        <v>-2.7474747474747367</v>
      </c>
      <c r="N46" s="67">
        <v>2.3116423679298294E-4</v>
      </c>
      <c r="O46" s="67">
        <v>3.8902214782865485E-13</v>
      </c>
      <c r="P46" s="67">
        <v>0.99976883576281794</v>
      </c>
    </row>
    <row r="47" spans="13:16" x14ac:dyDescent="0.25">
      <c r="M47" s="67">
        <v>-2.4242424242424137</v>
      </c>
      <c r="N47" s="67">
        <v>1.0073275811068462E-4</v>
      </c>
      <c r="O47" s="67">
        <v>1.8329782136561334E-12</v>
      </c>
      <c r="P47" s="67">
        <v>0.99989926724005629</v>
      </c>
    </row>
    <row r="48" spans="13:16" x14ac:dyDescent="0.25">
      <c r="M48" s="67">
        <v>-2.1010101010100906</v>
      </c>
      <c r="N48" s="67">
        <v>4.2005524236378281E-5</v>
      </c>
      <c r="O48" s="67">
        <v>8.2527318312486386E-12</v>
      </c>
      <c r="P48" s="67">
        <v>0.99995799446751088</v>
      </c>
    </row>
    <row r="49" spans="13:16" x14ac:dyDescent="0.25">
      <c r="M49" s="67">
        <v>-1.7777777777777672</v>
      </c>
      <c r="N49" s="67">
        <v>1.6758774242051776E-5</v>
      </c>
      <c r="O49" s="67">
        <v>3.5502600859160793E-11</v>
      </c>
      <c r="P49" s="67">
        <v>0.99998324119025539</v>
      </c>
    </row>
    <row r="50" spans="13:16" x14ac:dyDescent="0.25">
      <c r="M50" s="67">
        <v>-1.4545454545454439</v>
      </c>
      <c r="N50" s="67">
        <v>6.3959070886752279E-6</v>
      </c>
      <c r="O50" s="67">
        <v>1.4594092601072362E-10</v>
      </c>
      <c r="P50" s="67">
        <v>0.99999360394697034</v>
      </c>
    </row>
    <row r="51" spans="13:16" x14ac:dyDescent="0.25">
      <c r="M51" s="67">
        <v>-1.1313131313131206</v>
      </c>
      <c r="N51" s="67">
        <v>2.3346302299569024E-6</v>
      </c>
      <c r="O51" s="67">
        <v>5.7328619629259947E-10</v>
      </c>
      <c r="P51" s="67">
        <v>0.99999766479648389</v>
      </c>
    </row>
    <row r="52" spans="13:16" x14ac:dyDescent="0.25">
      <c r="M52" s="67">
        <v>-0.8080808080807973</v>
      </c>
      <c r="N52" s="67">
        <v>8.149466876499471E-7</v>
      </c>
      <c r="O52" s="67">
        <v>2.1521440185523488E-9</v>
      </c>
      <c r="P52" s="67">
        <v>0.99999918290116829</v>
      </c>
    </row>
    <row r="53" spans="13:16" x14ac:dyDescent="0.25">
      <c r="M53" s="67">
        <v>-0.48484848484847404</v>
      </c>
      <c r="N53" s="67">
        <v>2.7200737093434733E-7</v>
      </c>
      <c r="O53" s="67">
        <v>7.721595918219748E-9</v>
      </c>
      <c r="P53" s="67">
        <v>0.99999972027103312</v>
      </c>
    </row>
    <row r="54" spans="13:16" x14ac:dyDescent="0.25">
      <c r="M54" s="67">
        <v>-0.16161616161615078</v>
      </c>
      <c r="N54" s="67">
        <v>8.6800689907163493E-8</v>
      </c>
      <c r="O54" s="67">
        <v>2.6479642256660441E-8</v>
      </c>
      <c r="P54" s="67">
        <v>0.99999988671966789</v>
      </c>
    </row>
    <row r="55" spans="13:16" x14ac:dyDescent="0.25">
      <c r="M55" s="67">
        <v>0.16161616161617248</v>
      </c>
      <c r="N55" s="67">
        <v>2.6479642248901275E-8</v>
      </c>
      <c r="O55" s="67">
        <v>8.6800689858002045E-8</v>
      </c>
      <c r="P55" s="67">
        <v>0.99999988671966789</v>
      </c>
    </row>
    <row r="56" spans="13:16" x14ac:dyDescent="0.25">
      <c r="M56" s="67">
        <v>0.48484848484849574</v>
      </c>
      <c r="N56" s="67">
        <v>7.7215959223193726E-9</v>
      </c>
      <c r="O56" s="67">
        <v>2.720073709605586E-7</v>
      </c>
      <c r="P56" s="67">
        <v>0.99999972027103312</v>
      </c>
    </row>
    <row r="57" spans="13:16" x14ac:dyDescent="0.25">
      <c r="M57" s="67">
        <v>0.80808080808081906</v>
      </c>
      <c r="N57" s="67">
        <v>2.1521440675676685E-9</v>
      </c>
      <c r="O57" s="67">
        <v>8.1494668768833378E-7</v>
      </c>
      <c r="P57" s="67">
        <v>0.99999918290116829</v>
      </c>
    </row>
    <row r="58" spans="13:16" x14ac:dyDescent="0.25">
      <c r="M58" s="67">
        <v>1.1313131313131424</v>
      </c>
      <c r="N58" s="67">
        <v>5.7328620642601351E-10</v>
      </c>
      <c r="O58" s="67">
        <v>2.3346302299165345E-6</v>
      </c>
      <c r="P58" s="67">
        <v>0.99999766479648389</v>
      </c>
    </row>
    <row r="59" spans="13:16" x14ac:dyDescent="0.25">
      <c r="M59" s="67">
        <v>1.4545454545454657</v>
      </c>
      <c r="N59" s="67">
        <v>1.4594089814794239E-10</v>
      </c>
      <c r="O59" s="67">
        <v>6.3959070887298353E-6</v>
      </c>
      <c r="P59" s="67">
        <v>0.99999360394697034</v>
      </c>
    </row>
    <row r="60" spans="13:16" x14ac:dyDescent="0.25">
      <c r="M60" s="67">
        <v>1.777777777777789</v>
      </c>
      <c r="N60" s="67">
        <v>3.550258630997131E-11</v>
      </c>
      <c r="O60" s="67">
        <v>1.6758774242009444E-5</v>
      </c>
      <c r="P60" s="67">
        <v>0.99998324119025539</v>
      </c>
    </row>
    <row r="61" spans="13:16" x14ac:dyDescent="0.25">
      <c r="M61" s="67">
        <v>2.1010101010101123</v>
      </c>
      <c r="N61" s="67">
        <v>8.2526766860682489E-12</v>
      </c>
      <c r="O61" s="67">
        <v>4.2005524236388148E-5</v>
      </c>
      <c r="P61" s="67">
        <v>0.99995799446751088</v>
      </c>
    </row>
    <row r="62" spans="13:16" x14ac:dyDescent="0.25">
      <c r="M62" s="67">
        <v>2.4242424242424354</v>
      </c>
      <c r="N62" s="67">
        <v>1.8329812336525839E-12</v>
      </c>
      <c r="O62" s="67">
        <v>1.0073275811073312E-4</v>
      </c>
      <c r="P62" s="67">
        <v>0.99989926724005629</v>
      </c>
    </row>
    <row r="63" spans="13:16" x14ac:dyDescent="0.25">
      <c r="M63" s="67">
        <v>2.7474747474747585</v>
      </c>
      <c r="N63" s="67">
        <v>3.8898056919772524E-13</v>
      </c>
      <c r="O63" s="67">
        <v>2.3116423679303555E-4</v>
      </c>
      <c r="P63" s="67">
        <v>0.99976883576281794</v>
      </c>
    </row>
    <row r="64" spans="13:16" x14ac:dyDescent="0.25">
      <c r="M64" s="67">
        <v>3.0707070707070816</v>
      </c>
      <c r="N64" s="67">
        <v>7.8865040597527444E-14</v>
      </c>
      <c r="O64" s="67">
        <v>5.0775289737170493E-4</v>
      </c>
      <c r="P64" s="67">
        <v>0.99949224710254947</v>
      </c>
    </row>
    <row r="65" spans="13:16" x14ac:dyDescent="0.25">
      <c r="M65" s="67">
        <v>3.3939393939394047</v>
      </c>
      <c r="N65" s="67">
        <v>1.5275992580702188E-14</v>
      </c>
      <c r="O65" s="67">
        <v>1.0677627473226758E-3</v>
      </c>
      <c r="P65" s="67">
        <v>0.998932237252662</v>
      </c>
    </row>
    <row r="66" spans="13:16" x14ac:dyDescent="0.25">
      <c r="M66" s="67">
        <v>3.7171717171717278</v>
      </c>
      <c r="N66" s="67">
        <v>2.8267379480180874E-15</v>
      </c>
      <c r="O66" s="67">
        <v>2.1503590694328389E-3</v>
      </c>
      <c r="P66" s="67">
        <v>0.99784964093056439</v>
      </c>
    </row>
    <row r="67" spans="13:16" x14ac:dyDescent="0.25">
      <c r="M67" s="67">
        <v>4.0404040404040513</v>
      </c>
      <c r="N67" s="67">
        <v>4.996858170333021E-16</v>
      </c>
      <c r="O67" s="67">
        <v>4.148597219950978E-3</v>
      </c>
      <c r="P67" s="67">
        <v>0.99585140278004847</v>
      </c>
    </row>
    <row r="68" spans="13:16" x14ac:dyDescent="0.25">
      <c r="M68" s="67">
        <v>4.3636363636363749</v>
      </c>
      <c r="N68" s="67">
        <v>8.437798426232295E-17</v>
      </c>
      <c r="O68" s="67">
        <v>7.6701806207410961E-3</v>
      </c>
      <c r="P68" s="67">
        <v>0.99232981937925879</v>
      </c>
    </row>
    <row r="69" spans="13:16" x14ac:dyDescent="0.25">
      <c r="M69" s="67">
        <v>4.6868686868686984</v>
      </c>
      <c r="N69" s="67">
        <v>1.361031670676317E-17</v>
      </c>
      <c r="O69" s="67">
        <v>1.3595870826399237E-2</v>
      </c>
      <c r="P69" s="67">
        <v>0.98640412917360076</v>
      </c>
    </row>
    <row r="70" spans="13:16" x14ac:dyDescent="0.25">
      <c r="M70" s="67">
        <v>5.0101010101010219</v>
      </c>
      <c r="N70" s="67">
        <v>2.0970149342992732E-18</v>
      </c>
      <c r="O70" s="67">
        <v>2.3116164053058941E-2</v>
      </c>
      <c r="P70" s="67">
        <v>0.97688383594694106</v>
      </c>
    </row>
    <row r="71" spans="13:16" x14ac:dyDescent="0.25">
      <c r="M71" s="67">
        <v>5.3333333333333455</v>
      </c>
      <c r="N71" s="67">
        <v>3.0861506408761353E-19</v>
      </c>
      <c r="O71" s="67">
        <v>3.7720179813400923E-2</v>
      </c>
      <c r="P71" s="67">
        <v>0.96227982018659908</v>
      </c>
    </row>
    <row r="72" spans="13:16" x14ac:dyDescent="0.25">
      <c r="M72" s="67">
        <v>5.656565656565669</v>
      </c>
      <c r="N72" s="67">
        <v>4.3381433828412571E-20</v>
      </c>
      <c r="O72" s="67">
        <v>5.9109894894450954E-2</v>
      </c>
      <c r="P72" s="67">
        <v>0.94089010510554905</v>
      </c>
    </row>
    <row r="73" spans="13:16" x14ac:dyDescent="0.25">
      <c r="M73" s="67">
        <v>5.9797979797979925</v>
      </c>
      <c r="N73" s="67">
        <v>5.8244035686008947E-21</v>
      </c>
      <c r="O73" s="67">
        <v>8.9022110435441837E-2</v>
      </c>
      <c r="P73" s="67">
        <v>0.91097788956455816</v>
      </c>
    </row>
    <row r="74" spans="13:16" x14ac:dyDescent="0.25">
      <c r="M74" s="67">
        <v>6.3030303030303161</v>
      </c>
      <c r="N74" s="67">
        <v>7.468786431805936E-22</v>
      </c>
      <c r="O74" s="67">
        <v>0.12896165968047213</v>
      </c>
      <c r="P74" s="67">
        <v>0.87103834031952787</v>
      </c>
    </row>
    <row r="75" spans="13:16" x14ac:dyDescent="0.25">
      <c r="M75" s="67">
        <v>6.6262626262626396</v>
      </c>
      <c r="N75" s="67">
        <v>9.1472489439647913E-23</v>
      </c>
      <c r="O75" s="67">
        <v>0.17987936652343239</v>
      </c>
      <c r="P75" s="67">
        <v>0.82012063347656761</v>
      </c>
    </row>
    <row r="76" spans="13:16" x14ac:dyDescent="0.25">
      <c r="M76" s="67">
        <v>6.9494949494949632</v>
      </c>
      <c r="N76" s="67">
        <v>1.0699518605538746E-23</v>
      </c>
      <c r="O76" s="67">
        <v>0.24185852860935286</v>
      </c>
      <c r="P76" s="67">
        <v>0.75814147139064714</v>
      </c>
    </row>
    <row r="77" spans="13:16" x14ac:dyDescent="0.25">
      <c r="M77" s="67">
        <v>7.2727272727272867</v>
      </c>
      <c r="N77" s="67">
        <v>1.1952621800886485E-24</v>
      </c>
      <c r="O77" s="67">
        <v>0.31389191349489765</v>
      </c>
      <c r="P77" s="67">
        <v>0.68610808650510235</v>
      </c>
    </row>
    <row r="78" spans="13:16" x14ac:dyDescent="0.25">
      <c r="M78" s="67">
        <v>7.5959595959596102</v>
      </c>
      <c r="N78" s="67">
        <v>1.2752041234475327E-25</v>
      </c>
      <c r="O78" s="67">
        <v>0.3938262285291998</v>
      </c>
      <c r="P78" s="67">
        <v>0.6061737714708002</v>
      </c>
    </row>
    <row r="79" spans="13:16" x14ac:dyDescent="0.25">
      <c r="M79" s="67">
        <v>7.9191919191919338</v>
      </c>
      <c r="N79" s="67">
        <v>1.2992916788219525E-26</v>
      </c>
      <c r="O79" s="67">
        <v>0.47851855105095809</v>
      </c>
      <c r="P79" s="67">
        <v>0.52148144894904191</v>
      </c>
    </row>
    <row r="80" spans="13:16" x14ac:dyDescent="0.25">
      <c r="M80" s="67">
        <v>8.2424242424242564</v>
      </c>
      <c r="N80" s="67">
        <v>1.2642625003176313E-27</v>
      </c>
      <c r="O80" s="67">
        <v>0.56419593524720901</v>
      </c>
      <c r="P80" s="67">
        <v>0.43580406475279099</v>
      </c>
    </row>
    <row r="81" spans="13:16" x14ac:dyDescent="0.25">
      <c r="M81" s="67">
        <v>8.56565656565658</v>
      </c>
      <c r="N81" s="67">
        <v>1.1748031813325004E-28</v>
      </c>
      <c r="O81" s="67">
        <v>0.64695198076161309</v>
      </c>
      <c r="P81" s="67">
        <v>0.35304801923838691</v>
      </c>
    </row>
    <row r="82" spans="13:16" x14ac:dyDescent="0.25">
      <c r="M82" s="67">
        <v>8.8888888888889035</v>
      </c>
      <c r="N82" s="67">
        <v>1.0425194965258866E-29</v>
      </c>
      <c r="O82" s="67">
        <v>0.72327308119220401</v>
      </c>
      <c r="P82" s="67">
        <v>0.27672691880779599</v>
      </c>
    </row>
    <row r="83" spans="13:16" x14ac:dyDescent="0.25">
      <c r="M83" s="67">
        <v>9.212121212121227</v>
      </c>
      <c r="N83" s="67">
        <v>8.8346378457870262E-31</v>
      </c>
      <c r="O83" s="67">
        <v>0.79047796750180876</v>
      </c>
      <c r="P83" s="67">
        <v>0.20952203249819124</v>
      </c>
    </row>
    <row r="84" spans="13:16" x14ac:dyDescent="0.25">
      <c r="M84" s="67">
        <v>9.5353535353535506</v>
      </c>
      <c r="N84" s="67">
        <v>7.1494624991128406E-32</v>
      </c>
      <c r="O84" s="67">
        <v>0.84698055873807132</v>
      </c>
      <c r="P84" s="67">
        <v>0.15301944126192868</v>
      </c>
    </row>
    <row r="85" spans="13:16" x14ac:dyDescent="0.25">
      <c r="M85" s="67">
        <v>9.8585858585858741</v>
      </c>
      <c r="N85" s="67">
        <v>5.5250087639095539E-33</v>
      </c>
      <c r="O85" s="67">
        <v>0.89233784935559735</v>
      </c>
      <c r="P85" s="67">
        <v>0.10766215064440265</v>
      </c>
    </row>
    <row r="86" spans="13:16" x14ac:dyDescent="0.25">
      <c r="M86" s="67">
        <v>10.181818181818198</v>
      </c>
      <c r="N86" s="67">
        <v>4.0772055985413503E-34</v>
      </c>
      <c r="O86" s="67">
        <v>0.92710242952401345</v>
      </c>
      <c r="P86" s="67">
        <v>7.2897570475986551E-2</v>
      </c>
    </row>
    <row r="87" spans="13:16" x14ac:dyDescent="0.25">
      <c r="M87" s="67">
        <v>10.505050505050521</v>
      </c>
      <c r="N87" s="67">
        <v>2.873145921096215E-35</v>
      </c>
      <c r="O87" s="67">
        <v>0.952543648927341</v>
      </c>
      <c r="P87" s="67">
        <v>4.7456351072658998E-2</v>
      </c>
    </row>
    <row r="88" spans="13:16" x14ac:dyDescent="0.25">
      <c r="M88" s="67">
        <v>10.828282828282845</v>
      </c>
      <c r="N88" s="67">
        <v>1.9333646956362376E-36</v>
      </c>
      <c r="O88" s="67">
        <v>0.97032029373988327</v>
      </c>
      <c r="P88" s="67">
        <v>2.9679706260116734E-2</v>
      </c>
    </row>
    <row r="89" spans="13:16" x14ac:dyDescent="0.25">
      <c r="M89" s="67">
        <v>11.151515151515168</v>
      </c>
      <c r="N89" s="67">
        <v>1.242300686196343E-37</v>
      </c>
      <c r="O89" s="67">
        <v>0.98217996021719534</v>
      </c>
      <c r="P89" s="67">
        <v>1.7820039782804664E-2</v>
      </c>
    </row>
    <row r="90" spans="13:16" x14ac:dyDescent="0.25">
      <c r="M90" s="67">
        <v>11.474747474747492</v>
      </c>
      <c r="N90" s="67">
        <v>7.6224137677329311E-39</v>
      </c>
      <c r="O90" s="67">
        <v>0.98973446187481851</v>
      </c>
      <c r="P90" s="67">
        <v>1.0265538125181495E-2</v>
      </c>
    </row>
    <row r="91" spans="13:16" x14ac:dyDescent="0.25">
      <c r="M91" s="67">
        <v>11.797979797979815</v>
      </c>
      <c r="N91" s="67">
        <v>4.4658832890757158E-40</v>
      </c>
      <c r="O91" s="67">
        <v>0.99432908262388675</v>
      </c>
      <c r="P91" s="67">
        <v>5.6709173761132492E-3</v>
      </c>
    </row>
    <row r="92" spans="13:16" x14ac:dyDescent="0.25">
      <c r="M92" s="67">
        <v>12.121212121212139</v>
      </c>
      <c r="N92" s="67">
        <v>2.4984326697237024E-41</v>
      </c>
      <c r="O92" s="67">
        <v>0.99699719332839709</v>
      </c>
      <c r="P92" s="67">
        <v>3.0028066716029089E-3</v>
      </c>
    </row>
    <row r="93" spans="13:16" x14ac:dyDescent="0.25">
      <c r="M93" s="67">
        <v>12.444444444444462</v>
      </c>
      <c r="N93" s="67">
        <v>1.3346577311522345E-42</v>
      </c>
      <c r="O93" s="67">
        <v>0.99847653385800017</v>
      </c>
      <c r="P93" s="67">
        <v>1.5234661419998297E-3</v>
      </c>
    </row>
    <row r="94" spans="13:16" x14ac:dyDescent="0.25">
      <c r="M94" s="67">
        <v>12.767676767676786</v>
      </c>
      <c r="N94" s="67">
        <v>6.8078634731962019E-44</v>
      </c>
      <c r="O94" s="67">
        <v>0.99925967924379544</v>
      </c>
      <c r="P94" s="67">
        <v>7.4032075620455995E-4</v>
      </c>
    </row>
    <row r="95" spans="13:16" x14ac:dyDescent="0.25">
      <c r="M95" s="67">
        <v>13.090909090909109</v>
      </c>
      <c r="N95" s="67">
        <v>3.3157920820832232E-45</v>
      </c>
      <c r="O95" s="67">
        <v>0.99965552531158319</v>
      </c>
      <c r="P95" s="67">
        <v>3.4447468841680706E-4</v>
      </c>
    </row>
    <row r="96" spans="13:16" x14ac:dyDescent="0.25">
      <c r="M96" s="67">
        <v>13.414141414141433</v>
      </c>
      <c r="N96" s="67">
        <v>1.5420421635075565E-46</v>
      </c>
      <c r="O96" s="67">
        <v>0.99984656330277832</v>
      </c>
      <c r="P96" s="67">
        <v>1.5343669722167608E-4</v>
      </c>
    </row>
    <row r="97" spans="13:16" x14ac:dyDescent="0.25">
      <c r="M97" s="67">
        <v>13.737373737373757</v>
      </c>
      <c r="N97" s="67">
        <v>6.8475439512238492E-48</v>
      </c>
      <c r="O97" s="67">
        <v>0.999934591612615</v>
      </c>
      <c r="P97" s="67">
        <v>6.5408387385001987E-5</v>
      </c>
    </row>
    <row r="98" spans="13:16" x14ac:dyDescent="0.25">
      <c r="M98" s="67">
        <v>14.06060606060608</v>
      </c>
      <c r="N98" s="67">
        <v>2.9033558475781531E-49</v>
      </c>
      <c r="O98" s="67">
        <v>0.99997332040269171</v>
      </c>
      <c r="P98" s="67">
        <v>2.6679597308287839E-5</v>
      </c>
    </row>
    <row r="99" spans="13:16" x14ac:dyDescent="0.25">
      <c r="M99" s="67">
        <v>14.383838383838404</v>
      </c>
      <c r="N99" s="67">
        <v>1.1754114638782224E-50</v>
      </c>
      <c r="O99" s="67">
        <v>0.99998958915170277</v>
      </c>
      <c r="P99" s="67">
        <v>1.0410848297226494E-5</v>
      </c>
    </row>
    <row r="100" spans="13:16" x14ac:dyDescent="0.25">
      <c r="M100" s="67">
        <v>14.707070707070727</v>
      </c>
      <c r="N100" s="67">
        <v>4.5436121810885684E-52</v>
      </c>
      <c r="O100" s="67">
        <v>0.99999611418536172</v>
      </c>
      <c r="P100" s="67">
        <v>3.8858146382825254E-6</v>
      </c>
    </row>
    <row r="101" spans="13:16" x14ac:dyDescent="0.25">
      <c r="M101" s="67">
        <v>15.030303030303051</v>
      </c>
      <c r="N101" s="67">
        <v>1.6769952628568771E-53</v>
      </c>
      <c r="O101" s="67">
        <v>0.99999861291582437</v>
      </c>
      <c r="P101" s="67">
        <v>1.387084175630271E-6</v>
      </c>
    </row>
    <row r="102" spans="13:16" x14ac:dyDescent="0.25">
      <c r="M102" s="67">
        <v>15.353535353535374</v>
      </c>
      <c r="N102" s="67">
        <v>5.9098890940179049E-55</v>
      </c>
      <c r="O102" s="67">
        <v>0.99999952653204427</v>
      </c>
      <c r="P102" s="67">
        <v>4.7346795573055545E-7</v>
      </c>
    </row>
    <row r="103" spans="13:16" x14ac:dyDescent="0.25">
      <c r="M103" s="67">
        <v>15.676767676767698</v>
      </c>
      <c r="N103" s="67">
        <v>1.9885728264091254E-56</v>
      </c>
      <c r="O103" s="67">
        <v>0.99999984547689091</v>
      </c>
      <c r="P103" s="67">
        <v>1.545231090860355E-7</v>
      </c>
    </row>
    <row r="104" spans="13:16" x14ac:dyDescent="0.25">
      <c r="M104" s="67">
        <v>16.000000000000021</v>
      </c>
      <c r="N104" s="67">
        <v>6.388754400536444E-58</v>
      </c>
      <c r="O104" s="67">
        <v>0.99999995178696632</v>
      </c>
      <c r="P104" s="67">
        <v>4.8213033676525185E-8</v>
      </c>
    </row>
  </sheetData>
  <mergeCells count="1">
    <mergeCell ref="B3:E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BDC9191-9344-4119-B698-53B1A52464CD}">
          <x14:formula1>
            <xm:f>Lookups!$A$2:$A$5</xm:f>
          </x14:formula1>
          <xm:sqref>D4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2BD3-FBDB-4D7C-BF59-E99CBAAD5FDD}">
  <dimension ref="B1:Y103"/>
  <sheetViews>
    <sheetView showGridLines="0" workbookViewId="0">
      <selection activeCell="F41" sqref="F41"/>
    </sheetView>
  </sheetViews>
  <sheetFormatPr defaultRowHeight="15" x14ac:dyDescent="0.25"/>
  <cols>
    <col min="2" max="2" width="31.7109375" customWidth="1"/>
    <col min="19" max="19" width="18" style="67" hidden="1" customWidth="1"/>
    <col min="20" max="24" width="0" style="67" hidden="1" customWidth="1"/>
  </cols>
  <sheetData>
    <row r="1" spans="2:25" x14ac:dyDescent="0.25">
      <c r="B1" s="14" t="s">
        <v>85</v>
      </c>
    </row>
    <row r="2" spans="2:25" ht="15.75" thickBot="1" x14ac:dyDescent="0.3">
      <c r="Y2" s="73" t="s">
        <v>69</v>
      </c>
    </row>
    <row r="3" spans="2:25" x14ac:dyDescent="0.25">
      <c r="B3" s="133" t="s">
        <v>0</v>
      </c>
      <c r="C3" s="134"/>
      <c r="D3" s="134"/>
      <c r="E3" s="135"/>
      <c r="V3" s="67" t="s">
        <v>82</v>
      </c>
      <c r="W3" s="67" t="s">
        <v>18</v>
      </c>
      <c r="X3" s="67" t="s">
        <v>84</v>
      </c>
    </row>
    <row r="4" spans="2:25" x14ac:dyDescent="0.25">
      <c r="B4" s="1" t="s">
        <v>1</v>
      </c>
      <c r="C4" s="53">
        <v>0</v>
      </c>
      <c r="D4" s="53"/>
      <c r="E4" s="3"/>
      <c r="S4" s="68" t="s">
        <v>21</v>
      </c>
      <c r="T4" s="69" cm="1">
        <f t="array" ref="T4">TOL_LOWER_LIMIT(C5,D5,E5)</f>
        <v>-4</v>
      </c>
      <c r="V4" s="67" cm="1">
        <f t="array" ref="V4:V103">LINSPACE(0,T11/2,100)</f>
        <v>0</v>
      </c>
      <c r="W4" s="67" cm="1">
        <f t="array" ref="W4:W103">100*PFA(T4,T5,T4+_xlfn.ANCHORARRAY(V4),T5-_xlfn.ANCHORARRAY(V4),C4,C7/2,T15)</f>
        <v>2.9552833572350847</v>
      </c>
      <c r="X4" s="67" cm="1">
        <f t="array" ref="X4:X103">100*PFR(T4,T5,T4+_xlfn.ANCHORARRAY(V4),T5-_xlfn.ANCHORARRAY(V4),C4,C7/2,T15)</f>
        <v>5.5289150940412517</v>
      </c>
    </row>
    <row r="5" spans="2:25" x14ac:dyDescent="0.25">
      <c r="B5" s="1" t="s">
        <v>2</v>
      </c>
      <c r="C5" s="51">
        <v>0</v>
      </c>
      <c r="D5" s="52" t="s">
        <v>3</v>
      </c>
      <c r="E5" s="6">
        <v>4</v>
      </c>
      <c r="S5" s="68" t="s">
        <v>22</v>
      </c>
      <c r="T5" s="69" cm="1">
        <f t="array" ref="T5">TOL_UPPER_LIMIT(C5,D5,E5)</f>
        <v>4</v>
      </c>
      <c r="V5" s="67">
        <v>4.0404040404040407E-2</v>
      </c>
      <c r="W5" s="67">
        <v>2.8204388185124536</v>
      </c>
      <c r="X5" s="67">
        <v>5.834404711799217</v>
      </c>
    </row>
    <row r="6" spans="2:25" x14ac:dyDescent="0.25">
      <c r="B6" s="1" t="s">
        <v>4</v>
      </c>
      <c r="C6" s="54">
        <v>0.85</v>
      </c>
      <c r="D6" s="53"/>
      <c r="E6" s="3"/>
      <c r="V6" s="67">
        <v>8.0808080808080815E-2</v>
      </c>
      <c r="W6" s="67">
        <v>2.688871788096761</v>
      </c>
      <c r="X6" s="67">
        <v>6.1513187711534858</v>
      </c>
    </row>
    <row r="7" spans="2:25" x14ac:dyDescent="0.25">
      <c r="B7" s="1" t="s">
        <v>5</v>
      </c>
      <c r="C7" s="55">
        <v>2</v>
      </c>
      <c r="D7" s="53"/>
      <c r="E7" s="3"/>
      <c r="S7" s="67" t="s">
        <v>80</v>
      </c>
      <c r="T7" s="67">
        <f>IFERROR(T4,T5-2*C5)</f>
        <v>-4</v>
      </c>
      <c r="V7" s="67">
        <v>0.12121212121212122</v>
      </c>
      <c r="W7" s="67">
        <v>2.5606961998570821</v>
      </c>
      <c r="X7" s="67">
        <v>6.4798365394764215</v>
      </c>
    </row>
    <row r="8" spans="2:25" ht="15.75" thickBot="1" x14ac:dyDescent="0.3">
      <c r="B8" s="29"/>
      <c r="C8" s="89"/>
      <c r="D8" s="31"/>
      <c r="E8" s="32"/>
      <c r="S8" s="67" t="s">
        <v>81</v>
      </c>
      <c r="T8" s="67">
        <f>IFERROR(T5,T4+2*C5)</f>
        <v>4</v>
      </c>
      <c r="V8" s="67">
        <v>0.16161616161616163</v>
      </c>
      <c r="W8" s="67">
        <v>2.4360112793257116</v>
      </c>
      <c r="X8" s="67">
        <v>6.8201206719938403</v>
      </c>
    </row>
    <row r="9" spans="2:25" x14ac:dyDescent="0.25">
      <c r="V9" s="67">
        <v>0.20202020202020204</v>
      </c>
      <c r="W9" s="67">
        <v>2.3149017337785542</v>
      </c>
      <c r="X9" s="67">
        <v>7.1723173312312039</v>
      </c>
    </row>
    <row r="10" spans="2:25" x14ac:dyDescent="0.25">
      <c r="V10" s="67">
        <v>0.24242424242424246</v>
      </c>
      <c r="W10" s="67">
        <v>2.1974380097536912</v>
      </c>
      <c r="X10" s="67">
        <v>7.5365563741081472</v>
      </c>
    </row>
    <row r="11" spans="2:25" x14ac:dyDescent="0.25">
      <c r="S11" s="67" t="s">
        <v>73</v>
      </c>
      <c r="T11" s="71">
        <f>T8-T7</f>
        <v>8</v>
      </c>
      <c r="V11" s="67">
        <v>0.28282828282828287</v>
      </c>
      <c r="W11" s="67">
        <v>2.0836766137217468</v>
      </c>
      <c r="X11" s="67">
        <v>7.9129516024648572</v>
      </c>
    </row>
    <row r="12" spans="2:25" x14ac:dyDescent="0.25">
      <c r="S12" s="67" t="s">
        <v>72</v>
      </c>
      <c r="T12" s="67">
        <f>T7-T11/2</f>
        <v>-8</v>
      </c>
      <c r="V12" s="67">
        <v>0.32323232323232326</v>
      </c>
      <c r="W12" s="67">
        <v>1.97366049131886</v>
      </c>
      <c r="X12" s="67">
        <v>8.3016010725026348</v>
      </c>
    </row>
    <row r="13" spans="2:25" x14ac:dyDescent="0.25">
      <c r="S13" s="67" t="s">
        <v>74</v>
      </c>
      <c r="T13" s="67">
        <f>T8+T11/2</f>
        <v>8</v>
      </c>
      <c r="V13" s="67">
        <v>0.36363636363636365</v>
      </c>
      <c r="W13" s="67">
        <v>1.8674194603020582</v>
      </c>
      <c r="X13" s="67">
        <v>8.7025874583702443</v>
      </c>
    </row>
    <row r="14" spans="2:25" x14ac:dyDescent="0.25">
      <c r="V14" s="67">
        <v>0.40404040404040403</v>
      </c>
      <c r="W14" s="67">
        <v>1.7649706921878505</v>
      </c>
      <c r="X14" s="67">
        <v>9.1159784649300768</v>
      </c>
    </row>
    <row r="15" spans="2:25" x14ac:dyDescent="0.25">
      <c r="S15" s="67" t="s">
        <v>83</v>
      </c>
      <c r="T15" s="67" cm="1">
        <f t="array" ref="T15">SIGMA_FROM_ITP(C4,T4,T5,C6)</f>
        <v>2.7786818702840366</v>
      </c>
      <c r="V15" s="67">
        <v>0.44444444444444442</v>
      </c>
      <c r="W15" s="67">
        <v>1.6663192373872815</v>
      </c>
      <c r="X15" s="67">
        <v>9.5418272845905836</v>
      </c>
    </row>
    <row r="16" spans="2:25" x14ac:dyDescent="0.25">
      <c r="V16" s="67">
        <v>0.48484848484848481</v>
      </c>
      <c r="W16" s="67">
        <v>1.5714585885549166</v>
      </c>
      <c r="X16" s="67">
        <v>9.9801730929969459</v>
      </c>
    </row>
    <row r="17" spans="22:24" x14ac:dyDescent="0.25">
      <c r="V17" s="67">
        <v>0.52525252525252519</v>
      </c>
      <c r="W17" s="67">
        <v>1.4803712768226451</v>
      </c>
      <c r="X17" s="67">
        <v>10.431041578325528</v>
      </c>
    </row>
    <row r="18" spans="22:24" x14ac:dyDescent="0.25">
      <c r="V18" s="67">
        <v>0.56565656565656564</v>
      </c>
      <c r="W18" s="67">
        <v>1.3930294955911999</v>
      </c>
      <c r="X18" s="67">
        <v>10.894445498929997</v>
      </c>
    </row>
    <row r="19" spans="22:24" x14ac:dyDescent="0.25">
      <c r="V19" s="67">
        <v>0.60606060606060608</v>
      </c>
      <c r="W19" s="67">
        <v>1.3093957465997481</v>
      </c>
      <c r="X19" s="67">
        <v>11.370385264135313</v>
      </c>
    </row>
    <row r="20" spans="22:24" x14ac:dyDescent="0.25">
      <c r="V20" s="67">
        <v>0.64646464646464652</v>
      </c>
      <c r="W20" s="67">
        <v>1.2294235030850502</v>
      </c>
      <c r="X20" s="67">
        <v>11.858849533066651</v>
      </c>
    </row>
    <row r="21" spans="22:24" x14ac:dyDescent="0.25">
      <c r="V21" s="67">
        <v>0.68686868686868696</v>
      </c>
      <c r="W21" s="67">
        <v>1.1530578849727942</v>
      </c>
      <c r="X21" s="67">
        <v>12.359815826531761</v>
      </c>
    </row>
    <row r="22" spans="22:24" x14ac:dyDescent="0.25">
      <c r="V22" s="67">
        <v>0.7272727272727274</v>
      </c>
      <c r="W22" s="67">
        <v>1.0802363412121569</v>
      </c>
      <c r="X22" s="67">
        <v>12.873251147144169</v>
      </c>
    </row>
    <row r="23" spans="22:24" x14ac:dyDescent="0.25">
      <c r="V23" s="67">
        <v>0.76767676767676785</v>
      </c>
      <c r="W23" s="67">
        <v>1.0108893345663255</v>
      </c>
      <c r="X23" s="67">
        <v>13.399112603075396</v>
      </c>
    </row>
    <row r="24" spans="22:24" x14ac:dyDescent="0.25">
      <c r="V24" s="67">
        <v>0.80808080808080829</v>
      </c>
      <c r="W24" s="67">
        <v>0.94494102440360606</v>
      </c>
      <c r="X24" s="67">
        <v>13.937348031057162</v>
      </c>
    </row>
    <row r="25" spans="22:24" x14ac:dyDescent="0.25">
      <c r="V25" s="67">
        <v>0.84848484848484873</v>
      </c>
      <c r="W25" s="67">
        <v>0.88230994329128176</v>
      </c>
      <c r="X25" s="67">
        <v>14.487896614510953</v>
      </c>
    </row>
    <row r="26" spans="22:24" x14ac:dyDescent="0.25">
      <c r="V26" s="67">
        <v>0.88888888888888917</v>
      </c>
      <c r="W26" s="67">
        <v>0.82290966347428329</v>
      </c>
      <c r="X26" s="67">
        <v>15.050689492962654</v>
      </c>
    </row>
    <row r="27" spans="22:24" x14ac:dyDescent="0.25">
      <c r="V27" s="67">
        <v>0.92929292929292961</v>
      </c>
      <c r="W27" s="67">
        <v>0.76664944961866155</v>
      </c>
      <c r="X27" s="67">
        <v>15.625650359196419</v>
      </c>
    </row>
    <row r="28" spans="22:24" x14ac:dyDescent="0.25">
      <c r="V28" s="67">
        <v>0.96969696969697006</v>
      </c>
      <c r="W28" s="67">
        <v>0.71343489451198561</v>
      </c>
      <c r="X28" s="67">
        <v>16.212696040914995</v>
      </c>
    </row>
    <row r="29" spans="22:24" x14ac:dyDescent="0.25">
      <c r="V29" s="67">
        <v>1.0101010101010104</v>
      </c>
      <c r="W29" s="67">
        <v>0.66316853473535331</v>
      </c>
      <c r="X29" s="67">
        <v>16.811737063993998</v>
      </c>
    </row>
    <row r="30" spans="22:24" x14ac:dyDescent="0.25">
      <c r="V30" s="67">
        <v>1.0505050505050508</v>
      </c>
      <c r="W30" s="67">
        <v>0.61575044365071996</v>
      </c>
      <c r="X30" s="67">
        <v>17.422678194747107</v>
      </c>
    </row>
    <row r="31" spans="22:24" x14ac:dyDescent="0.25">
      <c r="V31" s="67">
        <v>1.0909090909090913</v>
      </c>
      <c r="W31" s="67">
        <v>0.57107879937946249</v>
      </c>
      <c r="X31" s="67">
        <v>18.045418958950055</v>
      </c>
    </row>
    <row r="32" spans="22:24" x14ac:dyDescent="0.25">
      <c r="V32" s="67">
        <v>1.1313131313131317</v>
      </c>
      <c r="W32" s="67">
        <v>0.52905042577970907</v>
      </c>
      <c r="X32" s="67">
        <v>18.679854135701547</v>
      </c>
    </row>
    <row r="33" spans="22:24" x14ac:dyDescent="0.25">
      <c r="V33" s="67">
        <v>1.1717171717171722</v>
      </c>
      <c r="W33" s="67">
        <v>0.48956130475790172</v>
      </c>
      <c r="X33" s="67">
        <v>19.325874224526967</v>
      </c>
    </row>
    <row r="34" spans="22:24" x14ac:dyDescent="0.25">
      <c r="V34" s="67">
        <v>1.2121212121212126</v>
      </c>
      <c r="W34" s="67">
        <v>0.45250705857161899</v>
      </c>
      <c r="X34" s="67">
        <v>19.98336588445007</v>
      </c>
    </row>
    <row r="35" spans="22:24" x14ac:dyDescent="0.25">
      <c r="V35" s="67">
        <v>1.252525252525253</v>
      </c>
      <c r="W35" s="67">
        <v>0.41778340109259737</v>
      </c>
      <c r="X35" s="67">
        <v>20.652212344069561</v>
      </c>
    </row>
    <row r="36" spans="22:24" x14ac:dyDescent="0.25">
      <c r="V36" s="67">
        <v>1.2929292929292935</v>
      </c>
      <c r="W36" s="67">
        <v>0.38528655729924699</v>
      </c>
      <c r="X36" s="67">
        <v>21.33229378197526</v>
      </c>
    </row>
    <row r="37" spans="22:24" x14ac:dyDescent="0.25">
      <c r="V37" s="67">
        <v>1.3333333333333339</v>
      </c>
      <c r="W37" s="67">
        <v>0.35491365055435875</v>
      </c>
      <c r="X37" s="67">
        <v>22.023487677124248</v>
      </c>
    </row>
    <row r="38" spans="22:24" x14ac:dyDescent="0.25">
      <c r="V38" s="67">
        <v>1.3737373737373744</v>
      </c>
      <c r="W38" s="67">
        <v>0.32656305749428072</v>
      </c>
      <c r="X38" s="67">
        <v>22.725669129066404</v>
      </c>
    </row>
    <row r="39" spans="22:24" x14ac:dyDescent="0.25">
      <c r="V39" s="67">
        <v>1.4141414141414148</v>
      </c>
      <c r="W39" s="67">
        <v>0.30013473060908347</v>
      </c>
      <c r="X39" s="67">
        <v>23.438711148159229</v>
      </c>
    </row>
    <row r="40" spans="22:24" x14ac:dyDescent="0.25">
      <c r="V40" s="67">
        <v>1.4545454545454553</v>
      </c>
      <c r="W40" s="67">
        <v>0.27553048882806019</v>
      </c>
      <c r="X40" s="67">
        <v>24.162484916146827</v>
      </c>
    </row>
    <row r="41" spans="22:24" x14ac:dyDescent="0.25">
      <c r="V41" s="67">
        <v>1.4949494949494957</v>
      </c>
      <c r="W41" s="67">
        <v>0.25265427663989926</v>
      </c>
      <c r="X41" s="67">
        <v>24.896860017687921</v>
      </c>
    </row>
    <row r="42" spans="22:24" x14ac:dyDescent="0.25">
      <c r="V42" s="67">
        <v>1.5353535353535361</v>
      </c>
      <c r="W42" s="67">
        <v>0.23141239247193301</v>
      </c>
      <c r="X42" s="67">
        <v>25.641704643614705</v>
      </c>
    </row>
    <row r="43" spans="22:24" x14ac:dyDescent="0.25">
      <c r="V43" s="67">
        <v>1.5757575757575766</v>
      </c>
      <c r="W43" s="67">
        <v>0.21171368722703032</v>
      </c>
      <c r="X43" s="67">
        <v>26.396885766872725</v>
      </c>
    </row>
    <row r="44" spans="22:24" x14ac:dyDescent="0.25">
      <c r="V44" s="67">
        <v>1.616161616161617</v>
      </c>
      <c r="W44" s="67">
        <v>0.19346973403010503</v>
      </c>
      <c r="X44" s="67">
        <v>27.162269292245533</v>
      </c>
    </row>
    <row r="45" spans="22:24" x14ac:dyDescent="0.25">
      <c r="V45" s="67">
        <v>1.6565656565656575</v>
      </c>
      <c r="W45" s="67">
        <v>0.17659497036911775</v>
      </c>
      <c r="X45" s="67">
        <v>27.937720181097536</v>
      </c>
    </row>
    <row r="46" spans="22:24" x14ac:dyDescent="0.25">
      <c r="V46" s="67">
        <v>1.6969696969696979</v>
      </c>
      <c r="W46" s="67">
        <v>0.16100681392742511</v>
      </c>
      <c r="X46" s="67">
        <v>28.723102552477965</v>
      </c>
    </row>
    <row r="47" spans="22:24" x14ac:dyDescent="0.25">
      <c r="V47" s="67">
        <v>1.7373737373737383</v>
      </c>
      <c r="W47" s="67">
        <v>0.14662575349693174</v>
      </c>
      <c r="X47" s="67">
        <v>29.518279762019418</v>
      </c>
    </row>
    <row r="48" spans="22:24" x14ac:dyDescent="0.25">
      <c r="V48" s="67">
        <v>1.7777777777777788</v>
      </c>
      <c r="W48" s="67">
        <v>0.13337541643436146</v>
      </c>
      <c r="X48" s="67">
        <v>30.323114460134803</v>
      </c>
    </row>
    <row r="49" spans="22:24" x14ac:dyDescent="0.25">
      <c r="V49" s="67">
        <v>1.8181818181818192</v>
      </c>
      <c r="W49" s="67">
        <v>0.12118261417768117</v>
      </c>
      <c r="X49" s="67">
        <v>31.137468631067112</v>
      </c>
    </row>
    <row r="50" spans="22:24" x14ac:dyDescent="0.25">
      <c r="V50" s="67">
        <v>1.8585858585858597</v>
      </c>
      <c r="W50" s="67">
        <v>0.1099773673768456</v>
      </c>
      <c r="X50" s="67">
        <v>31.961203614383638</v>
      </c>
    </row>
    <row r="51" spans="22:24" x14ac:dyDescent="0.25">
      <c r="V51" s="67">
        <v>1.8989898989899001</v>
      </c>
      <c r="W51" s="67">
        <v>9.9692912213755758E-2</v>
      </c>
      <c r="X51" s="67">
        <v>32.794180110521168</v>
      </c>
    </row>
    <row r="52" spans="22:24" x14ac:dyDescent="0.25">
      <c r="V52" s="67">
        <v>1.9393939393939406</v>
      </c>
      <c r="W52" s="67">
        <v>9.026568949187519E-2</v>
      </c>
      <c r="X52" s="67">
        <v>33.636258171993362</v>
      </c>
    </row>
    <row r="53" spans="22:24" x14ac:dyDescent="0.25">
      <c r="V53" s="67">
        <v>1.979797979797981</v>
      </c>
      <c r="W53" s="67">
        <v>8.1635318067441176E-2</v>
      </c>
      <c r="X53" s="67">
        <v>34.487297181859248</v>
      </c>
    </row>
    <row r="54" spans="22:24" x14ac:dyDescent="0.25">
      <c r="V54" s="67">
        <v>2.0202020202020212</v>
      </c>
      <c r="W54" s="67">
        <v>7.3744554173066357E-2</v>
      </c>
      <c r="X54" s="67">
        <v>35.347155821027634</v>
      </c>
    </row>
    <row r="55" spans="22:24" x14ac:dyDescent="0.25">
      <c r="V55" s="67">
        <v>2.0606060606060614</v>
      </c>
      <c r="W55" s="67">
        <v>6.6539238151852587E-2</v>
      </c>
      <c r="X55" s="67">
        <v>36.215692025936882</v>
      </c>
    </row>
    <row r="56" spans="22:24" x14ac:dyDescent="0.25">
      <c r="V56" s="67">
        <v>2.1010101010101017</v>
      </c>
      <c r="W56" s="67">
        <v>5.9968230077464546E-2</v>
      </c>
      <c r="X56" s="67">
        <v>37.092762938102986</v>
      </c>
    </row>
    <row r="57" spans="22:24" x14ac:dyDescent="0.25">
      <c r="V57" s="67">
        <v>2.1414141414141419</v>
      </c>
      <c r="W57" s="67">
        <v>5.398333568419067E-2</v>
      </c>
      <c r="X57" s="67">
        <v>37.978224846975017</v>
      </c>
    </row>
    <row r="58" spans="22:24" x14ac:dyDescent="0.25">
      <c r="V58" s="67">
        <v>2.1818181818181821</v>
      </c>
      <c r="W58" s="67">
        <v>4.8539223971932888E-2</v>
      </c>
      <c r="X58" s="67">
        <v>38.871933127474122</v>
      </c>
    </row>
    <row r="59" spans="22:24" x14ac:dyDescent="0.25">
      <c r="V59" s="67">
        <v>2.2222222222222223</v>
      </c>
      <c r="W59" s="67">
        <v>4.3593337785929887E-2</v>
      </c>
      <c r="X59" s="67">
        <v>39.773742173524099</v>
      </c>
    </row>
    <row r="60" spans="22:24" x14ac:dyDescent="0.25">
      <c r="V60" s="67">
        <v>2.2626262626262625</v>
      </c>
      <c r="W60" s="67">
        <v>3.9105798600772013E-2</v>
      </c>
      <c r="X60" s="67">
        <v>40.683505328807847</v>
      </c>
    </row>
    <row r="61" spans="22:24" x14ac:dyDescent="0.25">
      <c r="V61" s="67">
        <v>2.3030303030303028</v>
      </c>
      <c r="W61" s="67">
        <v>3.5039306664078063E-2</v>
      </c>
      <c r="X61" s="67">
        <v>41.601074815906827</v>
      </c>
    </row>
    <row r="62" spans="22:24" x14ac:dyDescent="0.25">
      <c r="V62" s="67">
        <v>2.343434343434343</v>
      </c>
      <c r="W62" s="67">
        <v>3.1359037578329585E-2</v>
      </c>
      <c r="X62" s="67">
        <v>42.52630166489952</v>
      </c>
    </row>
    <row r="63" spans="22:24" x14ac:dyDescent="0.25">
      <c r="V63" s="67">
        <v>2.3838383838383832</v>
      </c>
      <c r="W63" s="67">
        <v>2.8032536320513057E-2</v>
      </c>
      <c r="X63" s="67">
        <v>43.459035642413802</v>
      </c>
    </row>
    <row r="64" spans="22:24" x14ac:dyDescent="0.25">
      <c r="V64" s="67">
        <v>2.4242424242424234</v>
      </c>
      <c r="W64" s="67">
        <v>2.5029609619864335E-2</v>
      </c>
      <c r="X64" s="67">
        <v>44.399125182044145</v>
      </c>
    </row>
    <row r="65" spans="22:24" x14ac:dyDescent="0.25">
      <c r="V65" s="67">
        <v>2.4646464646464636</v>
      </c>
      <c r="W65" s="67">
        <v>2.2322217534040401E-2</v>
      </c>
      <c r="X65" s="67">
        <v>45.346417316962203</v>
      </c>
    </row>
    <row r="66" spans="22:24" x14ac:dyDescent="0.25">
      <c r="V66" s="67">
        <v>2.5050505050505039</v>
      </c>
      <c r="W66" s="67">
        <v>1.9884364985586767E-2</v>
      </c>
      <c r="X66" s="67">
        <v>46.30075761546658</v>
      </c>
    </row>
    <row r="67" spans="22:24" x14ac:dyDescent="0.25">
      <c r="V67" s="67">
        <v>2.5454545454545441</v>
      </c>
      <c r="W67" s="67">
        <v>1.7691993942853257E-2</v>
      </c>
      <c r="X67" s="67">
        <v>47.261990120136765</v>
      </c>
    </row>
    <row r="68" spans="22:24" x14ac:dyDescent="0.25">
      <c r="V68" s="67">
        <v>2.5858585858585843</v>
      </c>
      <c r="W68" s="67">
        <v>1.5722876854259993E-2</v>
      </c>
      <c r="X68" s="67">
        <v>48.229957291177492</v>
      </c>
    </row>
    <row r="69" spans="22:24" x14ac:dyDescent="0.25">
      <c r="V69" s="67">
        <v>2.6262626262626245</v>
      </c>
      <c r="W69" s="67">
        <v>1.3956511872062483E-2</v>
      </c>
      <c r="X69" s="67">
        <v>49.204499954463657</v>
      </c>
    </row>
    <row r="70" spans="22:24" x14ac:dyDescent="0.25">
      <c r="V70" s="67">
        <v>2.6666666666666647</v>
      </c>
      <c r="W70" s="67">
        <v>1.2374020331690216E-2</v>
      </c>
      <c r="X70" s="67">
        <v>50.185457254721911</v>
      </c>
    </row>
    <row r="71" spans="22:24" x14ac:dyDescent="0.25">
      <c r="V71" s="67">
        <v>2.707070707070705</v>
      </c>
      <c r="W71" s="67">
        <v>1.0958046886477835E-2</v>
      </c>
      <c r="X71" s="67">
        <v>51.172666614215778</v>
      </c>
    </row>
    <row r="72" spans="22:24" x14ac:dyDescent="0.25">
      <c r="V72" s="67">
        <v>2.7474747474747452</v>
      </c>
      <c r="W72" s="67">
        <v>9.6926626345472666E-3</v>
      </c>
      <c r="X72" s="67">
        <v>52.165963697234893</v>
      </c>
    </row>
    <row r="73" spans="22:24" x14ac:dyDescent="0.25">
      <c r="V73" s="67">
        <v>2.7878787878787854</v>
      </c>
      <c r="W73" s="67">
        <v>8.5632715156130912E-3</v>
      </c>
      <c r="X73" s="67">
        <v>53.165182380625673</v>
      </c>
    </row>
    <row r="74" spans="22:24" x14ac:dyDescent="0.25">
      <c r="V74" s="67">
        <v>2.8282828282828256</v>
      </c>
      <c r="W74" s="67">
        <v>7.556520200333039E-3</v>
      </c>
      <c r="X74" s="67">
        <v>54.170154730543111</v>
      </c>
    </row>
    <row r="75" spans="22:24" x14ac:dyDescent="0.25">
      <c r="V75" s="67">
        <v>2.8686868686868658</v>
      </c>
      <c r="W75" s="67">
        <v>6.660211643932934E-3</v>
      </c>
      <c r="X75" s="67">
        <v>55.180710985548799</v>
      </c>
    </row>
    <row r="76" spans="22:24" x14ac:dyDescent="0.25">
      <c r="V76" s="67">
        <v>2.9090909090909061</v>
      </c>
      <c r="W76" s="67">
        <v>5.8632224287175072E-3</v>
      </c>
      <c r="X76" s="67">
        <v>56.196679546129758</v>
      </c>
    </row>
    <row r="77" spans="22:24" x14ac:dyDescent="0.25">
      <c r="V77" s="67">
        <v>2.9494949494949463</v>
      </c>
      <c r="W77" s="67">
        <v>5.1554239774376232E-3</v>
      </c>
      <c r="X77" s="67">
        <v>57.217886970666918</v>
      </c>
    </row>
    <row r="78" spans="22:24" x14ac:dyDescent="0.25">
      <c r="V78" s="67">
        <v>2.9898989898989865</v>
      </c>
      <c r="W78" s="67">
        <v>4.5276076804878773E-3</v>
      </c>
      <c r="X78" s="67">
        <v>58.244157977840082</v>
      </c>
    </row>
    <row r="79" spans="22:24" x14ac:dyDescent="0.25">
      <c r="V79" s="67">
        <v>3.0303030303030267</v>
      </c>
      <c r="W79" s="67">
        <v>3.9714139451196839E-3</v>
      </c>
      <c r="X79" s="67">
        <v>59.275315455417669</v>
      </c>
    </row>
    <row r="80" spans="22:24" x14ac:dyDescent="0.25">
      <c r="V80" s="67">
        <v>3.0707070707070669</v>
      </c>
      <c r="W80" s="67">
        <v>3.4792651436466038E-3</v>
      </c>
      <c r="X80" s="67">
        <v>60.311180475346163</v>
      </c>
    </row>
    <row r="81" spans="22:24" x14ac:dyDescent="0.25">
      <c r="V81" s="67">
        <v>3.1111111111111072</v>
      </c>
      <c r="W81" s="67">
        <v>3.0443024101961536E-3</v>
      </c>
      <c r="X81" s="67">
        <v>61.351572315022793</v>
      </c>
    </row>
    <row r="82" spans="22:24" x14ac:dyDescent="0.25">
      <c r="V82" s="67">
        <v>3.1515151515151474</v>
      </c>
      <c r="W82" s="67">
        <v>2.6603262114621717E-3</v>
      </c>
      <c r="X82" s="67">
        <v>62.39630848460871</v>
      </c>
    </row>
    <row r="83" spans="22:24" x14ac:dyDescent="0.25">
      <c r="V83" s="67">
        <v>3.1919191919191876</v>
      </c>
      <c r="W83" s="67">
        <v>2.3217405961950544E-3</v>
      </c>
      <c r="X83" s="67">
        <v>63.445204760215901</v>
      </c>
    </row>
    <row r="84" spans="22:24" x14ac:dyDescent="0.25">
      <c r="V84" s="67">
        <v>3.2323232323232278</v>
      </c>
      <c r="W84" s="67">
        <v>2.0235010102870321E-3</v>
      </c>
      <c r="X84" s="67">
        <v>64.498075222780557</v>
      </c>
    </row>
    <row r="85" spans="22:24" x14ac:dyDescent="0.25">
      <c r="V85" s="67">
        <v>3.272727272727268</v>
      </c>
      <c r="W85" s="67">
        <v>1.7610655495131633E-3</v>
      </c>
      <c r="X85" s="67">
        <v>65.554732302418245</v>
      </c>
    </row>
    <row r="86" spans="22:24" x14ac:dyDescent="0.25">
      <c r="V86" s="67">
        <v>3.3131313131313083</v>
      </c>
      <c r="W86" s="67">
        <v>1.5303495094709518E-3</v>
      </c>
      <c r="X86" s="67">
        <v>66.614986828040685</v>
      </c>
    </row>
    <row r="87" spans="22:24" x14ac:dyDescent="0.25">
      <c r="V87" s="67">
        <v>3.3535353535353485</v>
      </c>
      <c r="W87" s="67">
        <v>1.3276830823277797E-3</v>
      </c>
      <c r="X87" s="67">
        <v>67.678648082002297</v>
      </c>
    </row>
    <row r="88" spans="22:24" x14ac:dyDescent="0.25">
      <c r="V88" s="67">
        <v>3.3939393939393887</v>
      </c>
      <c r="W88" s="67">
        <v>1.1497720420999835E-3</v>
      </c>
      <c r="X88" s="67">
        <v>68.745523859533407</v>
      </c>
    </row>
    <row r="89" spans="22:24" x14ac:dyDescent="0.25">
      <c r="V89" s="67">
        <v>3.4343434343434289</v>
      </c>
      <c r="W89" s="67">
        <v>9.9366125403399508E-4</v>
      </c>
      <c r="X89" s="67">
        <v>69.815420532709155</v>
      </c>
    </row>
    <row r="90" spans="22:24" x14ac:dyDescent="0.25">
      <c r="V90" s="67">
        <v>3.4747474747474691</v>
      </c>
      <c r="W90" s="67">
        <v>8.5670083951050469E-4</v>
      </c>
      <c r="X90" s="67">
        <v>70.888143118696931</v>
      </c>
    </row>
    <row r="91" spans="22:24" x14ac:dyDescent="0.25">
      <c r="V91" s="67">
        <v>3.5151515151515094</v>
      </c>
      <c r="W91" s="67">
        <v>7.3651482476455588E-4</v>
      </c>
      <c r="X91" s="67">
        <v>71.963495352019194</v>
      </c>
    </row>
    <row r="92" spans="22:24" x14ac:dyDescent="0.25">
      <c r="V92" s="67">
        <v>3.5555555555555496</v>
      </c>
      <c r="W92" s="67">
        <v>6.3097210019069649E-4</v>
      </c>
      <c r="X92" s="67">
        <v>73.041279760565985</v>
      </c>
    </row>
    <row r="93" spans="22:24" x14ac:dyDescent="0.25">
      <c r="V93" s="67">
        <v>3.5959595959595898</v>
      </c>
      <c r="W93" s="67">
        <v>5.3815951626678959E-4</v>
      </c>
      <c r="X93" s="67">
        <v>74.121297745088015</v>
      </c>
    </row>
    <row r="94" spans="22:24" x14ac:dyDescent="0.25">
      <c r="V94" s="67">
        <v>3.63636363636363</v>
      </c>
      <c r="W94" s="67">
        <v>4.5635694234658075E-4</v>
      </c>
      <c r="X94" s="67">
        <v>75.203349661900162</v>
      </c>
    </row>
    <row r="95" spans="22:24" x14ac:dyDescent="0.25">
      <c r="V95" s="67">
        <v>3.6767676767676702</v>
      </c>
      <c r="W95" s="67">
        <v>3.840141154703991E-4</v>
      </c>
      <c r="X95" s="67">
        <v>76.287234908524511</v>
      </c>
    </row>
    <row r="96" spans="22:24" x14ac:dyDescent="0.25">
      <c r="V96" s="67">
        <v>3.7171717171717105</v>
      </c>
      <c r="W96" s="67">
        <v>3.1972910769506591E-4</v>
      </c>
      <c r="X96" s="67">
        <v>77.372752012001385</v>
      </c>
    </row>
    <row r="97" spans="22:24" x14ac:dyDescent="0.25">
      <c r="V97" s="67">
        <v>3.7575757575757507</v>
      </c>
      <c r="W97" s="67">
        <v>2.6222824213995022E-4</v>
      </c>
      <c r="X97" s="67">
        <v>78.45969871959808</v>
      </c>
    </row>
    <row r="98" spans="22:24" x14ac:dyDescent="0.25">
      <c r="V98" s="67">
        <v>3.7979797979797909</v>
      </c>
      <c r="W98" s="67">
        <v>2.1034728990843021E-4</v>
      </c>
      <c r="X98" s="67">
        <v>79.547872091644663</v>
      </c>
    </row>
    <row r="99" spans="22:24" x14ac:dyDescent="0.25">
      <c r="V99" s="67">
        <v>3.8383838383838311</v>
      </c>
      <c r="W99" s="67">
        <v>1.6301378220895391E-4</v>
      </c>
      <c r="X99" s="67">
        <v>80.637068596228232</v>
      </c>
    </row>
    <row r="100" spans="22:24" x14ac:dyDescent="0.25">
      <c r="V100" s="67">
        <v>3.8787878787878713</v>
      </c>
      <c r="W100" s="67">
        <v>1.1923027370408512E-4</v>
      </c>
      <c r="X100" s="67">
        <v>81.727084205476956</v>
      </c>
    </row>
    <row r="101" spans="22:24" x14ac:dyDescent="0.25">
      <c r="V101" s="67">
        <v>3.9191919191919116</v>
      </c>
      <c r="W101" s="67">
        <v>7.805839545571569E-5</v>
      </c>
      <c r="X101" s="67">
        <v>82.817714493167472</v>
      </c>
    </row>
    <row r="102" spans="22:24" x14ac:dyDescent="0.25">
      <c r="V102" s="67">
        <v>3.9595959595959518</v>
      </c>
      <c r="W102" s="67">
        <v>3.860353713913689E-5</v>
      </c>
      <c r="X102" s="67">
        <v>83.908754733389017</v>
      </c>
    </row>
    <row r="103" spans="22:24" x14ac:dyDescent="0.25">
      <c r="V103" s="67">
        <v>3.999999999999992</v>
      </c>
      <c r="W103" s="67">
        <v>0</v>
      </c>
      <c r="X103" s="67">
        <v>84.999999999999801</v>
      </c>
    </row>
  </sheetData>
  <mergeCells count="1">
    <mergeCell ref="B3:E3"/>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9BE342C-4825-4C37-8B06-2BC057F7E5E8}">
          <x14:formula1>
            <xm:f>Lookups!$B$2:$B$3</xm:f>
          </x14:formula1>
          <xm:sqref>C8</xm:sqref>
        </x14:dataValidation>
        <x14:dataValidation type="list" allowBlank="1" showInputMessage="1" showErrorMessage="1" xr:uid="{B76B9379-FEEF-4C14-95DC-1C0710F5B199}">
          <x14:formula1>
            <xm:f>Lookups!$A$2:$A$5</xm:f>
          </x14:formula1>
          <xm:sqref>D5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228F-9E19-4A63-B54C-224202E4D790}">
  <dimension ref="B1:K112"/>
  <sheetViews>
    <sheetView showGridLines="0" workbookViewId="0"/>
  </sheetViews>
  <sheetFormatPr defaultRowHeight="15" x14ac:dyDescent="0.25"/>
  <cols>
    <col min="1" max="1" width="4.140625" customWidth="1"/>
    <col min="2" max="2" width="25.140625" customWidth="1"/>
    <col min="8" max="11" width="0" hidden="1" customWidth="1"/>
  </cols>
  <sheetData>
    <row r="1" spans="2:11" x14ac:dyDescent="0.25">
      <c r="B1" s="14" t="s">
        <v>93</v>
      </c>
    </row>
    <row r="2" spans="2:11" ht="15.75" thickBot="1" x14ac:dyDescent="0.3"/>
    <row r="3" spans="2:11" x14ac:dyDescent="0.25">
      <c r="B3" s="90" t="s">
        <v>88</v>
      </c>
      <c r="C3" s="91">
        <v>45</v>
      </c>
      <c r="D3" s="91"/>
      <c r="E3" s="91"/>
      <c r="F3" s="92"/>
    </row>
    <row r="4" spans="2:11" x14ac:dyDescent="0.25">
      <c r="B4" s="28" t="s">
        <v>89</v>
      </c>
      <c r="C4" s="72">
        <v>95</v>
      </c>
      <c r="D4" s="72"/>
      <c r="E4" s="72"/>
      <c r="F4" s="20"/>
    </row>
    <row r="5" spans="2:11" x14ac:dyDescent="0.25">
      <c r="B5" s="28" t="s">
        <v>92</v>
      </c>
      <c r="C5" s="72">
        <v>1.5</v>
      </c>
      <c r="D5" s="72">
        <v>2</v>
      </c>
      <c r="E5" s="72">
        <v>3</v>
      </c>
      <c r="F5" s="20">
        <v>4</v>
      </c>
      <c r="H5" cm="1">
        <f t="array" ref="H5:K5">C5:F5</f>
        <v>1.5</v>
      </c>
      <c r="I5">
        <v>2</v>
      </c>
      <c r="J5">
        <v>3</v>
      </c>
      <c r="K5">
        <v>4</v>
      </c>
    </row>
    <row r="6" spans="2:11" x14ac:dyDescent="0.25">
      <c r="B6" s="28" t="s">
        <v>90</v>
      </c>
      <c r="C6" s="50" t="s">
        <v>68</v>
      </c>
      <c r="D6" s="72"/>
      <c r="E6" s="72"/>
      <c r="F6" s="20"/>
    </row>
    <row r="7" spans="2:11" ht="15.75" thickBot="1" x14ac:dyDescent="0.3">
      <c r="B7" s="33" t="s">
        <v>91</v>
      </c>
      <c r="C7" s="80">
        <v>0.9</v>
      </c>
      <c r="D7" s="80"/>
      <c r="E7" s="80"/>
      <c r="F7" s="34"/>
    </row>
    <row r="10" spans="2:11" hidden="1" x14ac:dyDescent="0.25">
      <c r="B10" t="s">
        <v>87</v>
      </c>
    </row>
    <row r="11" spans="2:11" hidden="1" x14ac:dyDescent="0.25">
      <c r="B11" cm="1">
        <f t="array" ref="B11:B110">LINSPACE(C3,C4,100)</f>
        <v>45</v>
      </c>
      <c r="C11" cm="1">
        <f t="array" ref="C11:C110">100*PFA_SYMMETRIC(1,_xlfn.IFS($C$6="Manual",$C$7, $C$6="RDS", SQRT(1-1/C5^2),TRUE,1),1/C$5/2,SIGMA_FROM_ITP(0,-1,1,_xlfn.ANCHORARRAY($B11)/100))</f>
        <v>4.8823042891965702</v>
      </c>
      <c r="D11" cm="1">
        <f t="array" ref="D11:D110">100*PFA_SYMMETRIC(1,_xlfn.IFS($C$6="Manual",$C$7, $C$6="RDS", SQRT(1-1/D5^2),TRUE,1),1/D$5/2,SIGMA_FROM_ITP(0,-1,1,_xlfn.ANCHORARRAY($B11)/100))</f>
        <v>3.7467805606700932</v>
      </c>
      <c r="E11" cm="1">
        <f t="array" ref="E11:E110">100*PFA_SYMMETRIC(1,_xlfn.IFS($C$6="Manual",$C$7, $C$6="RDS", SQRT(1-1/E5^2),TRUE,1),1/E$5/2,SIGMA_FROM_ITP(0,-1,1,_xlfn.ANCHORARRAY($B11)/100))</f>
        <v>2.5532333128011842</v>
      </c>
      <c r="F11" cm="1">
        <f t="array" ref="F11:F110">100*PFA_SYMMETRIC(1,_xlfn.IFS($C$6="Manual",$C$7, $C$6="RDS", SQRT(1-1/F5^2),TRUE,1),1/F$5/2,SIGMA_FROM_ITP(0,-1,1,_xlfn.ANCHORARRAY($B11)/100))</f>
        <v>1.9352008800529785</v>
      </c>
      <c r="H11" cm="1">
        <f t="array" ref="H11:H110">100*PFR_SYMMETRIC(1,_xlfn.IFS($C$6="Manual",$C$7, $C$6="RDS", SQRT(1-1/C5^2),TRUE,1),1/C$5/2,SIGMA_FROM_ITP(0,-1,1,_xlfn.ANCHORARRAY($B11)/100))</f>
        <v>5.6588500791239671</v>
      </c>
      <c r="I11" cm="1">
        <f t="array" ref="I11:I110">100*PFR_SYMMETRIC(1,_xlfn.IFS($C$6="Manual",$C$7, $C$6="RDS", SQRT(1-1/D5^2),TRUE,1),1/D$5/2,SIGMA_FROM_ITP(0,-1,1,_xlfn.ANCHORARRAY($B11)/100))</f>
        <v>4.1886396259021241</v>
      </c>
      <c r="J11" cm="1">
        <f t="array" ref="J11:J110">100*PFR_SYMMETRIC(1,_xlfn.IFS($C$6="Manual",$C$7, $C$6="RDS", SQRT(1-1/E5^2),TRUE,1),1/E$5/2,SIGMA_FROM_ITP(0,-1,1,_xlfn.ANCHORARRAY($B11)/100))</f>
        <v>2.7512551504362159</v>
      </c>
      <c r="K11" cm="1">
        <f t="array" ref="K11:K110">100*PFR_SYMMETRIC(1,_xlfn.IFS($C$6="Manual",$C$7, $C$6="RDS", SQRT(1-1/F5^2),TRUE,1),1/F$5/2,SIGMA_FROM_ITP(0,-1,1,_xlfn.ANCHORARRAY($B11)/100))</f>
        <v>2.0469151642966366</v>
      </c>
    </row>
    <row r="12" spans="2:11" hidden="1" x14ac:dyDescent="0.25">
      <c r="B12">
        <v>45.505050505050505</v>
      </c>
      <c r="C12">
        <v>4.9114759678914819</v>
      </c>
      <c r="D12">
        <v>3.7712239835742234</v>
      </c>
      <c r="E12">
        <v>2.5712637878222866</v>
      </c>
      <c r="F12">
        <v>1.9493756575431731</v>
      </c>
      <c r="H12">
        <v>5.7138281107320834</v>
      </c>
      <c r="I12">
        <v>4.2278795981720023</v>
      </c>
      <c r="J12">
        <v>2.7759537353172936</v>
      </c>
      <c r="K12">
        <v>2.0648591636666769</v>
      </c>
    </row>
    <row r="13" spans="2:11" hidden="1" x14ac:dyDescent="0.25">
      <c r="B13">
        <v>46.01010101010101</v>
      </c>
      <c r="C13">
        <v>4.9397794083042683</v>
      </c>
      <c r="D13">
        <v>3.7950543361112588</v>
      </c>
      <c r="E13">
        <v>2.5889152724618003</v>
      </c>
      <c r="F13">
        <v>1.963278389794032</v>
      </c>
      <c r="H13">
        <v>5.7684775157996189</v>
      </c>
      <c r="I13">
        <v>4.2668219027407472</v>
      </c>
      <c r="J13">
        <v>2.8004174579022822</v>
      </c>
      <c r="K13">
        <v>2.0826129882667299</v>
      </c>
    </row>
    <row r="14" spans="2:11" hidden="1" x14ac:dyDescent="0.25">
      <c r="B14">
        <v>46.515151515151516</v>
      </c>
      <c r="C14">
        <v>4.9672042609576197</v>
      </c>
      <c r="D14">
        <v>3.8182633433293645</v>
      </c>
      <c r="E14">
        <v>2.6061821058207535</v>
      </c>
      <c r="F14">
        <v>1.9769048339810302</v>
      </c>
      <c r="H14">
        <v>5.8227918103427703</v>
      </c>
      <c r="I14">
        <v>4.3054607679826162</v>
      </c>
      <c r="J14">
        <v>2.824641882995238</v>
      </c>
      <c r="K14">
        <v>2.100173108023895</v>
      </c>
    </row>
    <row r="15" spans="2:11" hidden="1" x14ac:dyDescent="0.25">
      <c r="B15">
        <v>47.020202020202021</v>
      </c>
      <c r="C15">
        <v>4.9937401400323713</v>
      </c>
      <c r="D15">
        <v>3.840842666720218</v>
      </c>
      <c r="E15">
        <v>2.6230585639420045</v>
      </c>
      <c r="F15">
        <v>1.9902506936625319</v>
      </c>
      <c r="H15">
        <v>5.8767643736811257</v>
      </c>
      <c r="I15">
        <v>4.34379030427377</v>
      </c>
      <c r="J15">
        <v>2.8486224890096778</v>
      </c>
      <c r="K15">
        <v>2.1175359263216897</v>
      </c>
    </row>
    <row r="16" spans="2:11" hidden="1" x14ac:dyDescent="0.25">
      <c r="B16">
        <v>47.525252525252526</v>
      </c>
      <c r="C16">
        <v>5.0193766220646747</v>
      </c>
      <c r="D16">
        <v>3.8627839024624189</v>
      </c>
      <c r="E16">
        <v>2.639538858051671</v>
      </c>
      <c r="F16">
        <v>2.0033116172469612</v>
      </c>
      <c r="H16">
        <v>5.9303884436604832</v>
      </c>
      <c r="I16">
        <v>4.3818044999315298</v>
      </c>
      <c r="J16">
        <v>2.8723546650667897</v>
      </c>
      <c r="K16">
        <v>2.1346977777996434</v>
      </c>
    </row>
    <row r="17" spans="2:11" hidden="1" x14ac:dyDescent="0.25">
      <c r="B17">
        <v>48.030303030303031</v>
      </c>
      <c r="C17">
        <v>5.0441032445929128</v>
      </c>
      <c r="D17">
        <v>3.8840785796064536</v>
      </c>
      <c r="E17">
        <v>2.6556171327402458</v>
      </c>
      <c r="F17">
        <v>2.0160831964066261</v>
      </c>
      <c r="H17">
        <v>5.983657111670615</v>
      </c>
      <c r="I17">
        <v>4.419497216982748</v>
      </c>
      <c r="J17">
        <v>2.8958337079733774</v>
      </c>
      <c r="K17">
        <v>2.1516549260637619</v>
      </c>
    </row>
    <row r="18" spans="2:11" hidden="1" x14ac:dyDescent="0.25">
      <c r="B18">
        <v>48.535353535353536</v>
      </c>
      <c r="C18">
        <v>5.067909504752544</v>
      </c>
      <c r="D18">
        <v>3.9047181581979453</v>
      </c>
      <c r="E18">
        <v>2.6712874640815452</v>
      </c>
      <c r="F18">
        <v>2.0285609644354663</v>
      </c>
      <c r="H18">
        <v>6.0365633174471967</v>
      </c>
      <c r="I18">
        <v>4.4568621867513034</v>
      </c>
      <c r="J18">
        <v>2.9190548190744128</v>
      </c>
      <c r="K18">
        <v>2.1684035613032115</v>
      </c>
    </row>
    <row r="19" spans="2:11" hidden="1" x14ac:dyDescent="0.25">
      <c r="B19">
        <v>49.040404040404042</v>
      </c>
      <c r="C19">
        <v>5.09078485781595</v>
      </c>
      <c r="D19">
        <v>3.9246940273365007</v>
      </c>
      <c r="E19">
        <v>2.6865438576860079</v>
      </c>
      <c r="F19">
        <v>2.0407403945481239</v>
      </c>
      <c r="H19">
        <v>6.0890998436456565</v>
      </c>
      <c r="I19">
        <v>4.4938930052550505</v>
      </c>
      <c r="J19">
        <v>2.9420131009727513</v>
      </c>
      <c r="K19">
        <v>2.1849397978077834</v>
      </c>
    </row>
    <row r="20" spans="2:11" hidden="1" x14ac:dyDescent="0.25">
      <c r="B20">
        <v>49.545454545454547</v>
      </c>
      <c r="C20">
        <v>5.1127187156752569</v>
      </c>
      <c r="D20">
        <v>3.9439975031673735</v>
      </c>
      <c r="E20">
        <v>2.701380246685364</v>
      </c>
      <c r="F20">
        <v>2.0526168981176096</v>
      </c>
      <c r="H20">
        <v>6.1412593101749069</v>
      </c>
      <c r="I20">
        <v>4.5305831284020996</v>
      </c>
      <c r="J20">
        <v>2.9647035541090663</v>
      </c>
      <c r="K20">
        <v>2.2012596713816501</v>
      </c>
    </row>
    <row r="21" spans="2:11" hidden="1" x14ac:dyDescent="0.25">
      <c r="B21">
        <v>50.050505050505052</v>
      </c>
      <c r="C21">
        <v>5.1337004452650712</v>
      </c>
      <c r="D21">
        <v>3.9626198268026158</v>
      </c>
      <c r="E21">
        <v>2.715790489645725</v>
      </c>
      <c r="F21">
        <v>2.0641858228487853</v>
      </c>
      <c r="H21">
        <v>6.1930341682770891</v>
      </c>
      <c r="I21">
        <v>4.5669258669752413</v>
      </c>
      <c r="J21">
        <v>2.9871210731948814</v>
      </c>
      <c r="K21">
        <v>2.2173591366476231</v>
      </c>
    </row>
    <row r="22" spans="2:11" hidden="1" x14ac:dyDescent="0.25">
      <c r="B22">
        <v>50.555555555555557</v>
      </c>
      <c r="C22">
        <v>5.1537193669227657</v>
      </c>
      <c r="D22">
        <v>3.980552162168455</v>
      </c>
      <c r="E22">
        <v>2.7297683684052498</v>
      </c>
      <c r="F22">
        <v>2.075442450884224</v>
      </c>
      <c r="H22">
        <v>6.2444166943395718</v>
      </c>
      <c r="I22">
        <v>4.6029143813927416</v>
      </c>
      <c r="J22">
        <v>3.0092604434899748</v>
      </c>
      <c r="K22">
        <v>2.2332340642357784</v>
      </c>
    </row>
    <row r="23" spans="2:11" hidden="1" x14ac:dyDescent="0.25">
      <c r="B23">
        <v>51.060606060606062</v>
      </c>
      <c r="C23">
        <v>5.1727647526828955</v>
      </c>
      <c r="D23">
        <v>3.9977855937753715</v>
      </c>
      <c r="E23">
        <v>2.7433075858331324</v>
      </c>
      <c r="F23">
        <v>2.0863819968390929</v>
      </c>
      <c r="H23">
        <v>6.2953989834234223</v>
      </c>
      <c r="I23">
        <v>4.6385416762329825</v>
      </c>
      <c r="J23">
        <v>3.031116336916384</v>
      </c>
      <c r="K23">
        <v>2.2488802378501149</v>
      </c>
    </row>
    <row r="24" spans="2:11" hidden="1" x14ac:dyDescent="0.25">
      <c r="B24">
        <v>51.565656565656568</v>
      </c>
      <c r="C24">
        <v>5.1908258245026264</v>
      </c>
      <c r="D24">
        <v>4.0143111244072047</v>
      </c>
      <c r="E24">
        <v>2.7564017635056559</v>
      </c>
      <c r="F24">
        <v>2.0969996057622287</v>
      </c>
      <c r="H24">
        <v>6.3459729424925779</v>
      </c>
      <c r="I24">
        <v>4.6738005945095029</v>
      </c>
      <c r="J24">
        <v>3.0526833079989713</v>
      </c>
      <c r="K24">
        <v>2.2642933512074084</v>
      </c>
    </row>
    <row r="25" spans="2:11" hidden="1" x14ac:dyDescent="0.25">
      <c r="B25">
        <v>52.070707070707073</v>
      </c>
      <c r="C25">
        <v>5.2078917524154384</v>
      </c>
      <c r="D25">
        <v>4.0301196727253021</v>
      </c>
      <c r="E25">
        <v>2.7690444392959312</v>
      </c>
      <c r="F25">
        <v>2.10729035101892</v>
      </c>
      <c r="H25">
        <v>6.3961302833263733</v>
      </c>
      <c r="I25">
        <v>4.7086838116824126</v>
      </c>
      <c r="J25">
        <v>3.073955789624172</v>
      </c>
      <c r="K25">
        <v>2.2794690048399846</v>
      </c>
    </row>
    <row r="26" spans="2:11" hidden="1" x14ac:dyDescent="0.25">
      <c r="B26">
        <v>52.575757575757578</v>
      </c>
      <c r="C26">
        <v>5.2239516526087275</v>
      </c>
      <c r="D26">
        <v>4.0452020707838097</v>
      </c>
      <c r="E26">
        <v>2.7812290648720928</v>
      </c>
      <c r="F26">
        <v>2.1172492320917891</v>
      </c>
      <c r="H26">
        <v>6.4458625150962456</v>
      </c>
      <c r="I26">
        <v>4.7431838293907074</v>
      </c>
      <c r="J26">
        <v>3.0949280886050037</v>
      </c>
      <c r="K26">
        <v>2.2944027027556047</v>
      </c>
    </row>
    <row r="27" spans="2:11" hidden="1" x14ac:dyDescent="0.25">
      <c r="B27">
        <v>53.080808080808083</v>
      </c>
      <c r="C27">
        <v>5.2389945854222191</v>
      </c>
      <c r="D27">
        <v>4.0595490614511567</v>
      </c>
      <c r="E27">
        <v>2.792949003100337</v>
      </c>
      <c r="F27">
        <v>2.1268711722955413</v>
      </c>
      <c r="H27">
        <v>6.4951609365879461</v>
      </c>
      <c r="I27">
        <v>4.7772929688890855</v>
      </c>
      <c r="J27">
        <v>3.1155943810426967</v>
      </c>
      <c r="K27">
        <v>2.3090898489458889</v>
      </c>
    </row>
    <row r="28" spans="2:11" hidden="1" x14ac:dyDescent="0.25">
      <c r="B28">
        <v>53.585858585858588</v>
      </c>
      <c r="C28">
        <v>5.253009553262916</v>
      </c>
      <c r="D28">
        <v>4.0731512957335623</v>
      </c>
      <c r="E28">
        <v>2.8041975253471407</v>
      </c>
      <c r="F28">
        <v>2.1361510164015551</v>
      </c>
      <c r="H28">
        <v>6.5440166280466618</v>
      </c>
      <c r="I28">
        <v>4.8110033641720502</v>
      </c>
      <c r="J28">
        <v>3.1359487074719414</v>
      </c>
      <c r="K28">
        <v>2.323525743735261</v>
      </c>
    </row>
    <row r="29" spans="2:11" hidden="1" x14ac:dyDescent="0.25">
      <c r="B29">
        <v>54.090909090909093</v>
      </c>
      <c r="C29">
        <v>5.2659854984324799</v>
      </c>
      <c r="D29">
        <v>4.0859993299955768</v>
      </c>
      <c r="E29">
        <v>2.8149678086760055</v>
      </c>
      <c r="F29">
        <v>2.1450835281667802</v>
      </c>
      <c r="H29">
        <v>6.5924204426234203</v>
      </c>
      <c r="I29">
        <v>4.8443069547666475</v>
      </c>
      <c r="J29">
        <v>3.1559849677779859</v>
      </c>
      <c r="K29">
        <v>2.3377055799601978</v>
      </c>
    </row>
    <row r="30" spans="2:11" hidden="1" x14ac:dyDescent="0.25">
      <c r="B30">
        <v>54.595959595959599</v>
      </c>
      <c r="C30">
        <v>5.2779113008625149</v>
      </c>
      <c r="D30">
        <v>4.098083623072041</v>
      </c>
      <c r="E30">
        <v>2.8252529329332363</v>
      </c>
      <c r="F30">
        <v>2.1536633877627831</v>
      </c>
      <c r="H30">
        <v>6.6403629973978919</v>
      </c>
      <c r="I30">
        <v>4.8771954781736788</v>
      </c>
      <c r="J30">
        <v>3.1756969158717396</v>
      </c>
      <c r="K30">
        <v>2.3516244389700458</v>
      </c>
    </row>
    <row r="31" spans="2:11" hidden="1" x14ac:dyDescent="0.25">
      <c r="B31">
        <v>55.101010101010104</v>
      </c>
      <c r="C31">
        <v>5.2887757757530967</v>
      </c>
      <c r="D31">
        <v>4.1093945332660811</v>
      </c>
      <c r="E31">
        <v>2.8350458777167242</v>
      </c>
      <c r="F31">
        <v>2.1618851890989941</v>
      </c>
      <c r="H31">
        <v>6.6878346639514419</v>
      </c>
      <c r="I31">
        <v>4.9096604619358111</v>
      </c>
      <c r="J31">
        <v>3.1950781541083884</v>
      </c>
      <c r="K31">
        <v>2.3652772864376836</v>
      </c>
    </row>
    <row r="32" spans="2:11" hidden="1" x14ac:dyDescent="0.25">
      <c r="B32">
        <v>55.606060606060609</v>
      </c>
      <c r="C32">
        <v>5.2985676711094944</v>
      </c>
      <c r="D32">
        <v>4.1199223152275426</v>
      </c>
      <c r="E32">
        <v>2.8443395192216112</v>
      </c>
      <c r="F32">
        <v>2.1697434370349877</v>
      </c>
      <c r="H32">
        <v>6.7348255584624814</v>
      </c>
      <c r="I32">
        <v>4.941693215310222</v>
      </c>
      <c r="J32">
        <v>3.2141221274337273</v>
      </c>
      <c r="K32">
        <v>2.3786589679697379</v>
      </c>
    </row>
    <row r="33" spans="2:11" hidden="1" x14ac:dyDescent="0.25">
      <c r="B33">
        <v>56.111111111111114</v>
      </c>
      <c r="C33">
        <v>5.3072756651715789</v>
      </c>
      <c r="D33">
        <v>4.1296571167047045</v>
      </c>
      <c r="E33">
        <v>2.8531266269563926</v>
      </c>
      <c r="F33">
        <v>2.1772325444753826</v>
      </c>
      <c r="H33">
        <v>6.7813255312938914</v>
      </c>
      <c r="I33">
        <v>4.9732848205202131</v>
      </c>
      <c r="J33">
        <v>3.2328221172422511</v>
      </c>
      <c r="K33">
        <v>2.3917642045034548</v>
      </c>
    </row>
    <row r="34" spans="2:11" hidden="1" x14ac:dyDescent="0.25">
      <c r="B34">
        <v>56.616161616161619</v>
      </c>
      <c r="C34">
        <v>5.3148883637304687</v>
      </c>
      <c r="D34">
        <v>4.1385889751635041</v>
      </c>
      <c r="E34">
        <v>2.8613998603224333</v>
      </c>
      <c r="F34">
        <v>2.1843468293408828</v>
      </c>
      <c r="H34">
        <v>6.827324156040171</v>
      </c>
      <c r="I34">
        <v>5.0044261235599743</v>
      </c>
      <c r="J34">
        <v>3.2511712349286404</v>
      </c>
      <c r="K34">
        <v>2.4045875874774634</v>
      </c>
    </row>
    <row r="35" spans="2:11" hidden="1" x14ac:dyDescent="0.25">
      <c r="B35">
        <v>57.121212121212125</v>
      </c>
      <c r="C35">
        <v>5.3213942973259485</v>
      </c>
      <c r="D35">
        <v>4.1467078142663709</v>
      </c>
      <c r="E35">
        <v>2.8691517650491716</v>
      </c>
      <c r="F35">
        <v>2.1910805114093268</v>
      </c>
      <c r="H35">
        <v>6.8728107179990783</v>
      </c>
      <c r="I35">
        <v>5.0351077245235354</v>
      </c>
      <c r="J35">
        <v>3.2691624151134469</v>
      </c>
      <c r="K35">
        <v>2.4171235737628196</v>
      </c>
    </row>
    <row r="36" spans="2:11" hidden="1" x14ac:dyDescent="0.25">
      <c r="B36">
        <v>57.62626262626263</v>
      </c>
      <c r="C36">
        <v>5.3267819183187513</v>
      </c>
      <c r="D36">
        <v>4.1540034402033967</v>
      </c>
      <c r="E36">
        <v>2.8763747694773412</v>
      </c>
      <c r="F36">
        <v>2.1974277090182071</v>
      </c>
      <c r="H36">
        <v>6.917774202030758</v>
      </c>
      <c r="I36">
        <v>5.0653199674273619</v>
      </c>
      <c r="J36">
        <v>3.2867884085224732</v>
      </c>
      <c r="K36">
        <v>2.4293664803385076</v>
      </c>
    </row>
    <row r="37" spans="2:11" hidden="1" x14ac:dyDescent="0.25">
      <c r="B37">
        <v>58.131313131313135</v>
      </c>
      <c r="C37">
        <v>5.3310395978299949</v>
      </c>
      <c r="D37">
        <v>4.1604655378675526</v>
      </c>
      <c r="E37">
        <v>2.883061180681473</v>
      </c>
      <c r="F37">
        <v>2.2033824356217813</v>
      </c>
      <c r="H37">
        <v>6.9622032797631022</v>
      </c>
      <c r="I37">
        <v>5.0950529294936873</v>
      </c>
      <c r="J37">
        <v>3.304041774497918</v>
      </c>
      <c r="K37">
        <v>2.4413104786962236</v>
      </c>
    </row>
    <row r="38" spans="2:11" hidden="1" x14ac:dyDescent="0.25">
      <c r="B38">
        <v>58.63636363636364</v>
      </c>
      <c r="C38">
        <v>5.334155622541231</v>
      </c>
      <c r="D38">
        <v>4.1660836668653003</v>
      </c>
      <c r="E38">
        <v>2.8892031804228169</v>
      </c>
      <c r="F38">
        <v>2.2089385961943373</v>
      </c>
      <c r="H38">
        <v>7.0060862961000332</v>
      </c>
      <c r="I38">
        <v>5.1242964098582586</v>
      </c>
      <c r="J38">
        <v>3.3209148731168145</v>
      </c>
      <c r="K38">
        <v>2.452949588956316</v>
      </c>
    </row>
    <row r="39" spans="2:11" hidden="1" x14ac:dyDescent="0.25">
      <c r="B39">
        <v>59.141414141414145</v>
      </c>
      <c r="C39">
        <v>5.3361181913464728</v>
      </c>
      <c r="D39">
        <v>4.1708472573532829</v>
      </c>
      <c r="E39">
        <v>2.8947928209226204</v>
      </c>
      <c r="F39">
        <v>2.214089983469858</v>
      </c>
      <c r="H39">
        <v>7.0494112549855323</v>
      </c>
      <c r="I39">
        <v>5.1530399176648753</v>
      </c>
      <c r="J39">
        <v>3.337399856891504</v>
      </c>
      <c r="K39">
        <v>2.4642776736765404</v>
      </c>
    </row>
    <row r="40" spans="2:11" hidden="1" x14ac:dyDescent="0.25">
      <c r="B40">
        <v>59.646464646464651</v>
      </c>
      <c r="C40">
        <v>5.3369154118482527</v>
      </c>
      <c r="D40">
        <v>4.1747456056911325</v>
      </c>
      <c r="E40">
        <v>2.8998220204456917</v>
      </c>
      <c r="F40">
        <v>2.2188302740094201</v>
      </c>
      <c r="H40">
        <v>7.0921658043718416</v>
      </c>
      <c r="I40">
        <v>5.1812726595045042</v>
      </c>
      <c r="J40">
        <v>3.3534886620241569</v>
      </c>
      <c r="K40">
        <v>2.4752884313334333</v>
      </c>
    </row>
    <row r="41" spans="2:11" hidden="1" x14ac:dyDescent="0.25">
      <c r="B41">
        <v>60.151515151515156</v>
      </c>
      <c r="C41">
        <v>5.3365352966884663</v>
      </c>
      <c r="D41">
        <v>4.1777678698996956</v>
      </c>
      <c r="E41">
        <v>2.9042825586828691</v>
      </c>
      <c r="F41">
        <v>2.2231530240855779</v>
      </c>
      <c r="H41">
        <v>7.1343372203372448</v>
      </c>
      <c r="I41">
        <v>5.2089835261542481</v>
      </c>
      <c r="J41">
        <v>3.3691729991853601</v>
      </c>
      <c r="K41">
        <v>2.4859753894545755</v>
      </c>
    </row>
    <row r="42" spans="2:11" hidden="1" x14ac:dyDescent="0.25">
      <c r="B42">
        <v>60.656565656565661</v>
      </c>
      <c r="C42">
        <v>5.3349657597042075</v>
      </c>
      <c r="D42">
        <v>4.1799030649132982</v>
      </c>
      <c r="E42">
        <v>2.9081660719203484</v>
      </c>
      <c r="F42">
        <v>2.2270516653725481</v>
      </c>
      <c r="H42">
        <v>7.1759123902929769</v>
      </c>
      <c r="I42">
        <v>5.2361610785674859</v>
      </c>
      <c r="J42">
        <v>3.3844443437842822</v>
      </c>
      <c r="K42">
        <v>2.4963318973782069</v>
      </c>
    </row>
    <row r="43" spans="2:11" hidden="1" x14ac:dyDescent="0.25">
      <c r="B43">
        <v>61.161616161616166</v>
      </c>
      <c r="C43">
        <v>5.3321946118985668</v>
      </c>
      <c r="D43">
        <v>4.1811400576139137</v>
      </c>
      <c r="E43">
        <v>2.911464047983614</v>
      </c>
      <c r="F43">
        <v>2.2305195004307885</v>
      </c>
      <c r="H43">
        <v>7.2168777952146215</v>
      </c>
      <c r="I43">
        <v>5.2627935330622764</v>
      </c>
      <c r="J43">
        <v>3.3992939256955568</v>
      </c>
      <c r="K43">
        <v>2.5063511186147416</v>
      </c>
    </row>
    <row r="44" spans="2:11" hidden="1" x14ac:dyDescent="0.25">
      <c r="B44">
        <v>61.666666666666671</v>
      </c>
      <c r="C44">
        <v>5.3282095572147803</v>
      </c>
      <c r="D44">
        <v>4.1814675616339834</v>
      </c>
      <c r="E44">
        <v>2.9141678209411825</v>
      </c>
      <c r="F44">
        <v>2.2335496979727809</v>
      </c>
      <c r="H44">
        <v>7.2572194908276542</v>
      </c>
      <c r="I44">
        <v>5.2888687456516319</v>
      </c>
      <c r="J44">
        <v>3.4137127184045823</v>
      </c>
      <c r="K44">
        <v>2.5160260227830689</v>
      </c>
    </row>
    <row r="45" spans="2:11" hidden="1" x14ac:dyDescent="0.25">
      <c r="B45">
        <v>62.171717171717177</v>
      </c>
      <c r="C45">
        <v>5.3229981881021295</v>
      </c>
      <c r="D45">
        <v>4.1808741319137361</v>
      </c>
      <c r="E45">
        <v>2.916268565554442</v>
      </c>
      <c r="F45">
        <v>2.2361352878965288</v>
      </c>
      <c r="H45">
        <v>7.2969230876704483</v>
      </c>
      <c r="I45">
        <v>5.3143741954523929</v>
      </c>
      <c r="J45">
        <v>3.4276914275304549</v>
      </c>
      <c r="K45">
        <v>2.5253493770914073</v>
      </c>
    </row>
    <row r="46" spans="2:11" hidden="1" x14ac:dyDescent="0.25">
      <c r="B46">
        <v>62.676767676767682</v>
      </c>
      <c r="C46">
        <v>5.3165479808605474</v>
      </c>
      <c r="D46">
        <v>4.1793481589980477</v>
      </c>
      <c r="E46">
        <v>2.9177572914567351</v>
      </c>
      <c r="F46">
        <v>2.2382691560719428</v>
      </c>
      <c r="H46">
        <v>7.3359737299515277</v>
      </c>
      <c r="I46">
        <v>5.3392969671064492</v>
      </c>
      <c r="J46">
        <v>3.4412204786813505</v>
      </c>
      <c r="K46">
        <v>2.5343137373308346</v>
      </c>
    </row>
    <row r="47" spans="2:11" hidden="1" x14ac:dyDescent="0.25">
      <c r="B47">
        <v>63.181818181818187</v>
      </c>
      <c r="C47">
        <v>5.3088462907501297</v>
      </c>
      <c r="D47">
        <v>4.1768778630562995</v>
      </c>
      <c r="E47">
        <v>2.9186248370451917</v>
      </c>
      <c r="F47">
        <v>2.2399440388642109</v>
      </c>
      <c r="H47">
        <v>7.3743560731106665</v>
      </c>
      <c r="I47">
        <v>5.3636237321403328</v>
      </c>
      <c r="J47">
        <v>3.4542900045943457</v>
      </c>
      <c r="K47">
        <v>2.5429114383463958</v>
      </c>
    </row>
    <row r="48" spans="2:11" hidden="1" x14ac:dyDescent="0.25">
      <c r="B48">
        <v>63.686868686868692</v>
      </c>
      <c r="C48">
        <v>5.2998803468505713</v>
      </c>
      <c r="D48">
        <v>4.1734512876079322</v>
      </c>
      <c r="E48">
        <v>2.9188618630662964</v>
      </c>
      <c r="F48">
        <v>2.2411525173770097</v>
      </c>
      <c r="H48">
        <v>7.4120542599847461</v>
      </c>
      <c r="I48">
        <v>5.3873407291835482</v>
      </c>
      <c r="J48">
        <v>3.4668898315065588</v>
      </c>
      <c r="K48">
        <v>2.5511345839478059</v>
      </c>
    </row>
    <row r="49" spans="2:11" hidden="1" x14ac:dyDescent="0.25">
      <c r="B49">
        <v>64.191919191919197</v>
      </c>
      <c r="C49">
        <v>5.2896372466544941</v>
      </c>
      <c r="D49">
        <v>4.1690562929343864</v>
      </c>
      <c r="E49">
        <v>2.9184588458756542</v>
      </c>
      <c r="F49">
        <v>2.241887011396809</v>
      </c>
      <c r="H49">
        <v>7.4490518954709151</v>
      </c>
      <c r="I49">
        <v>5.4104337429586149</v>
      </c>
      <c r="J49">
        <v>3.4790094647002832</v>
      </c>
      <c r="K49">
        <v>2.5589750362182198</v>
      </c>
    </row>
    <row r="50" spans="2:11" hidden="1" x14ac:dyDescent="0.25">
      <c r="B50">
        <v>64.696969696969703</v>
      </c>
      <c r="C50">
        <v>5.2781039503773659</v>
      </c>
      <c r="D50">
        <v>4.163680549157295</v>
      </c>
      <c r="E50">
        <v>2.9174060703499816</v>
      </c>
      <c r="F50">
        <v>2.2421397730185144</v>
      </c>
      <c r="H50">
        <v>7.4853320195691522</v>
      </c>
      <c r="I50">
        <v>5.4328880819476009</v>
      </c>
      <c r="J50">
        <v>3.490638073159408</v>
      </c>
      <c r="K50">
        <v>2.5664244041763595</v>
      </c>
    </row>
    <row r="51" spans="2:11" hidden="1" x14ac:dyDescent="0.25">
      <c r="B51">
        <v>65.202020202020208</v>
      </c>
      <c r="C51">
        <v>5.2652672749650691</v>
      </c>
      <c r="D51">
        <v>4.157311528960733</v>
      </c>
      <c r="E51">
        <v>2.9156936224282006</v>
      </c>
      <c r="F51">
        <v>2.2419028799305019</v>
      </c>
      <c r="H51">
        <v>7.5208770786754533</v>
      </c>
      <c r="I51">
        <v>5.4546885546315487</v>
      </c>
      <c r="J51">
        <v>3.5017644732687758</v>
      </c>
      <c r="K51">
        <v>2.5734740317425455</v>
      </c>
    </row>
    <row r="52" spans="2:11" hidden="1" x14ac:dyDescent="0.25">
      <c r="B52">
        <v>65.707070707070713</v>
      </c>
      <c r="C52">
        <v>5.251113887778935</v>
      </c>
      <c r="D52">
        <v>4.1499364999334656</v>
      </c>
      <c r="E52">
        <v>2.9133113812563947</v>
      </c>
      <c r="F52">
        <v>2.2411682283356269</v>
      </c>
      <c r="H52">
        <v>7.5556688949843913</v>
      </c>
      <c r="I52">
        <v>5.4758194441889678</v>
      </c>
      <c r="J52">
        <v>3.5123771114818405</v>
      </c>
      <c r="K52">
        <v>2.5801149849553786</v>
      </c>
    </row>
    <row r="53" spans="2:11" hidden="1" x14ac:dyDescent="0.25">
      <c r="B53">
        <v>66.212121212121218</v>
      </c>
      <c r="C53">
        <v>5.2356302999363225</v>
      </c>
      <c r="D53">
        <v>4.1415425165056474</v>
      </c>
      <c r="E53">
        <v>2.9102490109092605</v>
      </c>
      <c r="F53">
        <v>2.2399275254825488</v>
      </c>
      <c r="H53">
        <v>7.5896886338468805</v>
      </c>
      <c r="I53">
        <v>5.4962644815291117</v>
      </c>
      <c r="J53">
        <v>3.522464045875251</v>
      </c>
      <c r="K53">
        <v>2.5863380383802759</v>
      </c>
    </row>
    <row r="54" spans="2:11" hidden="1" x14ac:dyDescent="0.25">
      <c r="B54">
        <v>66.717171717171723</v>
      </c>
      <c r="C54">
        <v>5.2188028592827891</v>
      </c>
      <c r="D54">
        <v>4.1321164114514914</v>
      </c>
      <c r="E54">
        <v>2.9064959516580338</v>
      </c>
      <c r="F54">
        <v>2.2381722817799323</v>
      </c>
      <c r="H54">
        <v>7.6229167689124964</v>
      </c>
      <c r="I54">
        <v>5.5160068165229337</v>
      </c>
      <c r="J54">
        <v>3.5320129264998892</v>
      </c>
      <c r="K54">
        <v>2.5921336606459233</v>
      </c>
    </row>
    <row r="55" spans="2:11" hidden="1" x14ac:dyDescent="0.25">
      <c r="B55">
        <v>67.222222222222229</v>
      </c>
      <c r="C55">
        <v>5.2006177429700262</v>
      </c>
      <c r="D55">
        <v>4.1216447869277975</v>
      </c>
      <c r="E55">
        <v>2.9020414107531423</v>
      </c>
      <c r="F55">
        <v>2.23589380246319</v>
      </c>
      <c r="H55">
        <v>7.6553330448701331</v>
      </c>
      <c r="I55">
        <v>5.5350289872824421</v>
      </c>
      <c r="J55">
        <v>3.5410109744316074</v>
      </c>
      <c r="K55">
        <v>2.5974919990384757</v>
      </c>
    </row>
    <row r="56" spans="2:11" hidden="1" x14ac:dyDescent="0.25">
      <c r="B56">
        <v>67.727272727272734</v>
      </c>
      <c r="C56">
        <v>5.1810609496115099</v>
      </c>
      <c r="D56">
        <v>4.1101140050150757</v>
      </c>
      <c r="E56">
        <v>2.8968743526860132</v>
      </c>
      <c r="F56">
        <v>2.233083178780626</v>
      </c>
      <c r="H56">
        <v>7.6869164375808765</v>
      </c>
      <c r="I56">
        <v>5.5533128873227424</v>
      </c>
      <c r="J56">
        <v>3.549444959412579</v>
      </c>
      <c r="K56">
        <v>2.6024028630758922</v>
      </c>
    </row>
    <row r="57" spans="2:11" hidden="1" x14ac:dyDescent="0.25">
      <c r="B57">
        <v>68.232323232323239</v>
      </c>
      <c r="C57">
        <v>5.1601182909853049</v>
      </c>
      <c r="D57">
        <v>4.0975101777252778</v>
      </c>
      <c r="E57">
        <v>2.8909834888920241</v>
      </c>
      <c r="F57">
        <v>2.2297312786642154</v>
      </c>
      <c r="H57">
        <v>7.7176451113764362</v>
      </c>
      <c r="I57">
        <v>5.570839730425126</v>
      </c>
      <c r="J57">
        <v>3.5573011759656383</v>
      </c>
      <c r="K57">
        <v>2.6068557069790277</v>
      </c>
    </row>
    <row r="58" spans="2:11" hidden="1" x14ac:dyDescent="0.25">
      <c r="B58">
        <v>68.737373737373744</v>
      </c>
      <c r="C58">
        <v>5.1377753832504647</v>
      </c>
      <c r="D58">
        <v>4.0838191564368129</v>
      </c>
      <c r="E58">
        <v>2.8843572668528661</v>
      </c>
      <c r="F58">
        <v>2.2258287368446816</v>
      </c>
      <c r="H58">
        <v>7.7474963732724778</v>
      </c>
      <c r="I58">
        <v>5.5875900130007814</v>
      </c>
      <c r="J58">
        <v>3.5645654178503685</v>
      </c>
      <c r="K58">
        <v>2.6108396109448986</v>
      </c>
    </row>
    <row r="59" spans="2:11" hidden="1" x14ac:dyDescent="0.25">
      <c r="B59">
        <v>69.242424242424249</v>
      </c>
      <c r="C59">
        <v>5.1140176376410054</v>
      </c>
      <c r="D59">
        <v>4.0690265207142309</v>
      </c>
      <c r="E59">
        <v>2.8769838585527117</v>
      </c>
      <c r="F59">
        <v>2.2213659443691469</v>
      </c>
      <c r="H59">
        <v>7.7764466238195498</v>
      </c>
      <c r="I59">
        <v>5.6035434737329028</v>
      </c>
      <c r="J59">
        <v>3.5712229507172233</v>
      </c>
      <c r="K59">
        <v>2.614343261120311</v>
      </c>
    </row>
    <row r="60" spans="2:11" hidden="1" x14ac:dyDescent="0.25">
      <c r="B60">
        <v>69.747474747474755</v>
      </c>
      <c r="C60">
        <v>5.0888302505976366</v>
      </c>
      <c r="D60">
        <v>4.0531175664655752</v>
      </c>
      <c r="E60">
        <v>2.8688511482386216</v>
      </c>
      <c r="F60">
        <v>2.216333037474433</v>
      </c>
      <c r="H60">
        <v>7.8044713042844602</v>
      </c>
      <c r="I60">
        <v>5.6186790502524726</v>
      </c>
      <c r="J60">
        <v>3.5772584828004881</v>
      </c>
      <c r="K60">
        <v>2.6173549281628015</v>
      </c>
    </row>
    <row r="61" spans="2:11" hidden="1" x14ac:dyDescent="0.25">
      <c r="B61">
        <v>70.25252525252526</v>
      </c>
      <c r="C61">
        <v>5.062198193293602</v>
      </c>
      <c r="D61">
        <v>4.0360772933864091</v>
      </c>
      <c r="E61">
        <v>2.8599467194301842</v>
      </c>
      <c r="F61">
        <v>2.2107198857643784</v>
      </c>
      <c r="H61">
        <v>7.8315448398216887</v>
      </c>
      <c r="I61">
        <v>5.6329748325751936</v>
      </c>
      <c r="J61">
        <v>3.5826561334736717</v>
      </c>
      <c r="K61">
        <v>2.6198624442627882</v>
      </c>
    </row>
    <row r="62" spans="2:11" hidden="1" x14ac:dyDescent="0.25">
      <c r="B62">
        <v>70.757575757575765</v>
      </c>
      <c r="C62">
        <v>5.0341062005072548</v>
      </c>
      <c r="D62">
        <v>4.0178903916343378</v>
      </c>
      <c r="E62">
        <v>2.8502578411192303</v>
      </c>
      <c r="F62">
        <v>2.2045160796354715</v>
      </c>
      <c r="H62">
        <v>7.8576405782555314</v>
      </c>
      <c r="I62">
        <v>5.6464080129978669</v>
      </c>
      <c r="J62">
        <v>3.5873993994725408</v>
      </c>
      <c r="K62">
        <v>2.6218531784892529</v>
      </c>
    </row>
    <row r="63" spans="2:11" hidden="1" x14ac:dyDescent="0.25">
      <c r="B63">
        <v>71.26262626262627</v>
      </c>
      <c r="C63">
        <v>5.0045387587892565</v>
      </c>
      <c r="D63">
        <v>3.998541227672578</v>
      </c>
      <c r="E63">
        <v>2.8397714530932703</v>
      </c>
      <c r="F63">
        <v>2.1977109168889006</v>
      </c>
      <c r="H63">
        <v>7.882730724050985</v>
      </c>
      <c r="I63">
        <v>5.6589548321181491</v>
      </c>
      <c r="J63">
        <v>3.5914711185684176</v>
      </c>
      <c r="K63">
        <v>2.6233140103047559</v>
      </c>
    </row>
    <row r="64" spans="2:11" hidden="1" x14ac:dyDescent="0.25">
      <c r="B64">
        <v>71.767676767676775</v>
      </c>
      <c r="C64">
        <v>4.9734800938665478</v>
      </c>
      <c r="D64">
        <v>3.9780138292148242</v>
      </c>
      <c r="E64">
        <v>2.828474150311</v>
      </c>
      <c r="F64">
        <v>2.1902933884607956</v>
      </c>
      <c r="H64">
        <v>7.9067862670034046</v>
      </c>
      <c r="I64">
        <v>5.6705905206033549</v>
      </c>
      <c r="J64">
        <v>3.5948534304515167</v>
      </c>
      <c r="K64">
        <v>2.6242313010793383</v>
      </c>
    </row>
    <row r="65" spans="2:11" hidden="1" x14ac:dyDescent="0.25">
      <c r="B65">
        <v>72.27272727272728</v>
      </c>
      <c r="C65">
        <v>4.940914157220444</v>
      </c>
      <c r="D65">
        <v>3.9562918691972064</v>
      </c>
      <c r="E65">
        <v>2.8163521662496556</v>
      </c>
      <c r="F65">
        <v>2.1822521631953693</v>
      </c>
      <c r="H65">
        <v>7.9297769051199785</v>
      </c>
      <c r="I65">
        <v>5.681289236290513</v>
      </c>
      <c r="J65">
        <v>3.5975277345544869</v>
      </c>
      <c r="K65">
        <v>2.6245908634124957</v>
      </c>
    </row>
    <row r="66" spans="2:11" hidden="1" x14ac:dyDescent="0.25">
      <c r="B66">
        <v>72.777777777777786</v>
      </c>
      <c r="C66">
        <v>4.9068246117688901</v>
      </c>
      <c r="D66">
        <v>3.933358648695187</v>
      </c>
      <c r="E66">
        <v>2.8033913551369913</v>
      </c>
      <c r="F66">
        <v>2.1735755715789784</v>
      </c>
      <c r="H66">
        <v>7.951670961104595</v>
      </c>
      <c r="I66">
        <v>5.691023996150177</v>
      </c>
      <c r="J66">
        <v>3.5994746445175139</v>
      </c>
      <c r="K66">
        <v>2.6243779280527288</v>
      </c>
    </row>
    <row r="67" spans="2:11" hidden="1" x14ac:dyDescent="0.25">
      <c r="B67">
        <v>73.282828282828291</v>
      </c>
      <c r="C67">
        <v>4.8711948165760219</v>
      </c>
      <c r="D67">
        <v>3.9091970786945263</v>
      </c>
      <c r="E67">
        <v>2.7895771729697927</v>
      </c>
      <c r="F67">
        <v>2.1642515883419309</v>
      </c>
      <c r="H67">
        <v>7.9724352917847101</v>
      </c>
      <c r="I67">
        <v>5.6997666025901781</v>
      </c>
      <c r="J67">
        <v>3.600673938958332</v>
      </c>
      <c r="K67">
        <v>2.623577108176506</v>
      </c>
    </row>
    <row r="68" spans="2:11" hidden="1" x14ac:dyDescent="0.25">
      <c r="B68">
        <v>73.787878787878796</v>
      </c>
      <c r="C68">
        <v>4.8340078105038931</v>
      </c>
      <c r="D68">
        <v>3.8837896606163129</v>
      </c>
      <c r="E68">
        <v>2.7748946572123208</v>
      </c>
      <c r="F68">
        <v>2.1542678138273708</v>
      </c>
      <c r="H68">
        <v>7.9920351897370789</v>
      </c>
      <c r="I68">
        <v>5.7074875635109681</v>
      </c>
      <c r="J68">
        <v>3.6011045081721789</v>
      </c>
      <c r="K68">
        <v>2.6221723607625593</v>
      </c>
    </row>
    <row r="69" spans="2:11" hidden="1" x14ac:dyDescent="0.25">
      <c r="B69">
        <v>74.292929292929301</v>
      </c>
      <c r="C69">
        <v>4.7952462947121051</v>
      </c>
      <c r="D69">
        <v>3.8571184654846546</v>
      </c>
      <c r="E69">
        <v>2.7593284050542843</v>
      </c>
      <c r="F69">
        <v>2.1436114540133806</v>
      </c>
      <c r="H69">
        <v>8.0104342762745002</v>
      </c>
      <c r="I69">
        <v>5.714156005450671</v>
      </c>
      <c r="J69">
        <v>3.6007442963385596</v>
      </c>
      <c r="K69">
        <v>2.6201469447639485</v>
      </c>
    </row>
    <row r="70" spans="2:11" hidden="1" x14ac:dyDescent="0.25">
      <c r="B70">
        <v>74.797979797979806</v>
      </c>
      <c r="C70">
        <v>4.7548926139004744</v>
      </c>
      <c r="D70">
        <v>3.8291651116138108</v>
      </c>
      <c r="E70">
        <v>2.7428625500960147</v>
      </c>
      <c r="F70">
        <v>2.1322692990629664</v>
      </c>
      <c r="H70">
        <v>8.0275943848480242</v>
      </c>
      <c r="I70">
        <v>5.719739579072888</v>
      </c>
      <c r="J70">
        <v>3.5995702387599362</v>
      </c>
      <c r="K70">
        <v>2.6174833757440341</v>
      </c>
    </row>
    <row r="71" spans="2:11" hidden="1" x14ac:dyDescent="0.25">
      <c r="B71">
        <v>75.303030303030312</v>
      </c>
      <c r="C71">
        <v>4.7129287361780543</v>
      </c>
      <c r="D71">
        <v>3.7999107406766401</v>
      </c>
      <c r="E71">
        <v>2.7254807373125631</v>
      </c>
      <c r="F71">
        <v>2.120227700261021</v>
      </c>
      <c r="H71">
        <v>8.0434754337933949</v>
      </c>
      <c r="I71">
        <v>5.7242043561531482</v>
      </c>
      <c r="J71">
        <v>3.5975581935961398</v>
      </c>
      <c r="K71">
        <v>2.6141633765998789</v>
      </c>
    </row>
    <row r="72" spans="2:11" hidden="1" x14ac:dyDescent="0.25">
      <c r="B72">
        <v>75.808080808080817</v>
      </c>
      <c r="C72">
        <v>4.669336231428586</v>
      </c>
      <c r="D72">
        <v>3.7693359920018654</v>
      </c>
      <c r="E72">
        <v>2.7071660961315414</v>
      </c>
      <c r="F72">
        <v>2.1074725451814298</v>
      </c>
      <c r="H72">
        <v>8.0580352872067778</v>
      </c>
      <c r="I72">
        <v>5.7275147171073293</v>
      </c>
      <c r="J72">
        <v>3.594682867487653</v>
      </c>
      <c r="K72">
        <v>2.6101678239479424</v>
      </c>
    </row>
    <row r="73" spans="2:11" hidden="1" x14ac:dyDescent="0.25">
      <c r="B73">
        <v>76.313131313131322</v>
      </c>
      <c r="C73">
        <v>4.6240962480270129</v>
      </c>
      <c r="D73">
        <v>3.7374209749280101</v>
      </c>
      <c r="E73">
        <v>2.6879012114396028</v>
      </c>
      <c r="F73">
        <v>2.093989230908516</v>
      </c>
      <c r="H73">
        <v>8.0712296025673815</v>
      </c>
      <c r="I73">
        <v>5.729633227975242</v>
      </c>
      <c r="J73">
        <v>3.59091773438118</v>
      </c>
      <c r="K73">
        <v>2.6054766896913382</v>
      </c>
    </row>
    <row r="74" spans="2:11" hidden="1" x14ac:dyDescent="0.25">
      <c r="B74">
        <v>76.818181818181827</v>
      </c>
      <c r="C74">
        <v>4.5771894877441071</v>
      </c>
      <c r="D74">
        <v>3.7041452390226217</v>
      </c>
      <c r="E74">
        <v>2.6676680923101963</v>
      </c>
      <c r="F74">
        <v>2.0797626351152454</v>
      </c>
      <c r="H74">
        <v>8.0830116635304758</v>
      </c>
      <c r="I74">
        <v>5.7305205056217385</v>
      </c>
      <c r="J74">
        <v>3.5862349467757793</v>
      </c>
      <c r="K74">
        <v>2.600068977222683</v>
      </c>
    </row>
    <row r="75" spans="2:11" hidden="1" x14ac:dyDescent="0.25">
      <c r="B75">
        <v>77.323232323232332</v>
      </c>
      <c r="C75">
        <v>4.5285961786566213</v>
      </c>
      <c r="D75">
        <v>3.6694877419506806</v>
      </c>
      <c r="E75">
        <v>2.6464481382193177</v>
      </c>
      <c r="F75">
        <v>2.0647770847759706</v>
      </c>
      <c r="H75">
        <v>8.0933321960875126</v>
      </c>
      <c r="I75">
        <v>5.7301350697416815</v>
      </c>
      <c r="J75">
        <v>3.5806052385001537</v>
      </c>
      <c r="K75">
        <v>2.5939226516414586</v>
      </c>
    </row>
    <row r="76" spans="2:11" hidden="1" x14ac:dyDescent="0.25">
      <c r="B76">
        <v>77.828282828282838</v>
      </c>
      <c r="C76">
        <v>4.4782960458571299</v>
      </c>
      <c r="D76">
        <v>3.6334268147499293</v>
      </c>
      <c r="E76">
        <v>2.6242221024863346</v>
      </c>
      <c r="F76">
        <v>2.0490163222628062</v>
      </c>
      <c r="H76">
        <v>8.102139166025605</v>
      </c>
      <c r="I76">
        <v>5.7284331800501018</v>
      </c>
      <c r="J76">
        <v>3.5739978180040435</v>
      </c>
      <c r="K76">
        <v>2.5870145632778145</v>
      </c>
    </row>
    <row r="77" spans="2:11" hidden="1" x14ac:dyDescent="0.25">
      <c r="B77">
        <v>78.333333333333343</v>
      </c>
      <c r="C77">
        <v>4.4262682797315742</v>
      </c>
      <c r="D77">
        <v>3.5959401242389415</v>
      </c>
      <c r="E77">
        <v>2.6009700526429951</v>
      </c>
      <c r="F77">
        <v>2.032463468542006</v>
      </c>
      <c r="H77">
        <v>8.1093775553075904</v>
      </c>
      <c r="I77">
        <v>5.72536865679833</v>
      </c>
      <c r="J77">
        <v>3.5663802509990323</v>
      </c>
      <c r="K77">
        <v>2.5793203637121231</v>
      </c>
    </row>
    <row r="78" spans="2:11" hidden="1" x14ac:dyDescent="0.25">
      <c r="B78">
        <v>78.838383838383848</v>
      </c>
      <c r="C78">
        <v>4.3724915015416785</v>
      </c>
      <c r="D78">
        <v>3.5570046322483009</v>
      </c>
      <c r="E78">
        <v>2.5766713273939592</v>
      </c>
      <c r="F78">
        <v>2.0151009831485904</v>
      </c>
      <c r="H78">
        <v>8.1149891146277664</v>
      </c>
      <c r="I78">
        <v>5.7208926824741466</v>
      </c>
      <c r="J78">
        <v>3.5577183311098217</v>
      </c>
      <c r="K78">
        <v>2.5708144133607531</v>
      </c>
    </row>
    <row r="79" spans="2:11" hidden="1" x14ac:dyDescent="0.25">
      <c r="B79">
        <v>79.343434343434353</v>
      </c>
      <c r="C79">
        <v>4.3169437260146495</v>
      </c>
      <c r="D79">
        <v>3.5165965513230231</v>
      </c>
      <c r="E79">
        <v>2.5513044897867321</v>
      </c>
      <c r="F79">
        <v>1.996910620572792</v>
      </c>
      <c r="H79">
        <v>8.118912088966546</v>
      </c>
      <c r="I79">
        <v>5.714953582210736</v>
      </c>
      <c r="J79">
        <v>3.5479759369930033</v>
      </c>
      <c r="K79">
        <v>2.56146967955784</v>
      </c>
    </row>
    <row r="80" spans="2:11" hidden="1" x14ac:dyDescent="0.25">
      <c r="B80">
        <v>79.848484848484858</v>
      </c>
      <c r="C80">
        <v>4.2596023206010605</v>
      </c>
      <c r="D80">
        <v>3.47469129649626</v>
      </c>
      <c r="E80">
        <v>2.5248472761551675</v>
      </c>
      <c r="F80">
        <v>1.9778733826411321</v>
      </c>
      <c r="H80">
        <v>8.1210809124536425</v>
      </c>
      <c r="I80">
        <v>5.7074965800336495</v>
      </c>
      <c r="J80">
        <v>3.5371148741379392</v>
      </c>
      <c r="K80">
        <v>2.5512576238977571</v>
      </c>
    </row>
    <row r="81" spans="2:11" hidden="1" x14ac:dyDescent="0.25">
      <c r="B81">
        <v>80.353535353535364</v>
      </c>
      <c r="C81">
        <v>4.2004439610140665</v>
      </c>
      <c r="D81">
        <v>3.4312634326775253</v>
      </c>
      <c r="E81">
        <v>2.4972765403388051</v>
      </c>
      <c r="F81">
        <v>1.9579694664137031</v>
      </c>
      <c r="H81">
        <v>8.1214258682392266</v>
      </c>
      <c r="I81">
        <v>5.6984635276062292</v>
      </c>
      <c r="J81">
        <v>3.5250946992790162</v>
      </c>
      <c r="K81">
        <v>2.5401480774068563</v>
      </c>
    </row>
    <row r="82" spans="2:11" hidden="1" x14ac:dyDescent="0.25">
      <c r="B82">
        <v>80.858585858585869</v>
      </c>
      <c r="C82">
        <v>4.1394445826073794</v>
      </c>
      <c r="D82">
        <v>3.3862866171323476</v>
      </c>
      <c r="E82">
        <v>2.4685681926070124</v>
      </c>
      <c r="F82">
        <v>1.9371782070490147</v>
      </c>
      <c r="H82">
        <v>8.1198727083409548</v>
      </c>
      <c r="I82">
        <v>5.6877926015726139</v>
      </c>
      <c r="J82">
        <v>3.5118725250059573</v>
      </c>
      <c r="K82">
        <v>2.5281091018802853</v>
      </c>
    </row>
    <row r="83" spans="2:11" hidden="1" x14ac:dyDescent="0.25">
      <c r="B83">
        <v>81.363636363636374</v>
      </c>
      <c r="C83">
        <v>4.0765793270830377</v>
      </c>
      <c r="D83">
        <v>3.3397335364524383</v>
      </c>
      <c r="E83">
        <v>2.4386971326310016</v>
      </c>
      <c r="F83">
        <v>1.9154780150042434</v>
      </c>
      <c r="H83">
        <v>8.1163422275580928</v>
      </c>
      <c r="I83">
        <v>5.675417964924911</v>
      </c>
      <c r="J83">
        <v>3.4974028017525862</v>
      </c>
      <c r="K83">
        <v>2.5151068354423991</v>
      </c>
    </row>
    <row r="84" spans="2:11" hidden="1" x14ac:dyDescent="0.25">
      <c r="B84">
        <v>81.868686868686879</v>
      </c>
      <c r="C84">
        <v>4.0118224839429697</v>
      </c>
      <c r="D84">
        <v>3.2915758373236406</v>
      </c>
      <c r="E84">
        <v>2.4076371757455082</v>
      </c>
      <c r="F84">
        <v>1.892846306839477</v>
      </c>
      <c r="H84">
        <v>8.1107497844843675</v>
      </c>
      <c r="I84">
        <v>5.6612693870122435</v>
      </c>
      <c r="J84">
        <v>3.4816370738531113</v>
      </c>
      <c r="K84">
        <v>2.5011053200554745</v>
      </c>
    </row>
    <row r="85" spans="2:11" hidden="1" x14ac:dyDescent="0.25">
      <c r="B85">
        <v>82.373737373737384</v>
      </c>
      <c r="C85">
        <v>3.945147426005807</v>
      </c>
      <c r="D85">
        <v>3.2417840502895841</v>
      </c>
      <c r="E85">
        <v>2.3753609716207906</v>
      </c>
      <c r="F85">
        <v>1.869259428778161</v>
      </c>
      <c r="H85">
        <v>8.1030047613672576</v>
      </c>
      <c r="I85">
        <v>5.6452718158284343</v>
      </c>
      <c r="J85">
        <v>3.4645237057647993</v>
      </c>
      <c r="K85">
        <v>2.4860663083012602</v>
      </c>
    </row>
    <row r="86" spans="2:11" hidden="1" x14ac:dyDescent="0.25">
      <c r="B86">
        <v>82.87878787878789</v>
      </c>
      <c r="C86">
        <v>3.8765265382010887</v>
      </c>
      <c r="D86">
        <v>3.1903275055796767</v>
      </c>
      <c r="E86">
        <v>2.3418399143223549</v>
      </c>
      <c r="F86">
        <v>1.8446925720344871</v>
      </c>
      <c r="H86">
        <v>8.0930099529965798</v>
      </c>
      <c r="I86">
        <v>5.6273448950230565</v>
      </c>
      <c r="J86">
        <v>3.4460075738387745</v>
      </c>
      <c r="K86">
        <v>2.4699490462740141</v>
      </c>
    </row>
    <row r="87" spans="2:11" hidden="1" x14ac:dyDescent="0.25">
      <c r="B87">
        <v>83.383838383838395</v>
      </c>
      <c r="C87">
        <v>3.8059311387220545</v>
      </c>
      <c r="D87">
        <v>3.1371742399145446</v>
      </c>
      <c r="E87">
        <v>2.3070440425636134</v>
      </c>
      <c r="F87">
        <v>1.8191196787518709</v>
      </c>
      <c r="H87">
        <v>8.0806608728875879</v>
      </c>
      <c r="I87">
        <v>5.6074024166228948</v>
      </c>
      <c r="J87">
        <v>3.4260297181464896</v>
      </c>
      <c r="K87">
        <v>2.4527100288330885</v>
      </c>
    </row>
    <row r="88" spans="2:11" hidden="1" x14ac:dyDescent="0.25">
      <c r="B88">
        <v>83.8888888888889</v>
      </c>
      <c r="C88">
        <v>3.7333313914606867</v>
      </c>
      <c r="D88">
        <v>3.0822908930154824</v>
      </c>
      <c r="E88">
        <v>2.2709419287489068</v>
      </c>
      <c r="F88">
        <v>1.7925133371927138</v>
      </c>
      <c r="H88">
        <v>8.0658449626612221</v>
      </c>
      <c r="I88">
        <v>5.5853516986574512</v>
      </c>
      <c r="J88">
        <v>3.4045269477987583</v>
      </c>
      <c r="K88">
        <v>2.4343027227414575</v>
      </c>
    </row>
    <row r="89" spans="2:11" hidden="1" x14ac:dyDescent="0.25">
      <c r="B89">
        <v>84.393939393939405</v>
      </c>
      <c r="C89">
        <v>3.6586962084586894</v>
      </c>
      <c r="D89">
        <v>3.0256425923191834</v>
      </c>
      <c r="E89">
        <v>2.2335005551541833</v>
      </c>
      <c r="F89">
        <v>1.7648446645750355</v>
      </c>
      <c r="H89">
        <v>8.0484406875948302</v>
      </c>
      <c r="I89">
        <v>5.5610928746650465</v>
      </c>
      <c r="J89">
        <v>3.3814313918731549</v>
      </c>
      <c r="K89">
        <v>2.4146772523279321</v>
      </c>
    </row>
    <row r="90" spans="2:11" hidden="1" x14ac:dyDescent="0.25">
      <c r="B90">
        <v>84.89898989898991</v>
      </c>
      <c r="C90">
        <v>3.5819931408767216</v>
      </c>
      <c r="D90">
        <v>2.9671928241246688</v>
      </c>
      <c r="E90">
        <v>2.1946851752862679</v>
      </c>
      <c r="F90">
        <v>1.7360831756513539</v>
      </c>
      <c r="H90">
        <v>8.0283164976637043</v>
      </c>
      <c r="I90">
        <v>5.534518079293969</v>
      </c>
      <c r="J90">
        <v>3.3566699864276157</v>
      </c>
      <c r="K90">
        <v>2.3937800412104804</v>
      </c>
    </row>
    <row r="91" spans="2:11" hidden="1" x14ac:dyDescent="0.25">
      <c r="B91">
        <v>85.404040404040416</v>
      </c>
      <c r="C91">
        <v>3.5031882567023498</v>
      </c>
      <c r="D91">
        <v>2.9069032890645814</v>
      </c>
      <c r="E91">
        <v>2.1544591580886592</v>
      </c>
      <c r="F91">
        <v>1.7061966347587387</v>
      </c>
      <c r="H91">
        <v>8.0053296288037394</v>
      </c>
      <c r="I91">
        <v>5.5055105107548563</v>
      </c>
      <c r="J91">
        <v>3.330163886032167</v>
      </c>
      <c r="K91">
        <v>2.3715534022495182</v>
      </c>
    </row>
    <row r="92" spans="2:11" hidden="1" x14ac:dyDescent="0.25">
      <c r="B92">
        <v>85.909090909090921</v>
      </c>
      <c r="C92">
        <v>3.4222460030698123</v>
      </c>
      <c r="D92">
        <v>2.8447337393806977</v>
      </c>
      <c r="E92">
        <v>2.1127838122002323</v>
      </c>
      <c r="F92">
        <v>1.6751508886154023</v>
      </c>
      <c r="H92">
        <v>7.9793247133220166</v>
      </c>
      <c r="I92">
        <v>5.4739433465126996</v>
      </c>
      <c r="J92">
        <v>3.3018277856787419</v>
      </c>
      <c r="K92">
        <v>2.3479350661806384</v>
      </c>
    </row>
    <row r="93" spans="2:11" hidden="1" x14ac:dyDescent="0.25">
      <c r="B93">
        <v>86.414141414141426</v>
      </c>
      <c r="C93">
        <v>3.3391290506347051</v>
      </c>
      <c r="D93">
        <v>2.7806417949727589</v>
      </c>
      <c r="E93">
        <v>2.0696181869019643</v>
      </c>
      <c r="F93">
        <v>1.6429096765761737</v>
      </c>
      <c r="H93">
        <v>7.9501321609834488</v>
      </c>
      <c r="I93">
        <v>5.4396784830555722</v>
      </c>
      <c r="J93">
        <v>3.2715691356707239</v>
      </c>
      <c r="K93">
        <v>2.3228576372053942</v>
      </c>
    </row>
    <row r="94" spans="2:11" hidden="1" x14ac:dyDescent="0.25">
      <c r="B94">
        <v>86.919191919191931</v>
      </c>
      <c r="C94">
        <v>3.2537981169111747</v>
      </c>
      <c r="D94">
        <v>2.7145827345535833</v>
      </c>
      <c r="E94">
        <v>2.0249188456721563</v>
      </c>
      <c r="F94">
        <v>1.6094344143549766</v>
      </c>
      <c r="H94">
        <v>7.9175662627945922</v>
      </c>
      <c r="I94">
        <v>5.4025650634605151</v>
      </c>
      <c r="J94">
        <v>3.2392872279341969</v>
      </c>
      <c r="K94">
        <v>2.2962479610547151</v>
      </c>
    </row>
    <row r="95" spans="2:11" hidden="1" x14ac:dyDescent="0.25">
      <c r="B95">
        <v>87.424242424242436</v>
      </c>
      <c r="C95">
        <v>3.1662117648059791</v>
      </c>
      <c r="D95">
        <v>2.6465092574420717</v>
      </c>
      <c r="E95">
        <v>1.9786396073713881</v>
      </c>
      <c r="F95">
        <v>1.5746839463331579</v>
      </c>
      <c r="H95">
        <v>7.8814229571843448</v>
      </c>
      <c r="I95">
        <v>5.3624377472747637</v>
      </c>
      <c r="J95">
        <v>3.2048721268367277</v>
      </c>
      <c r="K95">
        <v>2.2680263874887001</v>
      </c>
    </row>
    <row r="96" spans="2:11" hidden="1" x14ac:dyDescent="0.25">
      <c r="B96">
        <v>87.929292929292941</v>
      </c>
      <c r="C96">
        <v>3.0763261717305426</v>
      </c>
      <c r="D96">
        <v>2.5763712105119381</v>
      </c>
      <c r="E96">
        <v>1.9307312489361197</v>
      </c>
      <c r="F96">
        <v>1.5386142604425403</v>
      </c>
      <c r="H96">
        <v>7.8414771821590703</v>
      </c>
      <c r="I96">
        <v>5.31911466522513</v>
      </c>
      <c r="J96">
        <v>3.1682034106402539</v>
      </c>
      <c r="K96">
        <v>2.2381059045973664</v>
      </c>
    </row>
    <row r="97" spans="2:11" hidden="1" x14ac:dyDescent="0.25">
      <c r="B97">
        <v>88.434343434343447</v>
      </c>
      <c r="C97">
        <v>2.984094863582873</v>
      </c>
      <c r="D97">
        <v>2.5041152735162981</v>
      </c>
      <c r="E97">
        <v>1.8811411619969174</v>
      </c>
      <c r="F97">
        <v>1.5011781581615036</v>
      </c>
      <c r="H97">
        <v>7.797479715706447</v>
      </c>
      <c r="I97">
        <v>5.2723949854445005</v>
      </c>
      <c r="J97">
        <v>3.1291486805851823</v>
      </c>
      <c r="K97">
        <v>2.2063911162498964</v>
      </c>
    </row>
    <row r="98" spans="2:11" hidden="1" x14ac:dyDescent="0.25">
      <c r="B98">
        <v>88.939393939393952</v>
      </c>
      <c r="C98">
        <v>2.8894684064853431</v>
      </c>
      <c r="D98">
        <v>2.4296845943344731</v>
      </c>
      <c r="E98">
        <v>1.8298129539454173</v>
      </c>
      <c r="F98">
        <v>1.4623248702832825</v>
      </c>
      <c r="H98">
        <v>7.7491533782647632</v>
      </c>
      <c r="I98">
        <v>5.2220559968295683</v>
      </c>
      <c r="J98">
        <v>3.0875617824971058</v>
      </c>
      <c r="K98">
        <v>2.1727770260873567</v>
      </c>
    </row>
    <row r="99" spans="2:11" hidden="1" x14ac:dyDescent="0.25">
      <c r="B99">
        <v>89.444444444444457</v>
      </c>
      <c r="C99">
        <v>2.7923940473315882</v>
      </c>
      <c r="D99">
        <v>2.3530183635034203</v>
      </c>
      <c r="E99">
        <v>1.7766859815018576</v>
      </c>
      <c r="F99">
        <v>1.4219996066557856</v>
      </c>
      <c r="H99">
        <v>7.6961884326147283</v>
      </c>
      <c r="I99">
        <v>5.1678495867440137</v>
      </c>
      <c r="J99">
        <v>3.0432806695765686</v>
      </c>
      <c r="K99">
        <v>2.137147580823215</v>
      </c>
    </row>
    <row r="100" spans="2:11" hidden="1" x14ac:dyDescent="0.25">
      <c r="B100">
        <v>89.949494949494962</v>
      </c>
      <c r="C100">
        <v>2.6928152917820274</v>
      </c>
      <c r="D100">
        <v>2.274051314517163</v>
      </c>
      <c r="E100">
        <v>1.7216948015681632</v>
      </c>
      <c r="F100">
        <v>1.3801430248351176</v>
      </c>
      <c r="H100">
        <v>7.6382369639127949</v>
      </c>
      <c r="I100">
        <v>5.1094979515340118</v>
      </c>
      <c r="J100">
        <v>2.9961248129979134</v>
      </c>
      <c r="K100">
        <v>2.0993739112345478</v>
      </c>
    </row>
    <row r="101" spans="2:11" hidden="1" x14ac:dyDescent="0.25">
      <c r="B101">
        <v>90.454545454545467</v>
      </c>
      <c r="C101">
        <v>2.5906714051262658</v>
      </c>
      <c r="D101">
        <v>2.1927131325344282</v>
      </c>
      <c r="E101">
        <v>1.6647685197821338</v>
      </c>
      <c r="F101">
        <v>1.3366905982306332</v>
      </c>
      <c r="H101">
        <v>7.5749059495413054</v>
      </c>
      <c r="I101">
        <v>5.0466883247280228</v>
      </c>
      <c r="J101">
        <v>2.9458920366280159</v>
      </c>
      <c r="K101">
        <v>2.0593121895087814</v>
      </c>
    </row>
    <row r="102" spans="2:11" hidden="1" x14ac:dyDescent="0.25">
      <c r="B102">
        <v>90.959595959595973</v>
      </c>
      <c r="C102">
        <v>2.4858968170778581</v>
      </c>
      <c r="D102">
        <v>2.1089277489366438</v>
      </c>
      <c r="E102">
        <v>1.6058300112652093</v>
      </c>
      <c r="F102">
        <v>1.2915718583899116</v>
      </c>
      <c r="H102">
        <v>7.5057486255577244</v>
      </c>
      <c r="I102">
        <v>4.9790664325537888</v>
      </c>
      <c r="J102">
        <v>2.8923546098562807</v>
      </c>
      <c r="K102">
        <v>2.0168009941868821</v>
      </c>
    </row>
    <row r="103" spans="2:11" hidden="1" x14ac:dyDescent="0.25">
      <c r="B103">
        <v>91.464646464646478</v>
      </c>
      <c r="C103">
        <v>2.3784204055980975</v>
      </c>
      <c r="D103">
        <v>2.0226124920452366</v>
      </c>
      <c r="E103">
        <v>1.5447949799097582</v>
      </c>
      <c r="F103">
        <v>1.2447094779003325</v>
      </c>
      <c r="H103">
        <v>7.4302536091677487</v>
      </c>
      <c r="I103">
        <v>4.9062282790376246</v>
      </c>
      <c r="J103">
        <v>2.8352543724910722</v>
      </c>
      <c r="K103">
        <v>1.9716580351895732</v>
      </c>
    </row>
    <row r="104" spans="2:11" hidden="1" x14ac:dyDescent="0.25">
      <c r="B104">
        <v>91.969696969696983</v>
      </c>
      <c r="C104">
        <v>2.2681646265287037</v>
      </c>
      <c r="D104">
        <v>1.9336770543610333</v>
      </c>
      <c r="E104">
        <v>1.4815708111650698</v>
      </c>
      <c r="F104">
        <v>1.1960181489363508</v>
      </c>
      <c r="H104">
        <v>7.3478310217433123</v>
      </c>
      <c r="I104">
        <v>4.8277097069579087</v>
      </c>
      <c r="J104">
        <v>2.774296578994488</v>
      </c>
      <c r="K104">
        <v>1.9236760356885791</v>
      </c>
    </row>
    <row r="105" spans="2:11" hidden="1" x14ac:dyDescent="0.25">
      <c r="B105">
        <v>92.474747474747488</v>
      </c>
      <c r="C105">
        <v>2.155044444019985</v>
      </c>
      <c r="D105">
        <v>1.8420222225712601</v>
      </c>
      <c r="E105">
        <v>1.4160551570800386</v>
      </c>
      <c r="F105">
        <v>1.1454031961557531</v>
      </c>
      <c r="H105">
        <v>7.2577945371026349</v>
      </c>
      <c r="I105">
        <v>4.7429729497120112</v>
      </c>
      <c r="J105">
        <v>2.7091420216907984</v>
      </c>
      <c r="K105">
        <v>1.8726174858888931</v>
      </c>
    </row>
    <row r="106" spans="2:11" hidden="1" x14ac:dyDescent="0.25">
      <c r="B106">
        <v>92.979797979797993</v>
      </c>
      <c r="C106">
        <v>2.038965999683688</v>
      </c>
      <c r="D106">
        <v>1.7475382961342509</v>
      </c>
      <c r="E106">
        <v>1.3481341688465209</v>
      </c>
      <c r="F106">
        <v>1.0927588388960734</v>
      </c>
      <c r="H106">
        <v>7.1593377930519093</v>
      </c>
      <c r="I106">
        <v>4.6513890387527423</v>
      </c>
      <c r="J106">
        <v>2.639396800503123</v>
      </c>
      <c r="K106">
        <v>1.8182078614134727</v>
      </c>
    </row>
    <row r="107" spans="2:11" hidden="1" x14ac:dyDescent="0.25">
      <c r="B107">
        <v>93.484848484848499</v>
      </c>
      <c r="C107">
        <v>1.9198249331813355</v>
      </c>
      <c r="D107">
        <v>1.650103090008842</v>
      </c>
      <c r="E107">
        <v>1.2776802571938319</v>
      </c>
      <c r="F107">
        <v>1.0379659822864034</v>
      </c>
      <c r="H107">
        <v>7.0515028445252232</v>
      </c>
      <c r="I107">
        <v>4.552214386804426</v>
      </c>
      <c r="J107">
        <v>2.5645988105490223</v>
      </c>
      <c r="K107">
        <v>1.7601267111893644</v>
      </c>
    </row>
    <row r="108" spans="2:11" hidden="1" x14ac:dyDescent="0.25">
      <c r="B108">
        <v>93.989898989899004</v>
      </c>
      <c r="C108">
        <v>1.797504228731269</v>
      </c>
      <c r="D108">
        <v>1.5495793712053632</v>
      </c>
      <c r="E108">
        <v>1.2045492078855933</v>
      </c>
      <c r="F108">
        <v>0.98088936297328622</v>
      </c>
      <c r="H108">
        <v>6.9331371167097045</v>
      </c>
      <c r="I108">
        <v>4.4445589969350809</v>
      </c>
      <c r="J108">
        <v>2.4841995492813096</v>
      </c>
      <c r="K108">
        <v>1.6979957235785492</v>
      </c>
    </row>
    <row r="109" spans="2:11" hidden="1" x14ac:dyDescent="0.25">
      <c r="B109">
        <v>94.494949494949509</v>
      </c>
      <c r="C109">
        <v>1.6718714024064045</v>
      </c>
      <c r="D109">
        <v>1.4458115071947517</v>
      </c>
      <c r="E109">
        <v>1.1285763964242836</v>
      </c>
      <c r="F109">
        <v>0.92137379049431545</v>
      </c>
      <c r="H109">
        <v>6.8028332927357686</v>
      </c>
      <c r="I109">
        <v>4.3273423115144318</v>
      </c>
      <c r="J109">
        <v>2.3975390764372642</v>
      </c>
      <c r="K109">
        <v>1.6313623976989564</v>
      </c>
    </row>
    <row r="110" spans="2:11" hidden="1" x14ac:dyDescent="0.25">
      <c r="B110">
        <v>95.000000000000014</v>
      </c>
      <c r="C110">
        <v>1.5427747490534751</v>
      </c>
      <c r="D110">
        <v>1.3386209886551945</v>
      </c>
      <c r="E110">
        <v>1.0495717115190657</v>
      </c>
      <c r="F110">
        <v>0.85923908791711723</v>
      </c>
      <c r="H110">
        <v>6.6588430852184493</v>
      </c>
      <c r="I110">
        <v>4.1992302557683381</v>
      </c>
      <c r="J110">
        <v>2.3038106563345919</v>
      </c>
      <c r="K110">
        <v>1.5596771345119207</v>
      </c>
    </row>
    <row r="112" spans="2:11" x14ac:dyDescent="0.25">
      <c r="C112" s="14" t="s">
        <v>94</v>
      </c>
    </row>
  </sheetData>
  <dataValidations count="1">
    <dataValidation type="list" allowBlank="1" showInputMessage="1" showErrorMessage="1" sqref="C6" xr:uid="{F2286062-97C8-49D4-8F6F-0E932B4D5C94}">
      <formula1>"None, Manual, RDS"</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CA92-1233-486F-8759-787D1B609066}">
  <dimension ref="B2:L18"/>
  <sheetViews>
    <sheetView showGridLines="0" workbookViewId="0"/>
  </sheetViews>
  <sheetFormatPr defaultRowHeight="15" x14ac:dyDescent="0.25"/>
  <cols>
    <col min="1" max="1" width="5.28515625" customWidth="1"/>
    <col min="2" max="2" width="32" customWidth="1"/>
    <col min="6" max="6" width="4.140625" customWidth="1"/>
    <col min="7" max="7" width="32.42578125" customWidth="1"/>
    <col min="8" max="8" width="14.42578125" customWidth="1"/>
    <col min="10" max="10" width="30.7109375" hidden="1" customWidth="1"/>
    <col min="11" max="11" width="0" hidden="1" customWidth="1"/>
  </cols>
  <sheetData>
    <row r="2" spans="2:12" x14ac:dyDescent="0.25">
      <c r="B2" s="14" t="s">
        <v>27</v>
      </c>
      <c r="J2" s="15"/>
      <c r="K2" s="15"/>
    </row>
    <row r="3" spans="2:12" ht="15.75" thickBot="1" x14ac:dyDescent="0.3">
      <c r="J3" s="15"/>
      <c r="K3" s="15"/>
    </row>
    <row r="4" spans="2:12" x14ac:dyDescent="0.25">
      <c r="B4" s="133" t="s">
        <v>0</v>
      </c>
      <c r="C4" s="134"/>
      <c r="D4" s="134"/>
      <c r="E4" s="135"/>
      <c r="G4" s="136" t="s">
        <v>28</v>
      </c>
      <c r="H4" s="137"/>
      <c r="I4" s="17"/>
      <c r="J4" s="15"/>
      <c r="K4" s="15"/>
      <c r="L4" t="s">
        <v>29</v>
      </c>
    </row>
    <row r="5" spans="2:12" x14ac:dyDescent="0.25">
      <c r="B5" s="1" t="s">
        <v>30</v>
      </c>
      <c r="C5" s="18">
        <v>1E-3</v>
      </c>
      <c r="D5" s="19"/>
      <c r="E5" s="20"/>
      <c r="G5" s="1" t="s">
        <v>31</v>
      </c>
      <c r="H5" s="21">
        <v>200</v>
      </c>
      <c r="I5" s="22"/>
      <c r="J5" s="15"/>
      <c r="K5" s="15"/>
      <c r="L5" s="23"/>
    </row>
    <row r="6" spans="2:12" x14ac:dyDescent="0.25">
      <c r="B6" s="1" t="s">
        <v>1</v>
      </c>
      <c r="C6" s="2">
        <v>0</v>
      </c>
      <c r="D6" s="2"/>
      <c r="E6" s="3"/>
      <c r="G6" s="1" t="s">
        <v>32</v>
      </c>
      <c r="H6" s="21">
        <v>30</v>
      </c>
      <c r="I6" s="22"/>
      <c r="J6" s="16" t="s">
        <v>21</v>
      </c>
      <c r="K6" s="24" cm="1">
        <f t="array" ref="K6">TOL_LOWER_LIMIT(C7,D7,E7)</f>
        <v>-1</v>
      </c>
    </row>
    <row r="7" spans="2:12" x14ac:dyDescent="0.25">
      <c r="B7" s="1" t="s">
        <v>2</v>
      </c>
      <c r="C7" s="4">
        <v>0</v>
      </c>
      <c r="D7" s="5" t="s">
        <v>3</v>
      </c>
      <c r="E7" s="6">
        <v>1</v>
      </c>
      <c r="G7" s="1" t="s">
        <v>33</v>
      </c>
      <c r="H7" s="25">
        <v>1000000</v>
      </c>
      <c r="I7" s="26"/>
      <c r="J7" s="16" t="s">
        <v>22</v>
      </c>
      <c r="K7" s="24" cm="1">
        <f t="array" ref="K7">TOL_UPPER_LIMIT(C7,D7,E7)</f>
        <v>1</v>
      </c>
    </row>
    <row r="8" spans="2:12" x14ac:dyDescent="0.25">
      <c r="B8" s="1" t="s">
        <v>4</v>
      </c>
      <c r="C8" s="27">
        <v>0.9</v>
      </c>
      <c r="D8" s="2"/>
      <c r="E8" s="3"/>
      <c r="G8" s="28"/>
      <c r="H8" s="20"/>
      <c r="J8" s="16" t="s">
        <v>23</v>
      </c>
      <c r="K8" s="24" cm="1">
        <f t="array" ref="K8">SIGMA_FROM_ITP(C6,K6,K7,C8)</f>
        <v>0.60795683191176941</v>
      </c>
    </row>
    <row r="9" spans="2:12" ht="15.75" thickBot="1" x14ac:dyDescent="0.3">
      <c r="B9" s="29" t="s">
        <v>5</v>
      </c>
      <c r="C9" s="30">
        <v>0.04</v>
      </c>
      <c r="D9" s="31"/>
      <c r="E9" s="32"/>
      <c r="G9" s="33"/>
      <c r="H9" s="34"/>
      <c r="J9" s="16"/>
      <c r="K9" s="24"/>
    </row>
    <row r="10" spans="2:12" x14ac:dyDescent="0.25">
      <c r="J10" s="16"/>
      <c r="K10" s="24"/>
    </row>
    <row r="11" spans="2:12" ht="15.75" thickBot="1" x14ac:dyDescent="0.3">
      <c r="B11" s="35"/>
      <c r="C11" s="36"/>
      <c r="D11" s="36"/>
      <c r="J11" s="16" t="s">
        <v>24</v>
      </c>
      <c r="K11" s="24" cm="1">
        <f t="array" ref="K11">GBW_TARGET(K6,K7,C6,C9/2,K8,C5)</f>
        <v>1.3340222138378675E-2</v>
      </c>
    </row>
    <row r="12" spans="2:12" x14ac:dyDescent="0.25">
      <c r="B12" s="138" t="s">
        <v>34</v>
      </c>
      <c r="C12" s="139"/>
      <c r="D12" s="139"/>
      <c r="E12" s="140"/>
      <c r="G12" s="138" t="s">
        <v>35</v>
      </c>
      <c r="H12" s="140"/>
      <c r="I12" s="17"/>
      <c r="J12" s="15" t="s">
        <v>25</v>
      </c>
      <c r="K12" s="37">
        <f>K6+K11</f>
        <v>-0.98665977786162129</v>
      </c>
    </row>
    <row r="13" spans="2:12" x14ac:dyDescent="0.25">
      <c r="B13" s="7" t="s">
        <v>8</v>
      </c>
      <c r="C13" s="8" cm="1">
        <f t="array" ref="C13">TUR(C7,D7,E7,C9,C6)</f>
        <v>25</v>
      </c>
      <c r="D13" s="9"/>
      <c r="E13" s="10"/>
      <c r="G13" s="7" t="s">
        <v>36</v>
      </c>
      <c r="H13" s="38">
        <f>H7*C17</f>
        <v>999.98880965132537</v>
      </c>
      <c r="I13" s="26"/>
      <c r="J13" s="15" t="s">
        <v>26</v>
      </c>
      <c r="K13" s="37">
        <f>K7-K11</f>
        <v>0.98665977786162129</v>
      </c>
    </row>
    <row r="14" spans="2:12" x14ac:dyDescent="0.25">
      <c r="B14" s="7" t="s">
        <v>9</v>
      </c>
      <c r="C14" s="39" cm="1">
        <f t="array" ref="C14">PFA(K6,K7,K6,K7,C6,C9/2,K8)</f>
        <v>2.6220806071250435E-3</v>
      </c>
      <c r="D14" s="9"/>
      <c r="E14" s="10"/>
      <c r="G14" s="7" t="s">
        <v>37</v>
      </c>
      <c r="H14" s="38">
        <f>H7*C18</f>
        <v>5797.4885292756126</v>
      </c>
      <c r="I14" s="26"/>
      <c r="J14" s="16"/>
      <c r="K14" s="24"/>
    </row>
    <row r="15" spans="2:12" x14ac:dyDescent="0.25">
      <c r="B15" s="7" t="s">
        <v>38</v>
      </c>
      <c r="C15" s="39" cm="1">
        <f t="array" ref="C15">PFR(K6,K7,K6,K7,C6,C9/2,K8)</f>
        <v>2.806942250260458E-3</v>
      </c>
      <c r="D15" s="9"/>
      <c r="E15" s="10"/>
      <c r="G15" s="40" t="s">
        <v>39</v>
      </c>
      <c r="H15" s="41">
        <f>H13*H5</f>
        <v>199997.76193026509</v>
      </c>
      <c r="I15" s="42"/>
      <c r="J15" s="16"/>
      <c r="K15" s="24"/>
    </row>
    <row r="16" spans="2:12" x14ac:dyDescent="0.25">
      <c r="B16" s="40" t="s">
        <v>10</v>
      </c>
      <c r="C16" s="43" cm="1">
        <f t="array" ref="C16">TOL_DISPLAY_1(K12,K13,D7)</f>
        <v>0</v>
      </c>
      <c r="D16" s="44" t="str">
        <f>D7</f>
        <v>±</v>
      </c>
      <c r="E16" s="45" cm="1">
        <f t="array" ref="E16">TOL_DISPLAY_2(K12,K13,D7)</f>
        <v>0.98665977786162129</v>
      </c>
      <c r="G16" s="40" t="s">
        <v>40</v>
      </c>
      <c r="H16" s="41">
        <f>H14*H6</f>
        <v>173924.65587826839</v>
      </c>
      <c r="I16" s="42"/>
      <c r="J16" s="15"/>
      <c r="K16" s="15"/>
      <c r="L16" s="23"/>
    </row>
    <row r="17" spans="2:12" x14ac:dyDescent="0.25">
      <c r="B17" s="7" t="s">
        <v>41</v>
      </c>
      <c r="C17" s="39" cm="1">
        <f t="array" ref="C17">PFA(K6,K7,K12,K13,C6,C9/2,K8)</f>
        <v>9.9998880965132542E-4</v>
      </c>
      <c r="D17" s="9"/>
      <c r="E17" s="10"/>
      <c r="G17" s="40" t="s">
        <v>42</v>
      </c>
      <c r="H17" s="41">
        <f>H15+H16</f>
        <v>373922.41780853347</v>
      </c>
      <c r="I17" s="42"/>
      <c r="J17" s="15"/>
      <c r="K17" s="15"/>
      <c r="L17" s="23"/>
    </row>
    <row r="18" spans="2:12" ht="15.75" thickBot="1" x14ac:dyDescent="0.3">
      <c r="B18" s="11" t="s">
        <v>43</v>
      </c>
      <c r="C18" s="46" cm="1">
        <f t="array" ref="C18">PFR(K6,K7,K12,K13,C6,C9/2,K8)</f>
        <v>5.7974885292756129E-3</v>
      </c>
      <c r="D18" s="12"/>
      <c r="E18" s="13"/>
      <c r="G18" s="47"/>
      <c r="H18" s="48"/>
      <c r="J18" s="15"/>
      <c r="K18" s="15"/>
      <c r="L18" s="23"/>
    </row>
  </sheetData>
  <mergeCells count="4">
    <mergeCell ref="B4:E4"/>
    <mergeCell ref="G4:H4"/>
    <mergeCell ref="B12:E12"/>
    <mergeCell ref="G12:H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5A6-4F00-449E-9AEC-6C1451B7F969}">
  <dimension ref="A1:B5"/>
  <sheetViews>
    <sheetView workbookViewId="0">
      <selection activeCell="B6" sqref="B6"/>
    </sheetView>
  </sheetViews>
  <sheetFormatPr defaultRowHeight="15" x14ac:dyDescent="0.25"/>
  <cols>
    <col min="1" max="1" width="17.42578125" customWidth="1"/>
    <col min="2" max="2" width="21.42578125" customWidth="1"/>
  </cols>
  <sheetData>
    <row r="1" spans="1:2" x14ac:dyDescent="0.25">
      <c r="A1" t="s">
        <v>15</v>
      </c>
      <c r="B1" t="s">
        <v>16</v>
      </c>
    </row>
    <row r="2" spans="1:2" x14ac:dyDescent="0.25">
      <c r="A2" t="s">
        <v>3</v>
      </c>
      <c r="B2" t="s">
        <v>7</v>
      </c>
    </row>
    <row r="3" spans="1:2" x14ac:dyDescent="0.25">
      <c r="A3" t="s">
        <v>17</v>
      </c>
      <c r="B3" t="s">
        <v>18</v>
      </c>
    </row>
    <row r="4" spans="1:2" x14ac:dyDescent="0.25">
      <c r="A4" t="s">
        <v>19</v>
      </c>
      <c r="B4" t="s">
        <v>64</v>
      </c>
    </row>
    <row r="5" spans="1:2" x14ac:dyDescent="0.25">
      <c r="A5" t="s">
        <v>20</v>
      </c>
      <c r="B5" t="s">
        <v>68</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Risk Calculator - Normal</vt:lpstr>
      <vt:lpstr>Risk Calculator - Gamma</vt:lpstr>
      <vt:lpstr>Specific Risk</vt:lpstr>
      <vt:lpstr>Guardband Calculator</vt:lpstr>
      <vt:lpstr>Risk Curves</vt:lpstr>
      <vt:lpstr>Cost Model</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Delker, Collin</dc:creator>
  <cp:lastModifiedBy>uncertainty@sandia.gov</cp:lastModifiedBy>
  <dcterms:created xsi:type="dcterms:W3CDTF">2026-01-16T20:24:47Z</dcterms:created>
  <dcterms:modified xsi:type="dcterms:W3CDTF">2026-03-23T14:22:56Z</dcterms:modified>
</cp:coreProperties>
</file>