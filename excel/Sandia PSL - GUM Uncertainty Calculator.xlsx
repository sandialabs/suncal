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cjdelke\Code\SuncalPublic-PagesBranch\excel\"/>
    </mc:Choice>
  </mc:AlternateContent>
  <xr:revisionPtr revIDLastSave="0" documentId="13_ncr:1_{0C46EC2D-B962-40F0-84F4-87F3B9F31A6C}" xr6:coauthVersionLast="47" xr6:coauthVersionMax="47" xr10:uidLastSave="{00000000-0000-0000-0000-000000000000}"/>
  <bookViews>
    <workbookView xWindow="180" yWindow="75" windowWidth="28800" windowHeight="20010" tabRatio="980" xr2:uid="{B41ACC36-F6EE-4501-9D94-A37C03BDC742}"/>
  </bookViews>
  <sheets>
    <sheet name="GUM Instructions" sheetId="2" r:id="rId1"/>
    <sheet name="GUM Uncertainty" sheetId="11" r:id="rId2"/>
    <sheet name="Type B" sheetId="6" r:id="rId3"/>
    <sheet name="Repeatability" sheetId="3" r:id="rId4"/>
    <sheet name="Reproducibility" sheetId="5" r:id="rId5"/>
    <sheet name="GUM Examples" sheetId="8" r:id="rId6"/>
    <sheet name="Manual Monte Carlo" sheetId="12" r:id="rId7"/>
    <sheet name="Formula Reference" sheetId="7" state="hidden" r:id="rId8"/>
    <sheet name="Lookups" sheetId="9" state="hidden" r:id="rId9"/>
  </sheets>
  <definedNames>
    <definedName name="__MEASUREMENT_MODEL" comment="The Measurement Model to calculate. For example, &quot;=LAMBDA(delta,t,rs,p,SQRT(2*delta*t*rs/p))&quot; calculates the airspeed using the pitot tube example in the Kline/McClintock 1953 paper.">_xlfn.LAMBDA(_xlpm.a,_xlpm.b,_xlpm.c, _xlpm.a/_xlpm.b*_xlpm.c)</definedName>
    <definedName name="BINS_F">_xlfn.ANCHORARRAY('Manual Monte Carlo'!$AB$13)</definedName>
    <definedName name="BINS_X">_xlfn.ANCHORARRAY('Manual Monte Carlo'!$V$13)</definedName>
    <definedName name="BINS_Y">_xlfn.ANCHORARRAY('Manual Monte Carlo'!$X$13)</definedName>
    <definedName name="BINS_Z">_xlfn.ANCHORARRAY('Manual Monte Carlo'!$Z$13)</definedName>
    <definedName name="Confidence" localSheetId="1">'GUM Uncertainty'!$C$5</definedName>
    <definedName name="CORRELATION_SUM" comment="Calculates the contribution to the combined variance due to correlation terms - GUM Equation 15.">_xlfn.LAMBDA(_xlpm.uncerts,_xlpm.dfdx,_xlpm.coeffs,     2*SUM(         _xlfn.MAP(_xlfn.SEQUENCE(8),             _xlfn.LAMBDA(_xlpm.i,                 SUM(_xlfn.MAP(_xlfn.SEQUENCE(8),                     _xlfn.LAMBDA(_xlpm.k,                         IF(_xlpm.i&lt;_xlpm.k,                             INDEX(_xlpm.uncerts,_xlpm.i)*INDEX(_xlpm.uncerts,_xlpm.k)*INDEX(_xlpm.dfdx,_xlpm.i)*INDEX(_xlpm.dfdx,_xlpm.k)*INDEX(_xlpm.coeffs,_xlpm.i,_xlpm.k),                             0                         )                     )                 ))             )         )     ) )</definedName>
    <definedName name="CorrelationMatrix" localSheetId="1">'GUM Uncertainty'!$O$12:$V$19</definedName>
    <definedName name="CoverageFactorGUM" localSheetId="1">'GUM Uncertainty'!$J$26</definedName>
    <definedName name="DEGF_EFFECTIVE" comment="Effective degrees of freedom using Welch-Satterthwaite approximation - GUM Equation G.2b.">_xlfn.LAMBDA(_xlpm.varcombined,_xlpm.uncerts,_xlpm.dfdx,_xlpm.degfs,     _xlfn.LET(         _xlpm.s_over_d, _xlpm.uncerts^4*_xlpm.dfdx^4/_xlpm.degfs,         _xlpm.varcombined^2 / SUM(_xlfn._xlws.FILTER(_xlpm.s_over_d, NOT(ISERROR(_xlpm.s_over_d))))     ) )</definedName>
    <definedName name="DegFreedomGUM" localSheetId="1">'GUM Uncertainty'!$J$25</definedName>
    <definedName name="DFDX" comment="Sensitivity coefficients of the measurement model">_xlfn.LAMBDA(_xlpm.values,_xlpm.uncs,_xlpm.function,         _xlfn.MAP(_xlfn.SEQUENCE(8), _xlfn.LAMBDA(_xlpm.k,             _xlfn.LET(_xlpm.eps, EPSILON(_xlpm.uncs, _xlpm.k),                 _xlpm.plus, EVAL_MODEL(_xlpm.values+_xlpm.eps, _xlpm.function),                 _xlpm.minus, EVAL_MODEL(_xlpm.values-_xlpm.eps, _xlpm.function),                 _xlpm.dfdx, (_xlpm.plus-_xlpm.minus)/(INDEX(_xlpm.eps,_xlpm.k)*2),                 IF(INDEX(_xlpm.eps,_xlpm.k)=0, 0, IFERROR(_xlpm.dfdx, ""))             )         )     ) )</definedName>
    <definedName name="Distributions">'Manual Monte Carlo'!$AE$4:$AE$6</definedName>
    <definedName name="EPSILON" comment="Difference used in numerical differentiation">_xlfn.LAMBDA(_xlpm.uncs,_xlpm.i,     _xlfn.MAP(_xlfn.SEQUENCE(8),         _xlfn.LAMBDA(_xlpm.k, IF(_xlpm.k=_xlpm.i, INDEX(_xlpm.uncs,_xlpm.k)/1000, 0)         )     ) )</definedName>
    <definedName name="EVAL_MODEL" comment="Evaluates the measurement model function using a range of values, limiting the number of arguments to the number in the array.">_xlfn.LAMBDA(_xlpm.values,_xlpm.function,     IFERROR(_xlpm.function(INDEX(_xlpm.values,1),INDEX(_xlpm.values,2),INDEX(_xlpm.values,3),INDEX(_xlpm.values,4),INDEX(_xlpm.values,5),INDEX(_xlpm.values,6),INDEX(_xlpm.values,7),INDEX(_xlpm.values,8)),     IFERROR(_xlpm.function(INDEX(_xlpm.values,1),INDEX(_xlpm.values,2),INDEX(_xlpm.values,3),INDEX(_xlpm.values,4),INDEX(_xlpm.values,5),INDEX(_xlpm.values,6),INDEX(_xlpm.values,7)),     IFERROR(_xlpm.function(INDEX(_xlpm.values,1),INDEX(_xlpm.values,2),INDEX(_xlpm.values,3),INDEX(_xlpm.values,4),INDEX(_xlpm.values,5),INDEX(_xlpm.values,6)),     IFERROR(_xlpm.function(INDEX(_xlpm.values,1),INDEX(_xlpm.values,2),INDEX(_xlpm.values,3),INDEX(_xlpm.values,4),INDEX(_xlpm.values,5)),     IFERROR(_xlpm.function(INDEX(_xlpm.values,1),INDEX(_xlpm.values,2),INDEX(_xlpm.values,3),INDEX(_xlpm.values,4)),     IFERROR(_xlpm.function(INDEX(_xlpm.values,1),INDEX(_xlpm.values,2),INDEX(_xlpm.values,3)),     IFERROR(_xlpm.function(INDEX(_xlpm.values,1),INDEX(_xlpm.values,2)),     _xlpm.function(INDEX(_xlpm.values,1))))))))))</definedName>
    <definedName name="F">_xlfn.ANCHORARRAY('Manual Monte Carlo'!$G$14)</definedName>
    <definedName name="HAS_CORRELATION" comment="TRUE if there are non-zero correlation coefficients">_xlfn.LAMBDA(_xlpm.cor, SUM(ABS(_xlpm.cor))&gt;8)</definedName>
    <definedName name="HIST" comment="Generate histogram densities for the samples with bins giving the left edges of each bin. NOTE: COUTIFS doesn't work here - excel will throw Nested Array errors - so fall back on this COUNT and FILTER implementation.">_xlfn.LAMBDA(_xlpm.samples,_xlpm.bins,     _xlfn.LET(_xlpm.nsamples, COUNT(_xlpm.samples),         _xlpm.bwidth, INDEX(_xlpm.bins, 2)-INDEX(_xlpm.bins, 1),       _xlfn.MAP(_xlfn.SEQUENCE(COUNT(_xlpm.bins)-1),         _xlfn.LAMBDA(_xlpm.i, COUNT(             _xlfn.LET(_xlpm.gg, _xlfn._xlws.FILTER(_xlpm.samples, _xlpm.samples&gt;=INDEX(_xlpm.bins, _xlpm.i)),                 _xlfn._xlws.FILTER(_xlpm.gg, _xlpm.gg&lt;INDEX(_xlpm.bins, _xlpm.i+1))))/_xlpm.nsamples/_xlpm.bwidth                )         )     ) )</definedName>
    <definedName name="HIST_F">_xlfn.ANCHORARRAY('Manual Monte Carlo'!$AC$13)</definedName>
    <definedName name="HIST_X">_xlfn.ANCHORARRAY('Manual Monte Carlo'!$W$13)</definedName>
    <definedName name="HIST_Y">_xlfn.ANCHORARRAY('Manual Monte Carlo'!$Y$13)</definedName>
    <definedName name="HIST_Z">_xlfn.ANCHORARRAY('Manual Monte Carlo'!$AA$13)</definedName>
    <definedName name="HISTBINS" comment="Divide the range into suitable histogram bins">_xlfn.LAMBDA(_xlpm.samples,_xlpm.nbins,   _xlfn.LET(_xlpm.xmin, MIN(_xlpm.samples), _xlpm.xmax, MAX(_xlpm.samples),       _xlpm.width, (_xlpm.xmax-_xlpm.xmin)/_xlpm.nbins,       _xlfn.MAP(_xlfn.SEQUENCE(_xlpm.nbins+1), _xlfn.LAMBDA(_xlpm.x, _xlpm.xmin+_xlpm.width*(_xlpm.x-1)))   ) )</definedName>
    <definedName name="INVCDF_TRIANG" comment="Inverse cumulative distribution function of triangular distribution">_xlfn.LAMBDA(_xlpm.mu,_xlpm.alpha,_xlpm.p,     _xlfn.LET(_xlpm.a, _xlpm.mu-_xlpm.alpha,         _xlpm.b, _xlpm.mu+_xlpm.alpha,         IF(_xlpm.p&lt;0.5, _xlpm.a+SQRT(2)*SQRT(_xlpm.p)*(_xlpm.b-_xlpm.a)/2,                   _xlpm.b+SQRT(2-2*_xlpm.p)*(_xlpm.a-_xlpm.b)/2         )     ) )</definedName>
    <definedName name="INVCDF_UNIFORM" comment="Inverse CDF of uniform distribution.">_xlfn.LAMBDA(_xlpm.mu,_xlpm.a,_xlpm.p, _xlpm.p*(2*_xlpm.a)+_xlpm.mu-_xlpm.a)</definedName>
    <definedName name="K_LOOKUP" comment="Look up the coverage factor k from dropdown options">_xlfn.LAMBDA(_xlpm.x, _xlfn.IFS(_xlpm.x="Normal k=1", 1,                _xlpm.x="Normal k=2", 2,                _xlpm.x="Normal k=3", 3,                _xlpm.x="Triangular k=2.45", SQRT(6),                TRUE, SQRT(3)))</definedName>
    <definedName name="MC_SAMPLE_CORRELATED" comment="Generate correlated Monte Carlo samples and evaluate measurement model. Samples may be normal, uniform, or triangular. See JCGM 101:2008 Appendix C.5.">_xlfn.LAMBDA(_xlpm.function,_xlpm.nominals,_xlpm.uncerts,_xlpm.distributions,_xlpm.corr,_xlpm.nsamples,     _xlfn.LET(_xlpm.nvars,ROWS(_xlpm.uncerts),         _xlpm.pos_unc,IF(_xlpm.uncerts&lt;=0,1E-20,_xlpm.uncerts),         _xlpm.shape, _xlfn.IFS(LEFT(_xlpm.distributions,1)="U", 2,                    LEFT(_xlpm.distributions,1)="T", 3,                    TRUE, 1),         _xlpm.rtranspose,V_CHOLESKY(_xlpm.corr),         _xlpm.z,_xlfn.NORM.S.INV(_xlfn.RANDARRAY(_xlpm.nvars,_xlpm.nsamples)),         _xlpm.normcdf, _xlfn.NORM.S.DIST(MMULT(_xlpm.rtranspose,_xlpm.z), TRUE),         _xlpm.uniformsamples, INVCDF_UNIFORM(_xlpm.nominals, _xlpm.pos_unc*SQRT(3), _xlpm.normcdf),         _xlpm.trisamples, INVCDF_TRIANG(_xlpm.nominals, _xlpm.pos_unc*SQRT(6), _xlpm.normcdf),         _xlpm.normsamples, _xlfn.NORM.INV(_xlpm.normcdf, _xlpm.nominals, _xlpm.pos_unc),         _xlpm.samples, CHOOSE(_xlpm.shape, _xlpm.normsamples, _xlpm.uniformsamples, _xlpm.trisamples),         _xlfn.BYCOL(_xlpm.samples, _xlfn.LAMBDA(_xlpm.i, EVAL_MODEL(_xlpm.i, _xlpm.function)))))</definedName>
    <definedName name="MC_SAMPLE_UNCOR" comment="Generate random Monte Carlo samples and evaluate measurement model. Samples may be normal, uniform, or triangular.">_xlfn.LAMBDA(_xlpm.function,_xlpm.nominals,_xlpm.uncerts,_xlpm.distributions,_xlpm.nsamples,     _xlfn.LET(_xlpm.pos_uncerts, IF(_xlpm.uncerts&lt;=0, 1E-99, _xlpm.uncerts),         _xlfn.MAP(_xlfn.SEQUENCE(_xlpm.nsamples),             _xlfn.LAMBDA(_xlpm.i,                 EVAL_MODEL(                     _xlfn.MAP(_xlfn.SEQUENCE(8), _xlfn.LAMBDA(_xlpm.k,                         _xlfn.LET(_xlpm.shape, LEFT(INDEX(_xlpm.distributions,_xlpm.k),1),                             _xlpm.mu, INDEX(_xlpm.nominals, _xlpm.k),                             _xlpm.alpha, INDEX(_xlpm.pos_uncerts, _xlpm.k),                             IF(_xlpm.shape="U", RAND_UNIFORM(_xlpm.mu, _xlpm.alpha*SQRT(3)),                             IF(_xlpm.shape="T", RAND_TRIANG(_xlpm.mu, _xlpm.alpha*SQRT(6)),                                 RAND_NORM(_xlpm.mu, _xlpm.alpha))                             )                         )                     )),                     _xlpm.function                 )             )         )     ) )</definedName>
    <definedName name="MC_SAMPLES" comment="Generate Monte Carlo samples.">_xlfn.LAMBDA(_xlpm.function,_xlpm.nominals,_xlpm.uncerts,_xlpm.distributions,_xlpm.corr,_xlpm.nsamples,         IF(HAS_CORRELATION(_xlpm.corr),             MC_SAMPLE_CORRELATED(_xlpm.function,_xlpm.nominals,_xlpm.uncerts,_xlpm.distributions,_xlpm.corr,_xlpm.nsamples),             MC_SAMPLE_UNCOR(_xlpm.function,_xlpm.nominals,_xlpm.uncerts,_xlpm.distributions,_xlpm.nsamples)             )         )</definedName>
    <definedName name="MeasurandDegF" localSheetId="1">'GUM Uncertainty'!$G$11:$G$18</definedName>
    <definedName name="MeasurandDistributions" localSheetId="1">'GUM Uncertainty'!$E$11:$E$18</definedName>
    <definedName name="Measurands" localSheetId="1">'GUM Uncertainty'!$C$11:$C$18</definedName>
    <definedName name="MeasurandSensitivities" localSheetId="1">'GUM Uncertainty'!$K$11:$K$18</definedName>
    <definedName name="MeasurandStdUnc" localSheetId="1">'GUM Uncertainty'!$J$11:$J$18</definedName>
    <definedName name="MeasurandUncertainty" localSheetId="1">'GUM Uncertainty'!$D$11:$D$18</definedName>
    <definedName name="MONTE_CARLO" comment="Calculate Monte Carlo samples and evaluate statistics">_xlfn.LAMBDA(_xlpm.function,_xlpm.values,_xlpm.uncerts,_xlpm.distributions,_xlpm.corr,_xlpm.nsamples,_xlpm.confidence,     _xlfn.LET(_xlpm.samples, MC_SAMPLES(_xlpm.function, _xlpm.values, _xlpm.uncerts, _xlpm.distributions, _xlpm.corr, _xlpm.nsamples),         _xlpm.hbins, HISTBINS(_xlpm.samples, 40),         _xlpm.bincounts, HIST(_xlpm.samples, _xlpm.hbins),         _xlfn.VSTACK(AVERAGE(_xlpm.samples),          _xlfn.STDEV.S(_xlpm.samples),          MIN(_xlpm.samples),          _xlfn.QUARTILE.INC(_xlpm.samples, 1),          MEDIAN(_xlpm.samples),          _xlfn.QUARTILE.INC(_xlpm.samples, 3),          MAX(_xlpm.samples),          _xlfn.PERCENTILE.INC(_xlpm.samples, (1-_xlpm.confidence)/2),          _xlfn.PERCENTILE.INC(_xlpm.samples, 1-(1-_xlpm.confidence)/2),          _xlpm.hbins,          _xlpm.bincounts          ) ) )</definedName>
    <definedName name="NBINS">'Manual Monte Carlo'!$C$5</definedName>
    <definedName name="NSamples" localSheetId="1">'GUM Uncertainty'!$C$6</definedName>
    <definedName name="OutputCoverageHiGUM" localSheetId="1">'GUM Uncertainty'!$J$30</definedName>
    <definedName name="OutputCoverageHiMC" localSheetId="1">'GUM Uncertainty'!$J$41</definedName>
    <definedName name="OutputCoverageLoGUM" localSheetId="1">'GUM Uncertainty'!$J$29</definedName>
    <definedName name="OutputCoverageLoMC" localSheetId="1">'GUM Uncertainty'!$J$40</definedName>
    <definedName name="OutputExpandedGUM" localSheetId="1">'GUM Uncertainty'!$J$27</definedName>
    <definedName name="OutputMeasurandGUM" localSheetId="1">'GUM Uncertainty'!$J$22</definedName>
    <definedName name="OutputStdevGUM" localSheetId="1">'GUM Uncertainty'!$J$23</definedName>
    <definedName name="OutputUnits" localSheetId="1">'GUM Uncertainty'!$C$8</definedName>
    <definedName name="OutputVarianceGUM" localSheetId="1">'GUM Uncertainty'!$J$24</definedName>
    <definedName name="RAND_NORM" comment="Generate random normal sample with mean mu and standard deviation a.">_xlfn.LAMBDA(_xlpm.mu,_xlpm.a, _xlfn.NORM.INV(RAND(), _xlpm.mu, _xlpm.a))</definedName>
    <definedName name="RAND_SAMPLES" comment="Generate random samples using the given distribution shape.">_xlfn.LAMBDA(_xlpm.shape,_xlpm.mu,_xlpm.a,_xlpm.nsamples, _xlfn.MAP(_xlfn.SEQUENCE(_xlpm.nsamples), _xlfn.LAMBDA(_xlpm.k, IF(_xlpm.shape="Uniform", RAND_UNIFORM(_xlpm.mu, _xlpm.a), IF(_xlpm.shape="Triangular", RAND_TRIANG(_xlpm.mu, _xlpm.a), RAND_NORM(_xlpm.mu, _xlpm.a))))))</definedName>
    <definedName name="RAND_TRIANG" comment="Generate random sample from triangular distribution with mean mu and half-width a.">_xlfn.LAMBDA(_xlpm.mu,_xlpm.a,         _xlfn.LET(_xlpm.b, _xlpm.mu-_xlpm.a,             _xlpm.c, _xlpm.mu+_xlpm.a,             _xlpm.b +(_xlpm.c-_xlpm.b)/2*(RAND()+RAND())         ) )</definedName>
    <definedName name="RAND_UNIFORM" comment="Generate random uniform sample with mean mu and half-width a.">_xlfn.LAMBDA(_xlpm.mu,_xlpm.a, (RAND()-0.5)*_xlpm.a*2 + _xlpm.mu)</definedName>
    <definedName name="SigFigs" localSheetId="1">'GUM Uncertainty'!$C$7</definedName>
    <definedName name="UNCERTAINTY_VARIANCE" comment="Calculate variance of the measurement model using GUM approach.">_xlfn.LAMBDA(_xlpm.uncerts,_xlpm.dfdx,_xlop.correlations,     _xlfn.LET(_xlpm.x, _xlpm.uncerts*_xlpm.dfdx,         _xlpm.combined, SUMSQ(_xlfn._xlws.FILTER(_xlpm.x, NOT(ISERROR(_xlpm.x)))),         IF(_xlfn.ISOMITTED(_xlpm.correlations), _xlpm.combined, _xlpm.combined+CORRELATION_SUM(_xlpm.uncerts, _xlpm.dfdx, _xlpm.correlations))     ) )</definedName>
    <definedName name="V_CHOLESKY" comment="Cholseky decomposition (source: https://www.vertex42.com/lambda/cholesky.html)">_xlfn.LAMBDA(_xlpm.matrix, _xlfn.LET(_xlpm.doc,"https://www.vertex42.com/lambda/cholesky.html",     _xlpm.n,ROWS(_xlpm.matrix),     IF(ROWS(_xlpm.matrix)&lt;&gt;COLUMNS(_xlpm.matrix),         "Error: matrix not square",     IF(SUM(--(_xlpm.matrix&lt;&gt;TRANSPOSE(_xlpm.matrix)))&lt;&gt;0,         "Error: not symmetric",     IF(MDETERM(_xlpm.matrix)&lt;=0,         "Error: not positive definite",     _xlfn.REDUCE(0,_xlfn.SEQUENCE(_xlpm.n),_xlfn.LAMBDA(_xlpm.Lmat,_xlpm.j,         IF(_xlpm.j=1,             _xlfn.LET(_xlpm.Ljj,SQRT(INDEX(_xlpm.matrix,_xlpm.j,_xlpm.j)),                 _xlpm.Lij,_xlfn.CHOOSEROWS(INDEX(_xlpm.matrix,0,1),_xlfn.SEQUENCE(_xlpm.n-1,1,2,1))/_xlpm.Ljj,                 _xlfn.VSTACK(_xlpm.Ljj,_xlpm.Lij)             ),         IF(_xlpm.j=_xlpm.n,             _xlfn.LET(_xlpm.Ljj,SQRT(INDEX(_xlpm.matrix,_xlpm.j,_xlpm.j)-SUM(_xlfn.CHOOSEROWS(_xlpm.Lmat,_xlpm.j)^2)),                 _xlfn.HSTACK(_xlpm.Lmat,_xlfn.VSTACK(_xlfn.SEQUENCE(_xlpm.n-1,1,0,0),_xlpm.Ljj))             ),             _xlfn.LET(_xlpm.Ljj,SQRT(INDEX(_xlpm.matrix,_xlpm.j,_xlpm.j)-SUM(_xlfn.CHOOSEROWS(_xlpm.Lmat,_xlpm.j)^2)),                 _xlpm.Aij,_xlfn.CHOOSEROWS(INDEX(_xlpm.matrix,0,_xlpm.j),_xlfn.SEQUENCE(_xlpm.n-_xlpm.j,1,_xlpm.j+1,1)),                 _xlpm.Lik,_xlfn.CHOOSEROWS(_xlpm.Lmat,_xlfn.SEQUENCE(_xlpm.n-_xlpm.j,1,_xlpm.j+1,1)),                 _xlpm.Ljk,_xlfn.CHOOSEROWS(_xlpm.Lmat,_xlpm.j),                 _xlpm.Lij,1/_xlpm.Ljj*(_xlpm.Aij-MMULT(_xlpm.Lik,TRANSPOSE(_xlpm.Ljk))),                 _xlfn.HSTACK(_xlpm.Lmat,_xlfn.VSTACK(_xlfn.SEQUENCE(_xlpm.j-1,1,0,0),_xlpm.Ljj,_xlpm.Lij))             )         ))     ))     ))) ))</definedName>
    <definedName name="ValidityCheckDelta" localSheetId="1">'GUM Uncertainty'!$J$126</definedName>
    <definedName name="VariableNames" localSheetId="1">'GUM Uncertainty'!$B$11:$B$18</definedName>
    <definedName name="X">_xlfn.ANCHORARRAY('Manual Monte Carlo'!$C$14)</definedName>
    <definedName name="Y">_xlfn.ANCHORARRAY('Manual Monte Carlo'!$D$14)</definedName>
    <definedName name="Z">_xlfn.ANCHORARRAY('Manual Monte Carlo'!$E$14)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2" l="1" a="1"/>
  <c r="E14" i="12" s="1"/>
  <c r="D14" i="12" a="1"/>
  <c r="D14" i="12" s="1"/>
  <c r="C14" i="12" a="1"/>
  <c r="C14" i="12" s="1"/>
  <c r="E29" i="6" a="1"/>
  <c r="E29" i="6" s="1"/>
  <c r="E28" i="6" a="1"/>
  <c r="E28" i="6" s="1"/>
  <c r="E27" i="6" a="1"/>
  <c r="E27" i="6" s="1"/>
  <c r="E26" i="6" a="1"/>
  <c r="E26" i="6" s="1"/>
  <c r="E19" i="6" a="1"/>
  <c r="E19" i="6" s="1"/>
  <c r="E18" i="6" a="1"/>
  <c r="E18" i="6" s="1"/>
  <c r="E17" i="6" a="1"/>
  <c r="E17" i="6" s="1"/>
  <c r="E16" i="6" a="1"/>
  <c r="E16" i="6" s="1"/>
  <c r="E9" i="6" a="1"/>
  <c r="E9" i="6" s="1"/>
  <c r="E8" i="6" a="1"/>
  <c r="E8" i="6" s="1"/>
  <c r="E7" i="6" a="1"/>
  <c r="E7" i="6" s="1"/>
  <c r="E6" i="6" a="1"/>
  <c r="E6" i="6" s="1"/>
  <c r="H13" i="12"/>
  <c r="G14" i="12" l="1" a="1"/>
  <c r="G14" i="12" s="1"/>
  <c r="K11" i="12"/>
  <c r="K10" i="12"/>
  <c r="K9" i="12"/>
  <c r="K8" i="12"/>
  <c r="K6" i="12"/>
  <c r="K12" i="12"/>
  <c r="V9" i="12"/>
  <c r="V8" i="12"/>
  <c r="K7" i="12"/>
  <c r="K5" i="12"/>
  <c r="L12" i="12"/>
  <c r="X9" i="12"/>
  <c r="X8" i="12"/>
  <c r="L7" i="12"/>
  <c r="L5" i="12"/>
  <c r="L11" i="12"/>
  <c r="L10" i="12"/>
  <c r="L9" i="12"/>
  <c r="L8" i="12"/>
  <c r="L6" i="12"/>
  <c r="M12" i="12"/>
  <c r="Z9" i="12"/>
  <c r="Z8" i="12"/>
  <c r="M7" i="12"/>
  <c r="M5" i="12"/>
  <c r="M11" i="12"/>
  <c r="M10" i="12"/>
  <c r="M9" i="12"/>
  <c r="M8" i="12"/>
  <c r="M6" i="12"/>
  <c r="O11" i="11" a="1"/>
  <c r="O11" i="11" s="1"/>
  <c r="N12" i="11" a="1"/>
  <c r="N12" i="11" s="1"/>
  <c r="J22" i="11" a="1"/>
  <c r="J22" i="11" s="1"/>
  <c r="J11" i="11" a="1"/>
  <c r="J11" i="11" s="1"/>
  <c r="J33" i="11" s="1" a="1"/>
  <c r="J33" i="11" s="1"/>
  <c r="I11" i="11" a="1"/>
  <c r="I11" i="11" s="1"/>
  <c r="K11" i="11" a="1"/>
  <c r="K11" i="11" s="1"/>
  <c r="K41" i="11"/>
  <c r="K40" i="11"/>
  <c r="K39" i="11"/>
  <c r="K38" i="11"/>
  <c r="K37" i="11"/>
  <c r="K36" i="11"/>
  <c r="K35" i="11"/>
  <c r="K34" i="11"/>
  <c r="K33" i="11"/>
  <c r="K30" i="11"/>
  <c r="K29" i="11"/>
  <c r="K27" i="11"/>
  <c r="K23" i="11"/>
  <c r="K22" i="11"/>
  <c r="J125" i="11"/>
  <c r="U19" i="11"/>
  <c r="T19" i="11"/>
  <c r="S19" i="11"/>
  <c r="R19" i="11"/>
  <c r="Q19" i="11"/>
  <c r="P19" i="11"/>
  <c r="O19" i="11"/>
  <c r="T18" i="11"/>
  <c r="S18" i="11"/>
  <c r="R18" i="11"/>
  <c r="Q18" i="11"/>
  <c r="P18" i="11"/>
  <c r="O18" i="11"/>
  <c r="S17" i="11"/>
  <c r="R17" i="11"/>
  <c r="Q17" i="11"/>
  <c r="P17" i="11"/>
  <c r="O17" i="11"/>
  <c r="R16" i="11"/>
  <c r="Q16" i="11"/>
  <c r="P16" i="11"/>
  <c r="O16" i="11"/>
  <c r="Q15" i="11"/>
  <c r="P15" i="11"/>
  <c r="O15" i="11"/>
  <c r="P14" i="11"/>
  <c r="O14" i="11"/>
  <c r="O13" i="11"/>
  <c r="Q8" i="5"/>
  <c r="Q7" i="5"/>
  <c r="Q6" i="5"/>
  <c r="Q5" i="5"/>
  <c r="G8" i="3"/>
  <c r="G7" i="3"/>
  <c r="G6" i="3"/>
  <c r="G5" i="3"/>
  <c r="F30" i="6" a="1"/>
  <c r="F30" i="6" s="1"/>
  <c r="F31" i="6" s="1" a="1"/>
  <c r="F31" i="6" s="1"/>
  <c r="F20" i="6" a="1"/>
  <c r="F20" i="6" s="1"/>
  <c r="F21" i="6" s="1" a="1"/>
  <c r="F21" i="6" s="1"/>
  <c r="F10" i="6" a="1"/>
  <c r="F10" i="6" s="1"/>
  <c r="F11" i="6" s="1" a="1"/>
  <c r="F11" i="6" s="1"/>
  <c r="V10" i="12" l="1"/>
  <c r="V13" i="12" s="1" a="1"/>
  <c r="V13" i="12" s="1"/>
  <c r="W13" i="12" s="1" a="1"/>
  <c r="W13" i="12" s="1"/>
  <c r="Z10" i="12"/>
  <c r="Z13" i="12" s="1" a="1"/>
  <c r="Z13" i="12" s="1"/>
  <c r="AA13" i="12" s="1" a="1"/>
  <c r="AA13" i="12" s="1"/>
  <c r="X10" i="12"/>
  <c r="X13" i="12" s="1" a="1"/>
  <c r="X13" i="12" s="1"/>
  <c r="Y13" i="12" s="1" a="1"/>
  <c r="Y13" i="12" s="1"/>
  <c r="N12" i="12"/>
  <c r="AB9" i="12"/>
  <c r="AB8" i="12"/>
  <c r="N7" i="12"/>
  <c r="N5" i="12"/>
  <c r="N11" i="12"/>
  <c r="N10" i="12"/>
  <c r="N9" i="12"/>
  <c r="N8" i="12"/>
  <c r="N6" i="12"/>
  <c r="J24" i="11" a="1"/>
  <c r="J24" i="11" s="1"/>
  <c r="J23" i="11" s="1"/>
  <c r="J126" i="11" s="1"/>
  <c r="AB10" i="12" l="1"/>
  <c r="AB13" i="12" a="1"/>
  <c r="AB13" i="12" s="1"/>
  <c r="AC13" i="12" s="1" a="1"/>
  <c r="AC13" i="12" s="1"/>
  <c r="L11" i="11" a="1"/>
  <c r="L11" i="11" s="1"/>
  <c r="L19" i="11" s="1"/>
  <c r="J25" i="11" a="1"/>
  <c r="J25" i="11" s="1"/>
  <c r="J26" i="11" s="1"/>
  <c r="J27" i="11" s="1"/>
  <c r="J30" i="11" l="1"/>
  <c r="J128" i="11" s="1"/>
  <c r="J29" i="11"/>
  <c r="J127" i="11" s="1"/>
  <c r="K18" i="3" l="1"/>
  <c r="L34" i="5"/>
  <c r="L35" i="5" s="1"/>
  <c r="K34" i="5"/>
  <c r="K35" i="5" s="1"/>
  <c r="J34" i="5"/>
  <c r="J35" i="5" s="1"/>
  <c r="I34" i="5"/>
  <c r="I35" i="5" s="1"/>
  <c r="H34" i="5"/>
  <c r="G34" i="5"/>
  <c r="G35" i="5" s="1"/>
  <c r="F34" i="5"/>
  <c r="F35" i="5" s="1"/>
  <c r="E34" i="5"/>
  <c r="E35" i="5" s="1"/>
  <c r="D34" i="5"/>
  <c r="D35" i="5" s="1"/>
  <c r="C34" i="5"/>
  <c r="C35" i="5" s="1"/>
  <c r="L33" i="5"/>
  <c r="K33" i="5"/>
  <c r="J33" i="5"/>
  <c r="I33" i="5"/>
  <c r="H33" i="5"/>
  <c r="G33" i="5"/>
  <c r="F33" i="5"/>
  <c r="E33" i="5"/>
  <c r="D33" i="5"/>
  <c r="C33" i="5"/>
  <c r="L32" i="5"/>
  <c r="K32" i="5"/>
  <c r="J32" i="5"/>
  <c r="I32" i="5"/>
  <c r="H32" i="5"/>
  <c r="G32" i="5"/>
  <c r="F32" i="5"/>
  <c r="E32" i="5"/>
  <c r="D32" i="5"/>
  <c r="C32" i="5"/>
  <c r="L31" i="5"/>
  <c r="K31" i="5"/>
  <c r="J31" i="5"/>
  <c r="I31" i="5"/>
  <c r="H31" i="5"/>
  <c r="G31" i="5"/>
  <c r="F31" i="5"/>
  <c r="E31" i="5"/>
  <c r="D31" i="5"/>
  <c r="C31" i="5"/>
  <c r="K20" i="3"/>
  <c r="K19" i="3"/>
  <c r="K22" i="3" s="1" a="1"/>
  <c r="K22" i="3" s="1"/>
  <c r="K23" i="3" s="1" a="1"/>
  <c r="K23" i="3" s="1"/>
  <c r="K9" i="3"/>
  <c r="K7" i="3"/>
  <c r="K4" i="3"/>
  <c r="K5" i="3" s="1"/>
  <c r="K8" i="3" s="1"/>
  <c r="K11" i="3" s="1" a="1"/>
  <c r="K11" i="3" s="1"/>
  <c r="K12" i="3" s="1" a="1"/>
  <c r="K12" i="3" s="1"/>
  <c r="C17" i="5" l="1"/>
  <c r="C18" i="5"/>
  <c r="C36" i="5"/>
  <c r="C16" i="5"/>
  <c r="E41" i="5"/>
  <c r="H35" i="5"/>
  <c r="D17" i="5" s="1"/>
  <c r="E42" i="5" a="1"/>
  <c r="E42" i="5" s="1"/>
  <c r="C37" i="5" l="1"/>
  <c r="F43" i="5" s="1"/>
  <c r="E43" i="5" a="1"/>
  <c r="E43" i="5" s="1"/>
  <c r="E44" i="5" s="1"/>
  <c r="F42" i="5"/>
  <c r="F47" i="5" s="1"/>
  <c r="F48" i="5"/>
  <c r="E48" i="5"/>
  <c r="D18" i="5"/>
  <c r="F41" i="5"/>
  <c r="E45" i="5" l="1"/>
  <c r="E46" i="5" s="1"/>
  <c r="J25" i="5" s="1"/>
  <c r="E47" i="5"/>
  <c r="J17" i="5" l="1"/>
  <c r="J16" i="5"/>
  <c r="J19" i="5" s="1" a="1"/>
  <c r="J19" i="5" s="1"/>
  <c r="J20" i="5" s="1" a="1"/>
  <c r="J20" i="5" s="1"/>
  <c r="J24" i="5"/>
  <c r="J27" i="5" s="1" a="1"/>
  <c r="J27" i="5" s="1"/>
  <c r="J28" i="5" s="1" a="1"/>
  <c r="J28" i="5" s="1"/>
  <c r="K77" i="11" l="1"/>
  <c r="K73" i="11"/>
  <c r="K59" i="11"/>
  <c r="K55" i="11"/>
  <c r="K48" i="11"/>
  <c r="K67" i="11"/>
  <c r="K69" i="11"/>
  <c r="K62" i="11"/>
  <c r="K70" i="11"/>
  <c r="K43" i="11"/>
  <c r="K54" i="11"/>
  <c r="K52" i="11"/>
  <c r="K82" i="11"/>
  <c r="K49" i="11"/>
  <c r="K42" i="11"/>
  <c r="K65" i="11"/>
  <c r="K68" i="11"/>
  <c r="K45" i="11"/>
  <c r="K60" i="11"/>
  <c r="K63" i="11"/>
  <c r="K71" i="11"/>
  <c r="K81" i="11"/>
  <c r="K76" i="11"/>
  <c r="K61" i="11"/>
  <c r="K46" i="11"/>
  <c r="K56" i="11"/>
  <c r="K80" i="11"/>
  <c r="K66" i="11"/>
  <c r="K64" i="11"/>
  <c r="K72" i="11"/>
  <c r="K74" i="11"/>
  <c r="K75" i="11"/>
  <c r="K50" i="11"/>
  <c r="K53" i="11"/>
  <c r="K47" i="11"/>
  <c r="K78" i="11"/>
  <c r="K79" i="11"/>
  <c r="K51" i="11"/>
  <c r="K44" i="11"/>
  <c r="K57" i="11"/>
  <c r="K58"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<sst xmlns="http://schemas.openxmlformats.org/spreadsheetml/2006/main" count="460" uniqueCount="289">
  <si>
    <t>Sandia Primary Standards Lab - Excel Uncertainty Calculator</t>
  </si>
  <si>
    <t>v0.1</t>
  </si>
  <si>
    <t>uncertainty@sandia.gov</t>
  </si>
  <si>
    <t>This spreadsheet provides tools for determining measurement uncertainty. It includes Type A (repeatability and reproducibility) and Type B uncertainty evaluation, plus propagation of uncertainties through a measurement equation using the GUM and Monte Carlo approaches, accounting for correlated input variables.
No Excel Macros are used, however the calculations make use of Excel's LAMBDA function which is only available in Office 365 or 2024.</t>
  </si>
  <si>
    <t>Spreadsheet Tabs</t>
  </si>
  <si>
    <t>Type B</t>
  </si>
  <si>
    <t>Use this tab for computing and combining Type B uncertainties of measuring equipment, such as accuracy, resolution, and linearity. The results may be linked to the GUM Uncertainty Tab.</t>
  </si>
  <si>
    <t>Repeatability</t>
  </si>
  <si>
    <t>Calculate uncertainty due to repeatability (N repeated measurements under similar conditions). Tab may be duplicated and results linked to GUM Uncertainty tab.</t>
  </si>
  <si>
    <t>Reproducibility</t>
  </si>
  <si>
    <t>Calculate uncertainty due to reproducibility (N repeated measurements over M reproducibility conditions, such as M operators, methods, days, etc.)</t>
  </si>
  <si>
    <t>GUM Uncertainty</t>
  </si>
  <si>
    <t>Propagate uncertainty through a measurement model f(x1, x2, x3), where each x input has uncertainty. Uses the GUM equation and Monte Carlo method for comparison.</t>
  </si>
  <si>
    <t>GUM Examples</t>
  </si>
  <si>
    <t>Examples from literature and training courses that may be copied into the GUM Uncertainty tab</t>
  </si>
  <si>
    <t>Manual Monte Carlo</t>
  </si>
  <si>
    <t>Generate random numbers from probability distributions and combine through a formula. Used primarily for training purposes and learning the basis of Monte Carlo techniques. Deleting this tab can greatly reduce the file size if not needed.</t>
  </si>
  <si>
    <t>Formula Reference</t>
  </si>
  <si>
    <t>Lists the LAMBDA functions used in Excel's Name Manager for readability. Hidden by default.</t>
  </si>
  <si>
    <t>Lookups</t>
  </si>
  <si>
    <t>Provides allowable options for dropdown menus. Hidden by default.</t>
  </si>
  <si>
    <t>GUM Uncertainty Instructions</t>
  </si>
  <si>
    <t>1. Press CTRL+F3 to open Excel's Name Manager (Or Click "Name Manager" from the "Formulas" menu bar)</t>
  </si>
  <si>
    <t>2. Change the __MEASUREMENT_MODEL function to refer to the measurement equation as a LAMBDA function.
    The LAMBDA contains up to 8 variable names, followed by the formula to compute.
    For example, "=LAMBDA(delta, t, rs, p, SQRT(2*delta*t*rs/p))"
    computes the pitot tube example described by Kline and McClintock in their 1953 paper.</t>
  </si>
  <si>
    <t>3. Enter Variable names, values, and uncertainties in the Variables table, in the same order as defined in the LAMBDA in step 2.</t>
  </si>
  <si>
    <t>4. To add correlations between variables, unhide columns N-V and edit the correlation matrix.</t>
  </si>
  <si>
    <t>5. GUM and Monte Carlo results will be computed, providing standard uncertainty, expanded uncertianty, and 95% coverage limits.</t>
  </si>
  <si>
    <t>6. The GUM vs Monte Carlo comparison can be used to validate the GUM equation and check for nonlinearities in the model. It compares the 95% coverage limits and determines whether they fall within a tolerance δ. See Section 8 of JCGM 101:2008.</t>
  </si>
  <si>
    <t>To add multiple GUM calculations to one spreadsheet, duplicate the GUM Uncertainty tab, add another function to the Name Manager, and edit the three cells with dashed outline to reference the new function instead of __MEASUREMENT_MODEL.</t>
  </si>
  <si>
    <t>Limitations</t>
  </si>
  <si>
    <t>Excel's random number generator cannot be seeded.</t>
  </si>
  <si>
    <t>The measurement model may have up to 8 variables. More could be added by modifying the Named Formulas.</t>
  </si>
  <si>
    <t>Units are provided for record-keeping only, no unit conversion is done.</t>
  </si>
  <si>
    <t>About</t>
  </si>
  <si>
    <t>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t>
  </si>
  <si>
    <t>Press CTRL+F3 to open Name Manager, then edit the __MEASUREMENT_MODEL function to define the measurement equation.</t>
  </si>
  <si>
    <t>← Correlation Matrix is hidden in columns N-V. Unhide to enter correlated variables.</t>
  </si>
  <si>
    <t>Settings</t>
  </si>
  <si>
    <t>Level of Confidence</t>
  </si>
  <si>
    <t>Monte Carlo Samples</t>
  </si>
  <si>
    <t>Sig. Figs. for Comparison</t>
  </si>
  <si>
    <t>Measurand units</t>
  </si>
  <si>
    <t>m/s</t>
  </si>
  <si>
    <t/>
  </si>
  <si>
    <t>Variable</t>
  </si>
  <si>
    <t>Value</t>
  </si>
  <si>
    <t>Uncertainty</t>
  </si>
  <si>
    <t>Distribution</t>
  </si>
  <si>
    <t>Units</t>
  </si>
  <si>
    <t>Deg. Freedom</t>
  </si>
  <si>
    <t>Std Unc.</t>
  </si>
  <si>
    <t>Sensitivity</t>
  </si>
  <si>
    <t>Proportion</t>
  </si>
  <si>
    <t>Correlation Matrix</t>
  </si>
  <si>
    <t>X1</t>
  </si>
  <si>
    <t>Normal k=1</t>
  </si>
  <si>
    <t>um</t>
  </si>
  <si>
    <t>X2</t>
  </si>
  <si>
    <t>Yu</t>
  </si>
  <si>
    <t>Correlations</t>
  </si>
  <si>
    <t>GUM Results</t>
  </si>
  <si>
    <t>Measurand Value</t>
  </si>
  <si>
    <t>Standard Deviation</t>
  </si>
  <si>
    <t>Variance</t>
  </si>
  <si>
    <t>Effective Deg. Freedom</t>
  </si>
  <si>
    <t>Coverage Factor (k)</t>
  </si>
  <si>
    <t>Expanded Uncertainty ±</t>
  </si>
  <si>
    <t>Coverage Region Low</t>
  </si>
  <si>
    <t>Coverage Region High</t>
  </si>
  <si>
    <t>Monte Carlo Results</t>
  </si>
  <si>
    <t>Mean</t>
  </si>
  <si>
    <t>Minimum</t>
  </si>
  <si>
    <t>1st Quartile</t>
  </si>
  <si>
    <t>Median</t>
  </si>
  <si>
    <t>3rd Quartile</t>
  </si>
  <si>
    <t>Maximum</t>
  </si>
  <si>
    <t xml:space="preserve">⬐ Plot histogram data spills into to hidden rows here ↴ </t>
  </si>
  <si>
    <t>Plot Data</t>
  </si>
  <si>
    <t>Histogram Density</t>
  </si>
  <si>
    <t>GUM versus Monte Carlo Comparison</t>
  </si>
  <si>
    <t>Significant Figures</t>
  </si>
  <si>
    <t>δ</t>
  </si>
  <si>
    <t>Low Limit Agree?</t>
  </si>
  <si>
    <t>High Limit Agree?</t>
  </si>
  <si>
    <t>Duplicate these boxes for each variable having multiple Type B components. Link the uncertainty and degrees of freedom to the GUM Uncertainty tab.</t>
  </si>
  <si>
    <t>Variable Name: _______</t>
  </si>
  <si>
    <t>k</t>
  </si>
  <si>
    <t>Degrees Freedom</t>
  </si>
  <si>
    <t>Accuracy</t>
  </si>
  <si>
    <t>Uniform k=1.73</t>
  </si>
  <si>
    <t>Resolution</t>
  </si>
  <si>
    <t>Normal k=2</t>
  </si>
  <si>
    <t>Linearity</t>
  </si>
  <si>
    <t>Other</t>
  </si>
  <si>
    <t>Total Standard Uncertainty</t>
  </si>
  <si>
    <t>Effective Degrees of Freedom</t>
  </si>
  <si>
    <t>← Enter repeated measurement values in Column B</t>
  </si>
  <si>
    <t>Enter Additional Type B Uncertainties Here:</t>
  </si>
  <si>
    <t>Uncertainty in THIS mean value</t>
  </si>
  <si>
    <t>← Use this box, for example, when measuring the temperature of an oven used during a specific test</t>
  </si>
  <si>
    <t>Standard Error of the Mean</t>
  </si>
  <si>
    <t>Repeatability Standard Uncertainty</t>
  </si>
  <si>
    <t>Applied to uncertainty of FUTURE measurements</t>
  </si>
  <si>
    <t>← Use this box, for example, when characterizing the temperature of the lab to apply the temperature average and uncertainty to future measurements</t>
  </si>
  <si>
    <t>Number of future repeat measurements</t>
  </si>
  <si>
    <t>Enter reproducibility measurements in table below (expand as necessary)</t>
  </si>
  <si>
    <t>Run ↴ \ Group →</t>
  </si>
  <si>
    <t>A</t>
  </si>
  <si>
    <t>B</t>
  </si>
  <si>
    <t>C</t>
  </si>
  <si>
    <t>D</t>
  </si>
  <si>
    <t>E</t>
  </si>
  <si>
    <t>F</t>
  </si>
  <si>
    <t>G</t>
  </si>
  <si>
    <t>H</t>
  </si>
  <si>
    <t>I</t>
  </si>
  <si>
    <t>J</t>
  </si>
  <si>
    <t>Deg. F.</t>
  </si>
  <si>
    <t>Grand Mean</t>
  </si>
  <si>
    <t>Standard Uncertainty</t>
  </si>
  <si>
    <t>Repeatability Std. Dev.</t>
  </si>
  <si>
    <t>Reproducibility Std. Dev.</t>
  </si>
  <si>
    <t>← Use this box, for example, when characterizing the temperature of the lab to apply that uncertainty to future measurements</t>
  </si>
  <si>
    <t>Number of new repeat measurements</t>
  </si>
  <si>
    <t>Group Averages Vj:</t>
  </si>
  <si>
    <t>Group Variances s^2(Vjk):</t>
  </si>
  <si>
    <t>Group Std. Devs s(Vjk):</t>
  </si>
  <si>
    <t># Measurements nj:</t>
  </si>
  <si>
    <t># Groups J:</t>
  </si>
  <si>
    <t>Total Measurements:</t>
  </si>
  <si>
    <t>ANOVA</t>
  </si>
  <si>
    <t>F-test Confidence</t>
  </si>
  <si>
    <t>Variance of Means s^2(Vj)</t>
  </si>
  <si>
    <t>Between Group Variance</t>
  </si>
  <si>
    <t>sa^2</t>
  </si>
  <si>
    <t>Repeatability Variance</t>
  </si>
  <si>
    <t>sb^2</t>
  </si>
  <si>
    <t>F critical</t>
  </si>
  <si>
    <t>Between-Group Effect?</t>
  </si>
  <si>
    <t>Uncertainty if no between-group effect</t>
  </si>
  <si>
    <t>Uncertainty if between-group effect</t>
  </si>
  <si>
    <r>
      <rPr>
        <b/>
        <sz val="11"/>
        <color theme="1"/>
        <rFont val="Aptos Narrow"/>
        <family val="2"/>
        <scheme val="minor"/>
      </rPr>
      <t>Example GUM Calculations.</t>
    </r>
    <r>
      <rPr>
        <sz val="11"/>
        <color theme="1"/>
        <rFont val="Aptos Narrow"/>
        <family val="2"/>
        <scheme val="minor"/>
      </rPr>
      <t xml:space="preserve">
Copy the LAMBDA equation into Excel's Name Manager in the __MEASUREMENT_MODEL function.
Then copy the variables table into the GUM Uncertainty worksheet.</t>
    </r>
  </si>
  <si>
    <t>Film Thickness corrected for bias</t>
  </si>
  <si>
    <t>Example from SNL ENGR224 Uncertainty class</t>
  </si>
  <si>
    <t>=LAMBDA(a,b,c, a/b*c)</t>
  </si>
  <si>
    <t>Note: Don't use "X1", "X2" in formula because Excel thinks these refer to cells X1 and X2 in the sheet!</t>
  </si>
  <si>
    <t>Calibration lab's measurement of thickness standard</t>
  </si>
  <si>
    <t>Our measurement of thickness standard</t>
  </si>
  <si>
    <t>Our uncorrected measurement of item under test</t>
  </si>
  <si>
    <t>Pitot Tube Airspeed Calculation</t>
  </si>
  <si>
    <t>Example from Kline and McClintock's 1953 paper originating the GUM method</t>
  </si>
  <si>
    <t>=LAMBDA(delta,t,rs,p,SQRT(2*delta*t*rs/p))</t>
  </si>
  <si>
    <t>Δ</t>
  </si>
  <si>
    <t>psi</t>
  </si>
  <si>
    <t>Measured difference in static vs total pressure</t>
  </si>
  <si>
    <t>T</t>
  </si>
  <si>
    <t>K</t>
  </si>
  <si>
    <t>Ambient Temperature</t>
  </si>
  <si>
    <t>Rs</t>
  </si>
  <si>
    <t>J/K/kg</t>
  </si>
  <si>
    <t>Specific gas constant for dry air. Assuming no uncertainty.</t>
  </si>
  <si>
    <t>p</t>
  </si>
  <si>
    <t>Ambient pressure</t>
  </si>
  <si>
    <t>Time constant of RC circuit</t>
  </si>
  <si>
    <t>=LAMBDA(x,y,z, x*(y+z))</t>
  </si>
  <si>
    <t>Note: Don't use "R1", "C2", "C3" in formula because Excel thinks these refer to cells R1, C2, and C3 in the sheet!</t>
  </si>
  <si>
    <t>R1</t>
  </si>
  <si>
    <t>kΩ</t>
  </si>
  <si>
    <t>Resistance</t>
  </si>
  <si>
    <t>C2</t>
  </si>
  <si>
    <t>uF</t>
  </si>
  <si>
    <t>Capacitance</t>
  </si>
  <si>
    <t>C3</t>
  </si>
  <si>
    <t>Viscosity of test liquid</t>
  </si>
  <si>
    <t>Example E3 from NIST TN-1900</t>
  </si>
  <si>
    <t>=LAMBDA(muc,rhob,rhoc,rhom,tc,tm, muc*tm*(rhob-rhom)/(tc*(rhob-rhoc)))</t>
  </si>
  <si>
    <t>mu</t>
  </si>
  <si>
    <t>mPa.s</t>
  </si>
  <si>
    <t>Viscosity of calibration liquid</t>
  </si>
  <si>
    <t>rho_b</t>
  </si>
  <si>
    <t>kg/m3</t>
  </si>
  <si>
    <t>Density of ball</t>
  </si>
  <si>
    <t>rho_c</t>
  </si>
  <si>
    <t>Density of calibration liquid</t>
  </si>
  <si>
    <t>rho_m</t>
  </si>
  <si>
    <t>Densityof sodium hydroxide</t>
  </si>
  <si>
    <t>t_c</t>
  </si>
  <si>
    <t>s</t>
  </si>
  <si>
    <t>Travel time in calibration liquid</t>
  </si>
  <si>
    <t>t_m</t>
  </si>
  <si>
    <t>Travel time in sodium hydroxide</t>
  </si>
  <si>
    <t>This tab is primarily for training purposes, allowing for manual exploration of probability distributions and combining them through simple formulas.</t>
  </si>
  <si>
    <t>Statistics</t>
  </si>
  <si>
    <t>Distributions</t>
  </si>
  <si>
    <t>Random Samples</t>
  </si>
  <si>
    <t>X</t>
  </si>
  <si>
    <t>Y</t>
  </si>
  <si>
    <t>Z</t>
  </si>
  <si>
    <t>F(X, Y, Z)</t>
  </si>
  <si>
    <t>Normal</t>
  </si>
  <si>
    <t>Histogram Bins</t>
  </si>
  <si>
    <t>Uniform</t>
  </si>
  <si>
    <t>←Plot data hidden in these columns</t>
  </si>
  <si>
    <t>Triangular</t>
  </si>
  <si>
    <t>Variables</t>
  </si>
  <si>
    <t>x1</t>
  </si>
  <si>
    <t>x2</t>
  </si>
  <si>
    <t>x3</t>
  </si>
  <si>
    <t>Combined</t>
  </si>
  <si>
    <t>Max</t>
  </si>
  <si>
    <t>Min</t>
  </si>
  <si>
    <t>Bin Width</t>
  </si>
  <si>
    <t>a</t>
  </si>
  <si>
    <t>95% Interval Low</t>
  </si>
  <si>
    <t>95% Interval High</t>
  </si>
  <si>
    <t>Bins</t>
  </si>
  <si>
    <t>Counts</t>
  </si>
  <si>
    <t>← Enter formula for F in terms of named ranges "X", Y", "Z"</t>
  </si>
  <si>
    <t>These are the same formulas entered in the Name Manager, listed here for readability. To modify, copy them to a real code editor then paste in to the name manager.</t>
  </si>
  <si>
    <t>Comments</t>
  </si>
  <si>
    <t>General Equations</t>
  </si>
  <si>
    <t>__MEASUREMENT_MODEL</t>
  </si>
  <si>
    <t>The function the user should update to define a measurement equation. Given here is the Pitot Tube Airspeed Calculation example from Kline and McClintock's paper that originated the GUM equations.</t>
  </si>
  <si>
    <t>K_LOOKUP</t>
  </si>
  <si>
    <t>=LAMBDA(x, IFS(
    x="Normal k=1", 1,
    x="Normal k=2", 2,
    x="Normal k=3", 3,
    x="Triangular k=2.45", SQRT(6),
    TRUE, SQRT(3)
    )
)</t>
  </si>
  <si>
    <t>Look up the coverage factor k from distribution dropdown options, which should match the Validation Options in the Lookups sheet.</t>
  </si>
  <si>
    <t>HAS_CORRELATION</t>
  </si>
  <si>
    <t>=LAMBDA(cor, SUM(ABS(cor))&gt;8)</t>
  </si>
  <si>
    <t>Determine whether there are any non-zero correlation coefficients</t>
  </si>
  <si>
    <t>EVAL_MODEL</t>
  </si>
  <si>
    <t>=LAMBDA(values,function,
    IFERROR(function(INDEX(values,1),INDEX(values,2),INDEX(values,3),INDEX(values,4),INDEX(values,5),INDEX(values,6),INDEX(values,7),INDEX(values,8)),
    IFERROR(function(INDEX(values,1),INDEX(values,2),INDEX(values,3),INDEX(values,4),INDEX(values,5),INDEX(values,6),INDEX(values,7)),
    IFERROR(function(INDEX(values,1),INDEX(values,2),INDEX(values,3),INDEX(values,4),INDEX(values,5),INDEX(values,6)),
    IFERROR(function(INDEX(values,1),INDEX(values,2),INDEX(values,3),INDEX(values,4),INDEX(values,5)),
    IFERROR(function(INDEX(values,1),INDEX(values,2),INDEX(values,3),INDEX(values,4)),
    IFERROR(function(INDEX(values,1),INDEX(values,2),INDEX(values,3)),
    IFERROR(function(INDEX(values,1),INDEX(values,2)),
    function(INDEX(values,1)))))))))
)</t>
  </si>
  <si>
    <t>Evaluates the measurement model function using a range of values, limiting the number of arguments to the number in the array.
This is ugly, but there's no introspection or alternative to provide aribtrary-length lambda input. Extend if adding more than 8 variables.</t>
  </si>
  <si>
    <t>GUM Equation Functions</t>
  </si>
  <si>
    <t>EPSILON</t>
  </si>
  <si>
    <t>=LAMBDA(uncs, i,
    MAP(SEQUENCE(8),
        LAMBDA(k, IF(k=i, INDEX(uncs,k)/1000, 0))
    )
)</t>
  </si>
  <si>
    <t>Calculate the delta used in numerical differentiation, based on magnitude of uncertainty</t>
  </si>
  <si>
    <t>DFDX</t>
  </si>
  <si>
    <t>=LAMBDA(values,uncs,function,
    MAP(SEQUENCE(8),
        LAMBDA(k,
            LET(
                eps, EPSILON(uncs, k),
                plus, EVAL_MODEL(values+eps, function),
                minus, EVAL_MODEL(values-eps, function),
                dfdx, (plus-minus)/(INDEX(eps,k)*2),
                IF(INDEX(eps,k)=0, 0, IFERROR(dfdx, ""))
            )
        )
    )
)</t>
  </si>
  <si>
    <t>Calculate sensitivity coefficients of the measurement model - GUM Equation 11b.</t>
  </si>
  <si>
    <t>CORRELATION_SUM</t>
  </si>
  <si>
    <t>=LAMBDA(uncerts,dfdx,coeffs,
    2*SUM(
        MAP(SEQUENCE(8),
            LAMBDA(i,
                SUM(MAP(SEQUENCE(8),
                    LAMBDA(k,
                        IF(i&lt;k,
                            INDEX(uncerts,i)*INDEX(uncerts,k)*INDEX(dfdx,i)*INDEX(dfdx,k)*INDEX(coeffs,i,k),
                            0
                        )
                    )
                ))
            )
        )
    )
)</t>
  </si>
  <si>
    <t>Calculates the contribution to the combined variance due to correlation terms - GUM Equation 15.</t>
  </si>
  <si>
    <t>UNCERTAINTY_VARIANCE</t>
  </si>
  <si>
    <t>=LAMBDA(uncerts,dfdx,[correlations],
    LET(x, uncerts*dfdx,
        combined, SUMSQ(FILTER(x, NOT(ISERROR(x)))),
        IF(ISOMITTED(correlations),
            combined,
            combined+CORRELATION_SUM(uncerts, dfdx, correlations)
        )
    )
)</t>
  </si>
  <si>
    <t>Calculate variance of the measurement model using GUM approach - GUM Equation 13</t>
  </si>
  <si>
    <t>DEGF_EFFECTIVE</t>
  </si>
  <si>
    <t>=LAMBDA(ucombined,uncerts,dfdx,degfs,
    LET(
        s_over_d, uncerts^4*dfdx^4/degfs,
        ucombined^4 / SUM(FILTER(s_over_d, NOT(ISERROR(s_over_d))))
    )
)</t>
  </si>
  <si>
    <t>Effective degrees of freedom using Welch-Satterthwaite approximation - GUM Equation G.2b.</t>
  </si>
  <si>
    <t>Monte Carlo Functions</t>
  </si>
  <si>
    <t>RAND_NORM</t>
  </si>
  <si>
    <t>=LAMBDA(mu, a, NORM.INV(RAND(), mu, a))</t>
  </si>
  <si>
    <t>Generate a random number from normal distribution with mean mu and standard devaition a.</t>
  </si>
  <si>
    <t>RAND_UNIFORM</t>
  </si>
  <si>
    <t>=LAMBDA(mu, a, (RAND()-0.5)*a*2 + mu)</t>
  </si>
  <si>
    <t>Generate a random number from uniform distribution with mean mu and half-width a.</t>
  </si>
  <si>
    <t>RAND_TRIANG</t>
  </si>
  <si>
    <t>=LAMBDA(mu, a,
        LET(b, mu-a,
            c, mu+a,
            b + (c-b)/2*(RAND()+RAND())
        )
)</t>
  </si>
  <si>
    <t>Generate a random number from triangular distribution with mean mu and half-width a. See JCGM 101:2008, 6.4.5.</t>
  </si>
  <si>
    <t>INVCDF_UNIFORM</t>
  </si>
  <si>
    <t>=LAMBDA(mu, a, p, p*(2*a)+mu-a)</t>
  </si>
  <si>
    <t>Inverse CDF of uniform distribution</t>
  </si>
  <si>
    <t>INVCDF_TRIANG</t>
  </si>
  <si>
    <t>=LAMBDA(mu, alpha, p,
    LET(a, mu-alpha,
            b, mu+alpha,
        IF(p&lt;0.5, a+SQRT(2)*SQRT(p)*(b-a)/2,
             b+SQRT(2-2*p)*(a-b)/2
        )
    )</t>
  </si>
  <si>
    <t>Inverse CDF of triangular distribution</t>
  </si>
  <si>
    <t>MC_SAMPLES</t>
  </si>
  <si>
    <t>=LAMBDA(function,nominals,uncerts,distributions,corr,nsamples,
    IF(HAS_CORRELATION(corr),
        MC_SAMPLE_CORRELATED(function,nominals,uncerts,distributions,corr,nsamples),
        MC_SAMPLE_UNCOR(function,nominals,uncerts,distributions,nsamples)
    )
)</t>
  </si>
  <si>
    <t>Generate Monte Carlo samples of the output value. This function just checks for correlations then calls the appropriate sub-function below.</t>
  </si>
  <si>
    <t>MC_SAMPLE_UNCOR</t>
  </si>
  <si>
    <t>=LAMBDA(function,nominals,uncerts,distributions,nsamples,
    LET(pos_uncerts, IF(uncerts&lt;=0, 1E-99, uncerts),
        MAP(SEQUENCE(nsamples),
            LAMBDA(i,
                EVAL_MODEL(
                    MAP(SEQUENCE(8), LAMBDA(k,
                        LET(shape, LEFT(INDEX(distributions,k),1),
                            mu, INDEX(nominals, k),
                            alpha, INDEX(pos_uncerts, k),
                            IF(shape="U", RAND_UNIFORM(mu, alpha*SQRT(3)),
                            IF(shape="T", RAND_TRIANG(mu, alpha*SQRT(6)),
                                RAND_NORM(mu, alpha))
                            )
                        )
                    )),
                    function
                )
            )
        )
    )
)</t>
  </si>
  <si>
    <t>Generate uncorrelated random Monte Carlo samples and evaluate measurement model. Samples may be normal, uniform, or triangular. Returns a sequence of length nsamples.</t>
  </si>
  <si>
    <t>MC_SAMPLE_CORRELATED</t>
  </si>
  <si>
    <t>=LAMBDA(function,nominals,uncerts,distributions,corr,nsamples,
    LET(nvars,ROWS(uncerts),
        pos_unc,IF(uncerts&lt;=0,1E-20,uncerts),
        shape, IFS(LEFT(distributions,1)="U", 2,
                   LEFT(distributions,1)="T", 3,
                   TRUE, 1),
        rtranspose,V_CHOLESKY(corr),
        z,NORM.S.INV(RANDARRAY(nvars,nsamples)),
        normcdf, NORM.S.DIST(MMULT(rtranspose,z), TRUE),
        uniformsamples, INVCDF_UNIFORM(nominals, pos_unc*SQRT(3), normcdf),
        trisamples, INVCDF_TRIANG(nominals, pos_unc*SQRT(6), normcdf),
        normsamples, NORM.INV(normcdf, nominals, pos_unc),
        samples, CHOOSE(shape, normsamples, uniformsamples, trisamples),
        BYCOL(samples, LAMBDA(i, EVAL_MODEL(i, function)))))</t>
  </si>
  <si>
    <t>Generate correlated Monte Carlo samples and evaluate measurement model. Samples may be normal, uniform, or triangular. Returns a sequence of length nsamples.
See JCGM 101:2008 Appendix C.5.</t>
  </si>
  <si>
    <t>MONTE_CARLO</t>
  </si>
  <si>
    <t>=LAMBDA(function,values,uncerts,distributions,corr,nsamples,confidence,
    LET(samples, MC_SAMPLES(function, values, uncerts, distributions, corr, nsamples),
        hbins, HISTBINS(samples, 40),
        bincounts, HIST(samples, hbins),
        VSTACK(
            AVERAGE(samples),
            STDEV.S(samples),
            MIN(samples),
            QUARTILE.INC(samples, 1),
            MEDIAN(samples),
            QUARTILE.INC(samples, 3),
            MAX(samples),
            PERCENTILE.INC(samples, (1-confidence)/2),
            PERCENTILE.INC(samples, 1-(1-confidence)/2),
            hbins,
            bincounts
        )
    )
)</t>
  </si>
  <si>
    <t>Calculate Monte Carlo samples and evaluate statistics, including max, min, quartiles, and 95% coverage region. Also generates histogram bins and density for plotting.</t>
  </si>
  <si>
    <t>HISTBINS</t>
  </si>
  <si>
    <t>=LAMBDA(samples,nbins,
    LET(
        xmin, MIN(samples),
        xmax, MAX(samples),
        width, (xmax-xmin)/nbins,
        MAP(SEQUENCE(nbins+1), LAMBDA(x, xmin+width*(x-1)))
    )
)</t>
  </si>
  <si>
    <t>Divide the range into suitable histogram bins</t>
  </si>
  <si>
    <t>HIST</t>
  </si>
  <si>
    <t>=LAMBDA(samples, bins,
    LET(
        nsamples, COUNT(samples),
        bwidth, INDEX(bins, 2)-INDEX(bins, 1),
        MAP(SEQUENCE(COUNT(bins)-1),
            LAMBDA(i,
                COUNT(
                    LET(gg, FILTER(samples, samples&gt;=INDEX(bins, i)),
                        FILTER(gg, gg&lt;INDEX(bins, i+1))
                    )
                )/nsamples/bwidth
            )
        )
    )
)</t>
  </si>
  <si>
    <t>Generate histogram densities for the samples with the bins calculated using HISTBINS.
NOTE: COUTIFS doesn't work here - Excel will throw Nested Array errors - so we fall back on this COUNT and FILTER implementation.</t>
  </si>
  <si>
    <t>V_CHOLESKY</t>
  </si>
  <si>
    <t>=LAMBDA(matrix,
    LET(doc,"https://www.vertex42.com/lambda/cholesky.html",
    n,ROWS(matrix),
    IF(ROWS(matrix)&lt;&gt;COLUMNS(matrix),
    "Error: matrix not square",
    IF(SUM(--(matrix&lt;&gt;TRANSPOSE(matrix)))&lt;&gt;0,
    "Error: not symmetric",
    IF(MDETERM(matrix)&lt;=0,
    "Error: not positive definite",
    REDUCE(0,SEQUENCE(n),LAMBDA(Lmat,j,
    IF(j=1,
    LET(Ljj,SQRT(INDEX(matrix,j,j)),
    Lij,CHOOSEROWS(INDEX(matrix,0,1),SEQUENCE(n-1,1,2,1))/Ljj,
    VSTACK(Ljj,Lij)),
    IF(j=n,
    LET(Ljj,SQRT(INDEX(matrix,j,j)-SUM(CHOOSEROWS(Lmat,j)^2)),
    HSTACK(Lmat,VSTACK(SEQUENCE(n-1,1,0,0),Ljj))),
    LET(Ljj,SQRT(INDEX(matrix,j,j)-SUM(CHOOSEROWS(Lmat,j)^2)),
    Aij,CHOOSEROWS(INDEX(matrix,0,j),SEQUENCE(n-j,1,j+1,1)),
    Lik,CHOOSEROWS(Lmat,SEQUENCE(n-j,1,j+1,1)),
    Ljk,CHOOSEROWS(Lmat,j),
    Lij,1/Ljj*(Aij-MMULT(Lik,TRANSPOSE(Ljk))),
    HSTACK(Lmat,VSTACK(SEQUENCE(j-1,1,0,0),Ljj,Lij)))))))
    )))))</t>
  </si>
  <si>
    <t>Cholseky decomposition
(Source: https://www.vertex42.com/lambda/cholesky.html, MIT Licensed)</t>
  </si>
  <si>
    <t>Distribution Dropdown:</t>
  </si>
  <si>
    <t>Normal k=3</t>
  </si>
  <si>
    <t>Triangular k=2.45</t>
  </si>
  <si>
    <t>SAND2026-16029O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</si>
</sst>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0.0"/>
    <numFmt numFmtId="168" formatCode="0.00000"/>
  </numFmts>
  <fonts count="1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color rgb="FFC00000"/>
      <name val="Aptos Narrow"/>
      <family val="2"/>
      <scheme val="minor"/>
    </font>
    <font>
      <sz val="11"/>
      <name val="Aptos Narrow"/>
      <family val="2"/>
      <scheme val="minor"/>
    </font>
    <font>
      <sz val="11"/>
      <color theme="0"/>
      <name val="Aptos Narrow"/>
      <family val="2"/>
      <scheme val="minor"/>
    </font>
    <font>
      <u/>
      <sz val="11"/>
      <color theme="10"/>
      <name val="Aptos Narrow"/>
      <family val="2"/>
      <scheme val="minor"/>
    </font>
    <font>
      <sz val="11"/>
      <color rgb="FFC00000"/>
      <name val="Aptos Narrow"/>
      <family val="2"/>
      <scheme val="minor"/>
    </font>
    <font>
      <b/>
      <sz val="14"/>
      <color theme="1"/>
      <name val="Aptos Narrow"/>
      <family val="2"/>
      <scheme val="minor"/>
    </font>
    <font>
      <i/>
      <sz val="11"/>
      <color rgb="FF323940"/>
      <name val="OpenSans-Regular"/>
    </font>
  </fonts>
  <fills count="12">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
      <patternFill patternType="solid">
        <fgColor theme="0"/>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8" tint="-0.249977111117893"/>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Dashed">
        <color indexed="64"/>
      </right>
      <top/>
      <bottom/>
      <diagonal/>
    </border>
    <border>
      <left style="mediumDashed">
        <color indexed="64"/>
      </left>
      <right style="mediumDashed">
        <color indexed="64"/>
      </right>
      <top style="mediumDashed">
        <color indexed="64"/>
      </top>
      <bottom style="mediumDashed">
        <color indexed="64"/>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227">
    <xf numFmtId="0" fontId="0" fillId="0" borderId="0" xfId="0"/>
    <xf numFmtId="0" fontId="0" fillId="4" borderId="0" xfId="0" applyFill="1"/>
    <xf numFmtId="0" fontId="0" fillId="2" borderId="3" xfId="0" applyFill="1" applyBorder="1"/>
    <xf numFmtId="0" fontId="0" fillId="2" borderId="0" xfId="0" applyFill="1" applyBorder="1"/>
    <xf numFmtId="0" fontId="0" fillId="2" borderId="0" xfId="0" applyFill="1" applyBorder="1" applyAlignment="1">
      <alignment horizontal="center"/>
    </xf>
    <xf numFmtId="0" fontId="0" fillId="6" borderId="0" xfId="0" applyFill="1" applyBorder="1"/>
    <xf numFmtId="2" fontId="0" fillId="6" borderId="0" xfId="0" applyNumberFormat="1" applyFill="1" applyBorder="1" applyAlignment="1">
      <alignment horizontal="center"/>
    </xf>
    <xf numFmtId="0" fontId="0" fillId="6" borderId="0" xfId="0" applyFill="1" applyBorder="1" applyAlignment="1">
      <alignment horizontal="center"/>
    </xf>
    <xf numFmtId="0" fontId="0" fillId="2" borderId="5" xfId="0" applyFill="1" applyBorder="1"/>
    <xf numFmtId="9" fontId="0" fillId="2" borderId="3" xfId="0" applyNumberFormat="1" applyFill="1" applyBorder="1"/>
    <xf numFmtId="0" fontId="0" fillId="2" borderId="6" xfId="0" applyFill="1" applyBorder="1"/>
    <xf numFmtId="0" fontId="0" fillId="2" borderId="7" xfId="0" applyFill="1" applyBorder="1"/>
    <xf numFmtId="0" fontId="2" fillId="3" borderId="1" xfId="0" applyFont="1" applyFill="1" applyBorder="1" applyAlignment="1">
      <alignment horizontal="right"/>
    </xf>
    <xf numFmtId="0" fontId="2" fillId="3" borderId="2" xfId="0" applyFont="1" applyFill="1" applyBorder="1" applyAlignment="1">
      <alignment horizontal="right"/>
    </xf>
    <xf numFmtId="0" fontId="0" fillId="2" borderId="5" xfId="0" applyFill="1" applyBorder="1" applyAlignment="1">
      <alignment horizontal="right"/>
    </xf>
    <xf numFmtId="0" fontId="0" fillId="2" borderId="3" xfId="0" applyFill="1" applyBorder="1" applyAlignment="1">
      <alignment horizontal="center"/>
    </xf>
    <xf numFmtId="0" fontId="0" fillId="2" borderId="8" xfId="0" applyFill="1" applyBorder="1"/>
    <xf numFmtId="0" fontId="2" fillId="5" borderId="1" xfId="0" applyFont="1" applyFill="1" applyBorder="1" applyAlignment="1">
      <alignment horizontal="right"/>
    </xf>
    <xf numFmtId="0" fontId="0" fillId="6" borderId="5" xfId="0" applyFill="1" applyBorder="1" applyAlignment="1">
      <alignment horizontal="right"/>
    </xf>
    <xf numFmtId="164" fontId="0" fillId="6" borderId="9" xfId="1" applyNumberFormat="1" applyFont="1" applyFill="1" applyBorder="1" applyAlignment="1">
      <alignment horizontal="center"/>
    </xf>
    <xf numFmtId="0" fontId="0" fillId="6" borderId="5" xfId="0" applyFill="1" applyBorder="1"/>
    <xf numFmtId="0" fontId="0" fillId="6" borderId="6" xfId="0" applyFill="1" applyBorder="1"/>
    <xf numFmtId="0" fontId="0" fillId="6" borderId="8" xfId="0" applyFill="1" applyBorder="1"/>
    <xf numFmtId="164" fontId="0" fillId="6" borderId="10" xfId="1" applyNumberFormat="1" applyFont="1" applyFill="1" applyBorder="1" applyAlignment="1">
      <alignment horizontal="center"/>
    </xf>
    <xf numFmtId="0" fontId="3" fillId="6" borderId="5" xfId="0" applyFont="1" applyFill="1" applyBorder="1"/>
    <xf numFmtId="0" fontId="3" fillId="6" borderId="6" xfId="0" applyFont="1" applyFill="1" applyBorder="1"/>
    <xf numFmtId="0" fontId="0" fillId="6" borderId="5" xfId="0" applyFont="1" applyFill="1" applyBorder="1"/>
    <xf numFmtId="0" fontId="4" fillId="6" borderId="5" xfId="0" applyFont="1" applyFill="1" applyBorder="1"/>
    <xf numFmtId="0" fontId="0" fillId="2" borderId="7" xfId="0" applyFill="1" applyBorder="1" applyAlignment="1">
      <alignment horizontal="right"/>
    </xf>
    <xf numFmtId="166" fontId="4" fillId="6" borderId="0" xfId="0" applyNumberFormat="1" applyFont="1" applyFill="1" applyBorder="1"/>
    <xf numFmtId="166" fontId="0" fillId="6" borderId="0" xfId="0" applyNumberFormat="1" applyFill="1" applyBorder="1"/>
    <xf numFmtId="167" fontId="0" fillId="6" borderId="0" xfId="0" applyNumberFormat="1" applyFill="1" applyBorder="1"/>
    <xf numFmtId="166" fontId="3" fillId="6" borderId="0" xfId="0" applyNumberFormat="1" applyFont="1" applyFill="1" applyBorder="1"/>
    <xf numFmtId="166" fontId="3" fillId="6" borderId="8" xfId="0" applyNumberFormat="1" applyFont="1" applyFill="1" applyBorder="1"/>
    <xf numFmtId="0" fontId="0" fillId="6" borderId="8" xfId="0" applyFill="1" applyBorder="1" applyAlignment="1">
      <alignment horizontal="center"/>
    </xf>
    <xf numFmtId="0" fontId="0" fillId="2" borderId="5" xfId="0" applyFill="1" applyBorder="1" applyAlignment="1">
      <alignment horizontal="center"/>
    </xf>
    <xf numFmtId="0" fontId="0" fillId="2" borderId="0" xfId="0" applyFill="1"/>
    <xf numFmtId="0" fontId="3" fillId="2" borderId="1" xfId="0" applyFont="1" applyFill="1" applyBorder="1" applyAlignment="1">
      <alignment horizontal="right"/>
    </xf>
    <xf numFmtId="0" fontId="3" fillId="2" borderId="2" xfId="0" applyFont="1" applyFill="1" applyBorder="1"/>
    <xf numFmtId="0" fontId="3" fillId="2" borderId="4" xfId="0" applyFont="1" applyFill="1" applyBorder="1"/>
    <xf numFmtId="165" fontId="0" fillId="2" borderId="0" xfId="0" applyNumberFormat="1" applyFill="1"/>
    <xf numFmtId="165" fontId="0" fillId="2" borderId="3" xfId="0" applyNumberFormat="1" applyFill="1" applyBorder="1"/>
    <xf numFmtId="0" fontId="0" fillId="6" borderId="3" xfId="0" applyFill="1" applyBorder="1"/>
    <xf numFmtId="0" fontId="3" fillId="6" borderId="5" xfId="0" applyFont="1" applyFill="1" applyBorder="1" applyAlignment="1">
      <alignment horizontal="right"/>
    </xf>
    <xf numFmtId="0" fontId="3" fillId="6" borderId="6" xfId="0" applyFont="1" applyFill="1" applyBorder="1" applyAlignment="1">
      <alignment horizontal="right"/>
    </xf>
    <xf numFmtId="0" fontId="3" fillId="2" borderId="6" xfId="0" applyFont="1" applyFill="1" applyBorder="1" applyAlignment="1">
      <alignment horizontal="right"/>
    </xf>
    <xf numFmtId="165" fontId="0" fillId="2" borderId="8" xfId="0" applyNumberFormat="1" applyFill="1" applyBorder="1"/>
    <xf numFmtId="165" fontId="0" fillId="2" borderId="7" xfId="0" applyNumberFormat="1" applyFill="1" applyBorder="1"/>
    <xf numFmtId="1" fontId="0" fillId="2" borderId="3" xfId="0" applyNumberFormat="1" applyFill="1" applyBorder="1"/>
    <xf numFmtId="0" fontId="0" fillId="7" borderId="5" xfId="0" applyFill="1" applyBorder="1" applyAlignment="1">
      <alignment horizontal="right"/>
    </xf>
    <xf numFmtId="165" fontId="0" fillId="7" borderId="0" xfId="0" applyNumberFormat="1" applyFill="1"/>
    <xf numFmtId="0" fontId="0" fillId="7" borderId="3" xfId="0" applyFill="1" applyBorder="1" applyAlignment="1">
      <alignment horizontal="center"/>
    </xf>
    <xf numFmtId="0" fontId="0" fillId="7" borderId="6" xfId="0" applyFill="1" applyBorder="1" applyAlignment="1">
      <alignment horizontal="right"/>
    </xf>
    <xf numFmtId="165" fontId="0" fillId="7" borderId="8" xfId="0" applyNumberFormat="1" applyFill="1" applyBorder="1"/>
    <xf numFmtId="0" fontId="0" fillId="7" borderId="7" xfId="0" applyFill="1" applyBorder="1" applyAlignment="1">
      <alignment horizontal="center"/>
    </xf>
    <xf numFmtId="0" fontId="3" fillId="7" borderId="5" xfId="0" applyFont="1" applyFill="1" applyBorder="1" applyAlignment="1">
      <alignment horizontal="right"/>
    </xf>
    <xf numFmtId="168" fontId="0" fillId="7" borderId="3" xfId="0" applyNumberFormat="1" applyFill="1" applyBorder="1" applyAlignment="1">
      <alignment horizontal="center"/>
    </xf>
    <xf numFmtId="165" fontId="0" fillId="7" borderId="3" xfId="0" applyNumberFormat="1" applyFill="1" applyBorder="1" applyAlignment="1">
      <alignment horizontal="center"/>
    </xf>
    <xf numFmtId="0" fontId="0" fillId="8" borderId="1" xfId="0" applyFill="1" applyBorder="1" applyAlignment="1">
      <alignment horizontal="right"/>
    </xf>
    <xf numFmtId="0" fontId="0" fillId="8" borderId="2" xfId="0" applyFill="1" applyBorder="1"/>
    <xf numFmtId="0" fontId="0" fillId="8" borderId="4" xfId="0" applyFill="1" applyBorder="1"/>
    <xf numFmtId="0" fontId="0" fillId="8" borderId="5" xfId="0" applyFill="1" applyBorder="1" applyAlignment="1">
      <alignment horizontal="right"/>
    </xf>
    <xf numFmtId="0" fontId="0" fillId="8" borderId="0" xfId="0" applyFill="1"/>
    <xf numFmtId="0" fontId="0" fillId="8" borderId="3" xfId="0" applyFill="1" applyBorder="1"/>
    <xf numFmtId="0" fontId="0" fillId="8" borderId="6" xfId="0" applyFill="1" applyBorder="1" applyAlignment="1">
      <alignment horizontal="right"/>
    </xf>
    <xf numFmtId="0" fontId="0" fillId="8" borderId="8" xfId="0" applyFill="1" applyBorder="1"/>
    <xf numFmtId="0" fontId="0" fillId="8" borderId="7" xfId="0" applyFill="1" applyBorder="1"/>
    <xf numFmtId="0" fontId="3" fillId="7" borderId="6" xfId="0" applyFont="1" applyFill="1" applyBorder="1" applyAlignment="1">
      <alignment horizontal="right"/>
    </xf>
    <xf numFmtId="0" fontId="3" fillId="7" borderId="8" xfId="0" applyFont="1" applyFill="1" applyBorder="1" applyAlignment="1">
      <alignment horizontal="right"/>
    </xf>
    <xf numFmtId="0" fontId="0" fillId="2" borderId="8" xfId="0" applyFill="1" applyBorder="1" applyAlignment="1">
      <alignment horizontal="center"/>
    </xf>
    <xf numFmtId="0" fontId="3" fillId="7" borderId="0" xfId="0" applyFont="1" applyFill="1" applyBorder="1" applyAlignment="1">
      <alignment horizontal="right"/>
    </xf>
    <xf numFmtId="0" fontId="3" fillId="7" borderId="7" xfId="0" applyFont="1" applyFill="1" applyBorder="1" applyAlignment="1">
      <alignment horizontal="right"/>
    </xf>
    <xf numFmtId="168" fontId="3" fillId="7" borderId="3" xfId="0" applyNumberFormat="1" applyFont="1" applyFill="1" applyBorder="1" applyAlignment="1">
      <alignment horizontal="right"/>
    </xf>
    <xf numFmtId="165" fontId="3" fillId="7" borderId="3" xfId="0" applyNumberFormat="1" applyFont="1" applyFill="1" applyBorder="1" applyAlignment="1">
      <alignment horizontal="right"/>
    </xf>
    <xf numFmtId="168" fontId="3" fillId="6" borderId="3" xfId="0" applyNumberFormat="1" applyFont="1" applyFill="1" applyBorder="1" applyAlignment="1">
      <alignment horizontal="right"/>
    </xf>
    <xf numFmtId="167" fontId="3" fillId="6" borderId="7" xfId="0" applyNumberFormat="1" applyFont="1" applyFill="1" applyBorder="1" applyAlignment="1">
      <alignment horizontal="right"/>
    </xf>
    <xf numFmtId="0" fontId="3" fillId="2" borderId="0" xfId="0" applyFont="1" applyFill="1" applyBorder="1"/>
    <xf numFmtId="0" fontId="3" fillId="2" borderId="0" xfId="0" applyFont="1" applyFill="1" applyBorder="1" applyAlignment="1">
      <alignment horizontal="center"/>
    </xf>
    <xf numFmtId="0" fontId="3" fillId="2" borderId="3" xfId="0" applyFont="1" applyFill="1" applyBorder="1"/>
    <xf numFmtId="0" fontId="0" fillId="0" borderId="0" xfId="0" applyFill="1"/>
    <xf numFmtId="0" fontId="0" fillId="9" borderId="0" xfId="0" quotePrefix="1" applyFill="1" applyBorder="1" applyAlignment="1">
      <alignment horizontal="center"/>
    </xf>
    <xf numFmtId="0" fontId="0" fillId="9" borderId="0" xfId="0" applyFill="1" applyBorder="1" applyAlignment="1">
      <alignment horizontal="center"/>
    </xf>
    <xf numFmtId="0" fontId="0" fillId="9" borderId="8" xfId="0" applyFill="1" applyBorder="1" applyAlignment="1">
      <alignment horizontal="center"/>
    </xf>
    <xf numFmtId="0" fontId="0" fillId="9" borderId="7" xfId="0" quotePrefix="1" applyFill="1" applyBorder="1" applyAlignment="1">
      <alignment horizontal="center"/>
    </xf>
    <xf numFmtId="0" fontId="0" fillId="2" borderId="7" xfId="0" applyFill="1" applyBorder="1" applyAlignment="1">
      <alignment horizontal="center"/>
    </xf>
    <xf numFmtId="0" fontId="3" fillId="0" borderId="0" xfId="0" applyFont="1" applyFill="1"/>
    <xf numFmtId="0" fontId="0" fillId="0" borderId="0" xfId="0" quotePrefix="1" applyFill="1"/>
    <xf numFmtId="165" fontId="0" fillId="6" borderId="11" xfId="0" applyNumberFormat="1" applyFill="1" applyBorder="1" applyAlignment="1">
      <alignment horizontal="center"/>
    </xf>
    <xf numFmtId="164" fontId="0" fillId="6" borderId="13" xfId="1" applyNumberFormat="1" applyFont="1" applyFill="1" applyBorder="1" applyAlignment="1">
      <alignment horizontal="center"/>
    </xf>
    <xf numFmtId="2" fontId="0" fillId="6" borderId="12" xfId="0" applyNumberFormat="1" applyFill="1" applyBorder="1" applyAlignment="1">
      <alignment horizontal="center"/>
    </xf>
    <xf numFmtId="0" fontId="0" fillId="0" borderId="0" xfId="0" applyAlignment="1">
      <alignment wrapText="1"/>
    </xf>
    <xf numFmtId="0" fontId="3" fillId="2" borderId="3" xfId="0" applyFont="1" applyFill="1" applyBorder="1" applyAlignment="1">
      <alignment horizontal="center"/>
    </xf>
    <xf numFmtId="0" fontId="0" fillId="10" borderId="5" xfId="0" applyFill="1" applyBorder="1"/>
    <xf numFmtId="0" fontId="0" fillId="10" borderId="0" xfId="0" applyFill="1" applyBorder="1"/>
    <xf numFmtId="0" fontId="0" fillId="10" borderId="3" xfId="0" applyFill="1" applyBorder="1"/>
    <xf numFmtId="0" fontId="0" fillId="10" borderId="6" xfId="0" applyFill="1" applyBorder="1"/>
    <xf numFmtId="0" fontId="0" fillId="10" borderId="8" xfId="0" applyFill="1" applyBorder="1"/>
    <xf numFmtId="0" fontId="0" fillId="10" borderId="7" xfId="0" applyFill="1" applyBorder="1"/>
    <xf numFmtId="0" fontId="0" fillId="2" borderId="6" xfId="0" applyFill="1" applyBorder="1" applyAlignment="1">
      <alignment horizontal="right"/>
    </xf>
    <xf numFmtId="0" fontId="3" fillId="6" borderId="0" xfId="0" applyFont="1" applyFill="1" applyBorder="1" applyAlignment="1">
      <alignment horizontal="right"/>
    </xf>
    <xf numFmtId="0" fontId="3" fillId="6" borderId="8" xfId="0" applyFont="1" applyFill="1" applyBorder="1" applyAlignment="1">
      <alignment horizontal="right"/>
    </xf>
    <xf numFmtId="0" fontId="0" fillId="8" borderId="0" xfId="0" applyFill="1" applyBorder="1"/>
    <xf numFmtId="0" fontId="3" fillId="8" borderId="0" xfId="0" applyFont="1" applyFill="1" applyBorder="1"/>
    <xf numFmtId="166" fontId="0" fillId="6" borderId="0" xfId="0" applyNumberFormat="1" applyFont="1" applyFill="1" applyBorder="1"/>
    <xf numFmtId="166" fontId="5" fillId="6" borderId="0" xfId="0" applyNumberFormat="1" applyFont="1" applyFill="1" applyBorder="1" applyAlignment="1">
      <alignment horizontal="center"/>
    </xf>
    <xf numFmtId="167" fontId="5" fillId="6" borderId="0" xfId="0" applyNumberFormat="1" applyFont="1" applyFill="1" applyBorder="1" applyAlignment="1">
      <alignment horizontal="center"/>
    </xf>
    <xf numFmtId="0" fontId="5" fillId="6" borderId="0" xfId="0" applyFont="1" applyFill="1" applyBorder="1" applyAlignment="1">
      <alignment horizontal="center"/>
    </xf>
    <xf numFmtId="166" fontId="5" fillId="6" borderId="8" xfId="0" applyNumberFormat="1" applyFont="1" applyFill="1" applyBorder="1" applyAlignment="1">
      <alignment horizontal="center"/>
    </xf>
    <xf numFmtId="0" fontId="0" fillId="6" borderId="7" xfId="0" applyFill="1" applyBorder="1"/>
    <xf numFmtId="2" fontId="4" fillId="6" borderId="12" xfId="0" applyNumberFormat="1" applyFont="1" applyFill="1" applyBorder="1" applyAlignment="1">
      <alignment horizontal="right"/>
    </xf>
    <xf numFmtId="0" fontId="0" fillId="0" borderId="0" xfId="0" quotePrefix="1" applyAlignment="1">
      <alignment wrapText="1"/>
    </xf>
    <xf numFmtId="0" fontId="0" fillId="7" borderId="0" xfId="0" applyFill="1"/>
    <xf numFmtId="0" fontId="0" fillId="7" borderId="0" xfId="0" quotePrefix="1" applyFill="1" applyAlignment="1">
      <alignment wrapText="1"/>
    </xf>
    <xf numFmtId="0" fontId="0" fillId="7" borderId="0" xfId="0" applyFill="1" applyAlignment="1">
      <alignment wrapText="1"/>
    </xf>
    <xf numFmtId="0" fontId="3" fillId="2" borderId="0" xfId="0" applyFont="1" applyFill="1"/>
    <xf numFmtId="0" fontId="3" fillId="7" borderId="0" xfId="0" applyFont="1" applyFill="1"/>
    <xf numFmtId="0" fontId="3" fillId="2" borderId="0" xfId="0" applyFont="1" applyFill="1" applyAlignment="1">
      <alignment wrapText="1"/>
    </xf>
    <xf numFmtId="0" fontId="0" fillId="0" borderId="0" xfId="0" applyFill="1" applyAlignment="1">
      <alignment wrapText="1"/>
    </xf>
    <xf numFmtId="0" fontId="0" fillId="0" borderId="0" xfId="0" quotePrefix="1" applyFill="1" applyAlignment="1">
      <alignment wrapText="1"/>
    </xf>
    <xf numFmtId="0" fontId="0" fillId="0" borderId="0" xfId="0" applyFont="1" applyFill="1"/>
    <xf numFmtId="0" fontId="0" fillId="0" borderId="0" xfId="0" applyFill="1" applyAlignment="1">
      <alignment horizontal="center"/>
    </xf>
    <xf numFmtId="0" fontId="0" fillId="0" borderId="21" xfId="0" applyFill="1" applyBorder="1" applyAlignment="1">
      <alignment wrapText="1"/>
    </xf>
    <xf numFmtId="0" fontId="0" fillId="0" borderId="22" xfId="0" applyFill="1" applyBorder="1" applyAlignment="1">
      <alignment wrapText="1"/>
    </xf>
    <xf numFmtId="0" fontId="3" fillId="0" borderId="23" xfId="0" applyFont="1" applyFill="1" applyBorder="1" applyAlignment="1">
      <alignment vertical="center"/>
    </xf>
    <xf numFmtId="0" fontId="0" fillId="0" borderId="23" xfId="0" applyFill="1" applyBorder="1" applyAlignment="1">
      <alignment wrapText="1"/>
    </xf>
    <xf numFmtId="0" fontId="0" fillId="0" borderId="23" xfId="0" applyFill="1" applyBorder="1"/>
    <xf numFmtId="0" fontId="3" fillId="0" borderId="18" xfId="0" applyFont="1" applyFill="1" applyBorder="1"/>
    <xf numFmtId="0" fontId="0" fillId="0" borderId="19" xfId="0" applyFill="1" applyBorder="1"/>
    <xf numFmtId="0" fontId="0" fillId="0" borderId="14" xfId="0" applyFill="1" applyBorder="1"/>
    <xf numFmtId="0" fontId="0" fillId="0" borderId="20" xfId="0" applyFont="1" applyFill="1" applyBorder="1"/>
    <xf numFmtId="0" fontId="0" fillId="0" borderId="20" xfId="0" applyFont="1" applyFill="1" applyBorder="1" applyAlignment="1">
      <alignment wrapText="1"/>
    </xf>
    <xf numFmtId="0" fontId="0" fillId="0" borderId="20" xfId="0" applyFill="1" applyBorder="1"/>
    <xf numFmtId="0" fontId="0" fillId="0" borderId="20" xfId="0" applyFill="1" applyBorder="1" applyAlignment="1">
      <alignment wrapText="1"/>
    </xf>
    <xf numFmtId="0" fontId="0" fillId="0" borderId="21" xfId="0" applyFill="1" applyBorder="1"/>
    <xf numFmtId="0" fontId="0" fillId="0" borderId="22" xfId="0" applyFill="1" applyBorder="1"/>
    <xf numFmtId="0" fontId="0" fillId="0" borderId="18" xfId="0" applyFill="1" applyBorder="1"/>
    <xf numFmtId="0" fontId="0" fillId="0" borderId="23" xfId="0" applyFill="1" applyBorder="1" applyAlignment="1">
      <alignment vertical="top" wrapText="1"/>
    </xf>
    <xf numFmtId="0" fontId="10" fillId="0" borderId="23" xfId="0" applyFont="1" applyFill="1" applyBorder="1" applyAlignment="1">
      <alignment horizontal="left" wrapText="1"/>
    </xf>
    <xf numFmtId="0" fontId="0" fillId="0" borderId="0" xfId="0" applyFill="1" applyBorder="1"/>
    <xf numFmtId="0" fontId="8" fillId="0" borderId="0" xfId="0" quotePrefix="1" applyFont="1" applyFill="1"/>
    <xf numFmtId="0" fontId="8" fillId="0" borderId="0" xfId="0" applyFont="1" applyFill="1"/>
    <xf numFmtId="0" fontId="0" fillId="0" borderId="0" xfId="0" applyFill="1" applyAlignment="1">
      <alignment horizontal="right"/>
    </xf>
    <xf numFmtId="0" fontId="3" fillId="0" borderId="0" xfId="0" applyFont="1" applyFill="1" applyBorder="1" applyAlignment="1">
      <alignment horizontal="right"/>
    </xf>
    <xf numFmtId="0" fontId="6" fillId="0" borderId="0" xfId="0" applyFont="1" applyFill="1"/>
    <xf numFmtId="0" fontId="2" fillId="11" borderId="4" xfId="0" applyFont="1" applyFill="1" applyBorder="1"/>
    <xf numFmtId="0" fontId="0" fillId="8" borderId="1" xfId="0" applyFill="1" applyBorder="1"/>
    <xf numFmtId="0" fontId="3" fillId="8" borderId="2" xfId="0" applyFont="1" applyFill="1" applyBorder="1" applyAlignment="1">
      <alignment horizontal="right"/>
    </xf>
    <xf numFmtId="0" fontId="3" fillId="8" borderId="2" xfId="0" applyFont="1" applyFill="1" applyBorder="1" applyAlignment="1">
      <alignment horizontal="center"/>
    </xf>
    <xf numFmtId="0" fontId="3" fillId="8" borderId="2" xfId="0" applyFont="1" applyFill="1" applyBorder="1"/>
    <xf numFmtId="0" fontId="3" fillId="8" borderId="4" xfId="0" applyFont="1" applyFill="1" applyBorder="1"/>
    <xf numFmtId="0" fontId="0" fillId="8" borderId="5" xfId="0" applyFill="1" applyBorder="1"/>
    <xf numFmtId="0" fontId="0" fillId="8" borderId="0" xfId="0" applyFill="1" applyAlignment="1">
      <alignment horizontal="right"/>
    </xf>
    <xf numFmtId="9" fontId="0" fillId="8" borderId="0" xfId="0" applyNumberFormat="1" applyFill="1" applyAlignment="1">
      <alignment horizontal="center"/>
    </xf>
    <xf numFmtId="0" fontId="3" fillId="8" borderId="0" xfId="0" applyFont="1" applyFill="1"/>
    <xf numFmtId="0" fontId="3" fillId="8" borderId="3" xfId="0" applyFont="1" applyFill="1" applyBorder="1"/>
    <xf numFmtId="166" fontId="0" fillId="8" borderId="0" xfId="0" applyNumberFormat="1" applyFill="1"/>
    <xf numFmtId="0" fontId="0" fillId="8" borderId="6" xfId="0" applyFill="1" applyBorder="1"/>
    <xf numFmtId="0" fontId="0" fillId="8" borderId="8" xfId="0" applyFill="1" applyBorder="1" applyAlignment="1">
      <alignment horizontal="right"/>
    </xf>
    <xf numFmtId="168" fontId="3" fillId="0" borderId="0" xfId="0" applyNumberFormat="1" applyFont="1" applyFill="1" applyBorder="1" applyAlignment="1">
      <alignment horizontal="right"/>
    </xf>
    <xf numFmtId="167" fontId="3" fillId="0" borderId="0" xfId="0" applyNumberFormat="1" applyFont="1" applyFill="1" applyBorder="1" applyAlignment="1">
      <alignment horizontal="right"/>
    </xf>
    <xf numFmtId="166" fontId="0" fillId="7" borderId="3" xfId="0" applyNumberFormat="1" applyFill="1" applyBorder="1"/>
    <xf numFmtId="0" fontId="0" fillId="7" borderId="3" xfId="0" applyFill="1" applyBorder="1"/>
    <xf numFmtId="166" fontId="3" fillId="7" borderId="3" xfId="0" applyNumberFormat="1" applyFont="1" applyFill="1" applyBorder="1"/>
    <xf numFmtId="166" fontId="0" fillId="7" borderId="3" xfId="0" applyNumberFormat="1" applyFont="1" applyFill="1" applyBorder="1"/>
    <xf numFmtId="0" fontId="0" fillId="7" borderId="3" xfId="0" applyFont="1" applyFill="1" applyBorder="1"/>
    <xf numFmtId="0" fontId="0" fillId="7" borderId="5" xfId="0" applyFill="1" applyBorder="1"/>
    <xf numFmtId="165" fontId="3" fillId="7" borderId="3" xfId="0" applyNumberFormat="1" applyFont="1" applyFill="1" applyBorder="1"/>
    <xf numFmtId="0" fontId="3" fillId="7" borderId="7" xfId="0" applyFont="1" applyFill="1" applyBorder="1"/>
    <xf numFmtId="166" fontId="5" fillId="7" borderId="3" xfId="0" applyNumberFormat="1" applyFont="1" applyFill="1" applyBorder="1"/>
    <xf numFmtId="0" fontId="5" fillId="7" borderId="5" xfId="0" applyFont="1" applyFill="1" applyBorder="1" applyAlignment="1">
      <alignment horizontal="right"/>
    </xf>
    <xf numFmtId="0" fontId="5" fillId="7" borderId="3" xfId="0" applyFont="1" applyFill="1" applyBorder="1"/>
    <xf numFmtId="0" fontId="2" fillId="3" borderId="4" xfId="0" applyFont="1" applyFill="1" applyBorder="1" applyAlignment="1">
      <alignment horizontal="center"/>
    </xf>
    <xf numFmtId="0" fontId="2" fillId="3" borderId="2"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0" fillId="7" borderId="5" xfId="0" applyFont="1" applyFill="1" applyBorder="1" applyAlignment="1">
      <alignment horizontal="right"/>
    </xf>
    <xf numFmtId="0" fontId="3" fillId="2" borderId="5" xfId="0" applyFont="1" applyFill="1" applyBorder="1" applyAlignment="1">
      <alignment horizontal="right"/>
    </xf>
    <xf numFmtId="0" fontId="3" fillId="6" borderId="0" xfId="0" applyFont="1" applyFill="1" applyAlignment="1">
      <alignment horizontal="center"/>
    </xf>
    <xf numFmtId="0" fontId="3" fillId="6" borderId="3" xfId="0" applyFont="1" applyFill="1" applyBorder="1" applyAlignment="1">
      <alignment horizontal="center"/>
    </xf>
    <xf numFmtId="165" fontId="0" fillId="6" borderId="0" xfId="0" applyNumberFormat="1" applyFill="1" applyAlignment="1">
      <alignment horizontal="center"/>
    </xf>
    <xf numFmtId="165" fontId="0" fillId="6" borderId="3" xfId="0" applyNumberFormat="1" applyFill="1" applyBorder="1" applyAlignment="1">
      <alignment horizontal="center"/>
    </xf>
    <xf numFmtId="0" fontId="0" fillId="0" borderId="0" xfId="0" applyAlignment="1">
      <alignment horizontal="right"/>
    </xf>
    <xf numFmtId="166" fontId="0" fillId="0" borderId="0" xfId="0" applyNumberFormat="1"/>
    <xf numFmtId="0" fontId="2" fillId="3" borderId="5" xfId="0" applyFont="1" applyFill="1" applyBorder="1"/>
    <xf numFmtId="0" fontId="2" fillId="3" borderId="0" xfId="0" applyFont="1" applyFill="1" applyAlignment="1">
      <alignment horizontal="center"/>
    </xf>
    <xf numFmtId="0" fontId="2" fillId="3" borderId="3" xfId="0" applyFont="1" applyFill="1" applyBorder="1" applyAlignment="1">
      <alignment horizontal="center"/>
    </xf>
    <xf numFmtId="0" fontId="3" fillId="2" borderId="0" xfId="0" applyFont="1" applyFill="1" applyAlignment="1">
      <alignment horizontal="center"/>
    </xf>
    <xf numFmtId="0" fontId="3" fillId="2" borderId="8" xfId="0" applyFont="1" applyFill="1" applyBorder="1" applyAlignment="1">
      <alignment horizontal="center"/>
    </xf>
    <xf numFmtId="0" fontId="3" fillId="2" borderId="7" xfId="0" applyFont="1" applyFill="1" applyBorder="1" applyAlignment="1">
      <alignment horizontal="center"/>
    </xf>
    <xf numFmtId="0" fontId="3" fillId="0" borderId="0" xfId="0" applyFont="1" applyAlignment="1">
      <alignment horizontal="center"/>
    </xf>
    <xf numFmtId="0" fontId="0" fillId="6" borderId="6" xfId="0" applyFill="1" applyBorder="1" applyAlignment="1">
      <alignment horizontal="right"/>
    </xf>
    <xf numFmtId="165" fontId="0" fillId="6" borderId="8" xfId="0" applyNumberFormat="1" applyFill="1" applyBorder="1" applyAlignment="1">
      <alignment horizontal="center"/>
    </xf>
    <xf numFmtId="165" fontId="0" fillId="6" borderId="7" xfId="0" applyNumberFormat="1" applyFill="1" applyBorder="1" applyAlignment="1">
      <alignment horizontal="center"/>
    </xf>
    <xf numFmtId="0" fontId="0" fillId="2" borderId="24" xfId="0" applyFill="1" applyBorder="1"/>
    <xf numFmtId="0" fontId="3" fillId="0" borderId="0" xfId="0" applyFont="1"/>
    <xf numFmtId="0" fontId="3" fillId="8" borderId="23" xfId="0" applyFont="1" applyFill="1" applyBorder="1" applyAlignment="1">
      <alignment horizontal="center" wrapText="1"/>
    </xf>
    <xf numFmtId="0" fontId="3" fillId="8" borderId="23" xfId="0" applyFont="1" applyFill="1" applyBorder="1" applyAlignment="1">
      <alignment horizontal="center" vertical="top" wrapText="1"/>
    </xf>
    <xf numFmtId="0" fontId="9" fillId="8" borderId="18" xfId="0" applyFont="1" applyFill="1" applyBorder="1" applyAlignment="1">
      <alignment horizontal="center" wrapText="1"/>
    </xf>
    <xf numFmtId="0" fontId="9" fillId="8" borderId="19" xfId="0" applyFont="1" applyFill="1" applyBorder="1" applyAlignment="1">
      <alignment horizontal="center" wrapText="1"/>
    </xf>
    <xf numFmtId="0" fontId="3" fillId="8" borderId="21" xfId="0" applyFont="1" applyFill="1" applyBorder="1" applyAlignment="1">
      <alignment horizontal="center" wrapText="1"/>
    </xf>
    <xf numFmtId="0" fontId="3" fillId="8" borderId="22" xfId="0" applyFont="1" applyFill="1" applyBorder="1" applyAlignment="1">
      <alignment horizontal="center" wrapText="1"/>
    </xf>
    <xf numFmtId="0" fontId="7" fillId="0" borderId="14" xfId="2" applyFill="1" applyBorder="1" applyAlignment="1">
      <alignment horizontal="center" wrapText="1"/>
    </xf>
    <xf numFmtId="0" fontId="7" fillId="0" borderId="20" xfId="2" applyFill="1" applyBorder="1" applyAlignment="1">
      <alignment horizontal="center" wrapText="1"/>
    </xf>
    <xf numFmtId="0" fontId="0" fillId="0" borderId="14" xfId="0" applyFill="1" applyBorder="1" applyAlignment="1">
      <alignment horizontal="center" wrapText="1"/>
    </xf>
    <xf numFmtId="0" fontId="0" fillId="0" borderId="20" xfId="0" applyFill="1" applyBorder="1" applyAlignment="1">
      <alignment horizontal="center"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2" fillId="11" borderId="1" xfId="0" applyFont="1" applyFill="1" applyBorder="1" applyAlignment="1">
      <alignment horizontal="center"/>
    </xf>
    <xf numFmtId="0" fontId="2" fillId="11" borderId="4" xfId="0" applyFont="1" applyFill="1" applyBorder="1" applyAlignment="1">
      <alignment horizontal="center"/>
    </xf>
    <xf numFmtId="0" fontId="0" fillId="7" borderId="5" xfId="0" applyFont="1" applyFill="1" applyBorder="1" applyAlignment="1">
      <alignment horizontal="right"/>
    </xf>
    <xf numFmtId="0" fontId="0" fillId="7" borderId="0" xfId="0" applyFont="1" applyFill="1" applyBorder="1" applyAlignment="1">
      <alignment horizontal="right"/>
    </xf>
    <xf numFmtId="0" fontId="2" fillId="11" borderId="2" xfId="0" applyFont="1" applyFill="1" applyBorder="1" applyAlignment="1">
      <alignment horizontal="center"/>
    </xf>
    <xf numFmtId="0" fontId="3" fillId="2" borderId="5" xfId="0" applyFont="1" applyFill="1" applyBorder="1" applyAlignment="1">
      <alignment horizontal="right"/>
    </xf>
    <xf numFmtId="0" fontId="3" fillId="2" borderId="0" xfId="0" applyFont="1" applyFill="1" applyBorder="1" applyAlignment="1">
      <alignment horizontal="right"/>
    </xf>
    <xf numFmtId="0" fontId="3" fillId="7" borderId="5" xfId="0" applyFont="1" applyFill="1" applyBorder="1" applyAlignment="1">
      <alignment horizontal="center"/>
    </xf>
    <xf numFmtId="0" fontId="3" fillId="7" borderId="0" xfId="0" applyFont="1" applyFill="1" applyBorder="1" applyAlignment="1">
      <alignment horizontal="center"/>
    </xf>
    <xf numFmtId="0" fontId="3" fillId="7" borderId="6" xfId="0" applyFont="1" applyFill="1" applyBorder="1" applyAlignment="1">
      <alignment horizontal="center"/>
    </xf>
    <xf numFmtId="0" fontId="3" fillId="7" borderId="8" xfId="0" applyFont="1" applyFill="1" applyBorder="1" applyAlignment="1">
      <alignment horizontal="center"/>
    </xf>
    <xf numFmtId="0" fontId="0" fillId="7" borderId="5" xfId="0" applyFont="1" applyFill="1" applyBorder="1" applyAlignment="1">
      <alignment horizontal="center"/>
    </xf>
    <xf numFmtId="0" fontId="0" fillId="7" borderId="0" xfId="0" applyFont="1" applyFill="1" applyBorder="1" applyAlignment="1">
      <alignment horizontal="center"/>
    </xf>
    <xf numFmtId="0" fontId="0" fillId="0" borderId="15" xfId="0" applyFill="1" applyBorder="1" applyAlignment="1">
      <alignment wrapText="1"/>
    </xf>
    <xf numFmtId="0" fontId="0" fillId="0" borderId="16" xfId="0" applyFill="1" applyBorder="1" applyAlignment="1">
      <alignment wrapText="1"/>
    </xf>
    <xf numFmtId="0" fontId="0" fillId="0" borderId="17" xfId="0" applyFill="1" applyBorder="1" applyAlignment="1">
      <alignment wrapText="1"/>
    </xf>
  </cellXfs>
  <cellStyles count="3">
    <cellStyle name="Hyperlink" xfId="2" builtinId="8"/>
    <cellStyle name="Normal" xfId="0" builtinId="0"/>
    <cellStyle name="Percent" xfId="1" builtinId="5"/>
  </cellStyles>
  <dxfs count="1">
    <dxf>
      <fill>
        <patternFill>
          <bgColor theme="2" tint="-9.9948118533890809E-2"/>
        </patternFill>
      </fill>
    </dxf>
  </dxfs>
  <tableStyles count="0" defaultTableStyle="TableStyleMedium2" defaultPivotStyle="PivotStyleLight16"/>
  <colors>
    <mruColors>
      <color rgb="FF007A86"/>
      <color rgb="FF4477AA"/>
      <color rgb="FF225555"/>
      <color rgb="FFEE3377"/>
      <color rgb="FF009988"/>
      <color rgb="FFAA3377"/>
      <color rgb="FFEE6677"/>
      <color rgb="FF0077BB"/>
      <color rgb="FFCC3311"/>
      <color rgb="FFCCDD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220725218336473E-2"/>
          <c:y val="3.7996545768566495E-2"/>
          <c:w val="0.75954971920644754"/>
          <c:h val="0.83185671739219125"/>
        </c:manualLayout>
      </c:layout>
      <c:barChart>
        <c:barDir val="col"/>
        <c:grouping val="clustered"/>
        <c:varyColors val="0"/>
        <c:ser>
          <c:idx val="0"/>
          <c:order val="0"/>
          <c:tx>
            <c:v>Monte Carlo</c:v>
          </c:tx>
          <c:spPr>
            <a:solidFill>
              <a:srgbClr val="007A86"/>
            </a:solidFill>
            <a:ln>
              <a:noFill/>
            </a:ln>
            <a:effectLst/>
          </c:spPr>
          <c:invertIfNegative val="0"/>
          <c:cat>
            <c:numRef>
              <c:f>'GUM Uncertainty'!$J$42:$J$83</c:f>
              <c:numCache>
                <c:formatCode>General</c:formatCode>
                <c:ptCount val="42"/>
                <c:pt idx="0">
                  <c:v>0.68029208565615906</c:v>
                </c:pt>
                <c:pt idx="1">
                  <c:v>0.68112000905568426</c:v>
                </c:pt>
                <c:pt idx="2">
                  <c:v>0.68194793245520957</c:v>
                </c:pt>
                <c:pt idx="3">
                  <c:v>0.68277585585473477</c:v>
                </c:pt>
                <c:pt idx="4">
                  <c:v>0.68360377925425997</c:v>
                </c:pt>
                <c:pt idx="5">
                  <c:v>0.68443170265378517</c:v>
                </c:pt>
                <c:pt idx="6">
                  <c:v>0.68525962605331037</c:v>
                </c:pt>
                <c:pt idx="7">
                  <c:v>0.68608754945283568</c:v>
                </c:pt>
                <c:pt idx="8">
                  <c:v>0.68691547285236088</c:v>
                </c:pt>
                <c:pt idx="9">
                  <c:v>0.68774339625188607</c:v>
                </c:pt>
                <c:pt idx="10">
                  <c:v>0.68857131965141138</c:v>
                </c:pt>
                <c:pt idx="11">
                  <c:v>0.68939924305093658</c:v>
                </c:pt>
                <c:pt idx="12">
                  <c:v>0.69022716645046178</c:v>
                </c:pt>
                <c:pt idx="13">
                  <c:v>0.69105508984998698</c:v>
                </c:pt>
                <c:pt idx="14">
                  <c:v>0.69188301324951218</c:v>
                </c:pt>
                <c:pt idx="15">
                  <c:v>0.69271093664903749</c:v>
                </c:pt>
                <c:pt idx="16">
                  <c:v>0.69353886004856269</c:v>
                </c:pt>
                <c:pt idx="17">
                  <c:v>0.69436678344808789</c:v>
                </c:pt>
                <c:pt idx="18">
                  <c:v>0.6951947068476132</c:v>
                </c:pt>
                <c:pt idx="19">
                  <c:v>0.6960226302471384</c:v>
                </c:pt>
                <c:pt idx="20">
                  <c:v>0.6968505536466636</c:v>
                </c:pt>
                <c:pt idx="21">
                  <c:v>0.69767847704618879</c:v>
                </c:pt>
                <c:pt idx="22">
                  <c:v>0.69850640044571399</c:v>
                </c:pt>
                <c:pt idx="23">
                  <c:v>0.6993343238452393</c:v>
                </c:pt>
                <c:pt idx="24">
                  <c:v>0.7001622472447645</c:v>
                </c:pt>
                <c:pt idx="25">
                  <c:v>0.7009901706442897</c:v>
                </c:pt>
                <c:pt idx="26">
                  <c:v>0.70181809404381501</c:v>
                </c:pt>
                <c:pt idx="27">
                  <c:v>0.70264601744334021</c:v>
                </c:pt>
                <c:pt idx="28">
                  <c:v>0.70347394084286541</c:v>
                </c:pt>
                <c:pt idx="29">
                  <c:v>0.70430186424239061</c:v>
                </c:pt>
                <c:pt idx="30">
                  <c:v>0.70512978764191581</c:v>
                </c:pt>
                <c:pt idx="31">
                  <c:v>0.70595771104144112</c:v>
                </c:pt>
                <c:pt idx="32">
                  <c:v>0.70678563444096631</c:v>
                </c:pt>
                <c:pt idx="33">
                  <c:v>0.70761355784049151</c:v>
                </c:pt>
                <c:pt idx="34">
                  <c:v>0.70844148124001682</c:v>
                </c:pt>
                <c:pt idx="35">
                  <c:v>0.70926940463954202</c:v>
                </c:pt>
                <c:pt idx="36">
                  <c:v>0.71009732803906722</c:v>
                </c:pt>
                <c:pt idx="37">
                  <c:v>0.71092525143859242</c:v>
                </c:pt>
                <c:pt idx="38">
                  <c:v>0.71175317483811762</c:v>
                </c:pt>
                <c:pt idx="39">
                  <c:v>0.71258109823764293</c:v>
                </c:pt>
                <c:pt idx="40">
                  <c:v>0.71340902163716813</c:v>
                </c:pt>
                <c:pt idx="41">
                  <c:v>0.4831364836763809</c:v>
                </c:pt>
              </c:numCache>
            </c:numRef>
          </c:cat>
          <c:val>
            <c:numRef>
              <c:f>'GUM Uncertainty'!$J$83:$J$122</c:f>
              <c:numCache>
                <c:formatCode>General</c:formatCode>
                <c:ptCount val="40"/>
                <c:pt idx="0">
                  <c:v>0.4831364836763809</c:v>
                </c:pt>
                <c:pt idx="1">
                  <c:v>0.9662729673527618</c:v>
                </c:pt>
                <c:pt idx="2">
                  <c:v>0.4831364836763809</c:v>
                </c:pt>
                <c:pt idx="3">
                  <c:v>3.381955385734666</c:v>
                </c:pt>
                <c:pt idx="4">
                  <c:v>2.4156824183819041</c:v>
                </c:pt>
                <c:pt idx="5">
                  <c:v>3.1403871438964752</c:v>
                </c:pt>
                <c:pt idx="6">
                  <c:v>6.039206045954761</c:v>
                </c:pt>
                <c:pt idx="7">
                  <c:v>7.0054790133075215</c:v>
                </c:pt>
                <c:pt idx="8">
                  <c:v>11.595275608233139</c:v>
                </c:pt>
                <c:pt idx="9">
                  <c:v>17.634481654187901</c:v>
                </c:pt>
                <c:pt idx="10">
                  <c:v>26.572506602200946</c:v>
                </c:pt>
                <c:pt idx="11">
                  <c:v>31.162303197126565</c:v>
                </c:pt>
                <c:pt idx="12">
                  <c:v>33.33641737367028</c:v>
                </c:pt>
                <c:pt idx="13">
                  <c:v>46.381102432932558</c:v>
                </c:pt>
                <c:pt idx="14">
                  <c:v>55.802263864621985</c:v>
                </c:pt>
                <c:pt idx="15">
                  <c:v>64.740288812635043</c:v>
                </c:pt>
                <c:pt idx="16">
                  <c:v>69.330085407560659</c:v>
                </c:pt>
                <c:pt idx="17">
                  <c:v>70.537926616751605</c:v>
                </c:pt>
                <c:pt idx="18">
                  <c:v>83.099475192337508</c:v>
                </c:pt>
                <c:pt idx="19">
                  <c:v>74.403018486162651</c:v>
                </c:pt>
                <c:pt idx="20">
                  <c:v>83.824179917852078</c:v>
                </c:pt>
                <c:pt idx="21">
                  <c:v>77.543405630059112</c:v>
                </c:pt>
                <c:pt idx="22">
                  <c:v>74.644586728000846</c:v>
                </c:pt>
                <c:pt idx="23">
                  <c:v>72.95360903513351</c:v>
                </c:pt>
                <c:pt idx="24">
                  <c:v>60.633628701385803</c:v>
                </c:pt>
                <c:pt idx="25">
                  <c:v>46.622670674770752</c:v>
                </c:pt>
                <c:pt idx="26">
                  <c:v>43.240715289036082</c:v>
                </c:pt>
                <c:pt idx="27">
                  <c:v>33.33641737367028</c:v>
                </c:pt>
                <c:pt idx="28">
                  <c:v>30.920734955288378</c:v>
                </c:pt>
                <c:pt idx="29">
                  <c:v>23.190551216466279</c:v>
                </c:pt>
                <c:pt idx="30">
                  <c:v>15.943503961320568</c:v>
                </c:pt>
                <c:pt idx="31">
                  <c:v>11.35370736639495</c:v>
                </c:pt>
                <c:pt idx="32">
                  <c:v>8.9380249480130463</c:v>
                </c:pt>
                <c:pt idx="33">
                  <c:v>7.2470472551457128</c:v>
                </c:pt>
                <c:pt idx="34">
                  <c:v>2.6572506602200949</c:v>
                </c:pt>
                <c:pt idx="35">
                  <c:v>1.690977692867333</c:v>
                </c:pt>
                <c:pt idx="36">
                  <c:v>1.9325459347055236</c:v>
                </c:pt>
                <c:pt idx="37">
                  <c:v>1.2078412091909521</c:v>
                </c:pt>
                <c:pt idx="38">
                  <c:v>0.9662729673527618</c:v>
                </c:pt>
                <c:pt idx="39">
                  <c:v>0.24156824183819045</c:v>
                </c:pt>
              </c:numCache>
            </c:numRef>
          </c:val>
          <c:extLst>
            <c:ext xmlns:c16="http://schemas.microsoft.com/office/drawing/2014/chart" uri="{C3380CC4-5D6E-409C-BE32-E72D297353CC}">
              <c16:uniqueId val="{00000000-D4DF-43B8-9052-61DC2325EA5E}"/>
            </c:ext>
          </c:extLst>
        </c:ser>
        <c:dLbls>
          <c:showLegendKey val="0"/>
          <c:showVal val="0"/>
          <c:showCatName val="0"/>
          <c:showSerName val="0"/>
          <c:showPercent val="0"/>
          <c:showBubbleSize val="0"/>
        </c:dLbls>
        <c:gapWidth val="0"/>
        <c:axId val="65045823"/>
        <c:axId val="65042463"/>
      </c:barChart>
      <c:lineChart>
        <c:grouping val="standard"/>
        <c:varyColors val="0"/>
        <c:ser>
          <c:idx val="1"/>
          <c:order val="1"/>
          <c:tx>
            <c:v>GUM</c:v>
          </c:tx>
          <c:spPr>
            <a:ln w="28575" cap="rnd">
              <a:solidFill>
                <a:srgbClr val="BA0C2F"/>
              </a:solidFill>
              <a:round/>
            </a:ln>
            <a:effectLst/>
          </c:spPr>
          <c:marker>
            <c:symbol val="none"/>
          </c:marker>
          <c:cat>
            <c:numRef>
              <c:f>'GUM Uncertainty'!$J$42:$J$82</c:f>
              <c:numCache>
                <c:formatCode>General</c:formatCode>
                <c:ptCount val="41"/>
                <c:pt idx="0">
                  <c:v>0.68029208565615906</c:v>
                </c:pt>
                <c:pt idx="1">
                  <c:v>0.68112000905568426</c:v>
                </c:pt>
                <c:pt idx="2">
                  <c:v>0.68194793245520957</c:v>
                </c:pt>
                <c:pt idx="3">
                  <c:v>0.68277585585473477</c:v>
                </c:pt>
                <c:pt idx="4">
                  <c:v>0.68360377925425997</c:v>
                </c:pt>
                <c:pt idx="5">
                  <c:v>0.68443170265378517</c:v>
                </c:pt>
                <c:pt idx="6">
                  <c:v>0.68525962605331037</c:v>
                </c:pt>
                <c:pt idx="7">
                  <c:v>0.68608754945283568</c:v>
                </c:pt>
                <c:pt idx="8">
                  <c:v>0.68691547285236088</c:v>
                </c:pt>
                <c:pt idx="9">
                  <c:v>0.68774339625188607</c:v>
                </c:pt>
                <c:pt idx="10">
                  <c:v>0.68857131965141138</c:v>
                </c:pt>
                <c:pt idx="11">
                  <c:v>0.68939924305093658</c:v>
                </c:pt>
                <c:pt idx="12">
                  <c:v>0.69022716645046178</c:v>
                </c:pt>
                <c:pt idx="13">
                  <c:v>0.69105508984998698</c:v>
                </c:pt>
                <c:pt idx="14">
                  <c:v>0.69188301324951218</c:v>
                </c:pt>
                <c:pt idx="15">
                  <c:v>0.69271093664903749</c:v>
                </c:pt>
                <c:pt idx="16">
                  <c:v>0.69353886004856269</c:v>
                </c:pt>
                <c:pt idx="17">
                  <c:v>0.69436678344808789</c:v>
                </c:pt>
                <c:pt idx="18">
                  <c:v>0.6951947068476132</c:v>
                </c:pt>
                <c:pt idx="19">
                  <c:v>0.6960226302471384</c:v>
                </c:pt>
                <c:pt idx="20">
                  <c:v>0.6968505536466636</c:v>
                </c:pt>
                <c:pt idx="21">
                  <c:v>0.69767847704618879</c:v>
                </c:pt>
                <c:pt idx="22">
                  <c:v>0.69850640044571399</c:v>
                </c:pt>
                <c:pt idx="23">
                  <c:v>0.6993343238452393</c:v>
                </c:pt>
                <c:pt idx="24">
                  <c:v>0.7001622472447645</c:v>
                </c:pt>
                <c:pt idx="25">
                  <c:v>0.7009901706442897</c:v>
                </c:pt>
                <c:pt idx="26">
                  <c:v>0.70181809404381501</c:v>
                </c:pt>
                <c:pt idx="27">
                  <c:v>0.70264601744334021</c:v>
                </c:pt>
                <c:pt idx="28">
                  <c:v>0.70347394084286541</c:v>
                </c:pt>
                <c:pt idx="29">
                  <c:v>0.70430186424239061</c:v>
                </c:pt>
                <c:pt idx="30">
                  <c:v>0.70512978764191581</c:v>
                </c:pt>
                <c:pt idx="31">
                  <c:v>0.70595771104144112</c:v>
                </c:pt>
                <c:pt idx="32">
                  <c:v>0.70678563444096631</c:v>
                </c:pt>
                <c:pt idx="33">
                  <c:v>0.70761355784049151</c:v>
                </c:pt>
                <c:pt idx="34">
                  <c:v>0.70844148124001682</c:v>
                </c:pt>
                <c:pt idx="35">
                  <c:v>0.70926940463954202</c:v>
                </c:pt>
                <c:pt idx="36">
                  <c:v>0.71009732803906722</c:v>
                </c:pt>
                <c:pt idx="37">
                  <c:v>0.71092525143859242</c:v>
                </c:pt>
                <c:pt idx="38">
                  <c:v>0.71175317483811762</c:v>
                </c:pt>
                <c:pt idx="39">
                  <c:v>0.71258109823764293</c:v>
                </c:pt>
                <c:pt idx="40">
                  <c:v>0.71340902163716813</c:v>
                </c:pt>
              </c:numCache>
            </c:numRef>
          </c:cat>
          <c:val>
            <c:numRef>
              <c:f>'GUM Uncertainty'!$K$42:$K$82</c:f>
              <c:numCache>
                <c:formatCode>General</c:formatCode>
                <c:ptCount val="41"/>
                <c:pt idx="0">
                  <c:v>0.32999743904390599</c:v>
                </c:pt>
                <c:pt idx="1">
                  <c:v>0.56785191498163701</c:v>
                </c:pt>
                <c:pt idx="2">
                  <c:v>0.94999301176814577</c:v>
                </c:pt>
                <c:pt idx="3">
                  <c:v>1.5451353096399019</c:v>
                </c:pt>
                <c:pt idx="4">
                  <c:v>2.443280981838202</c:v>
                </c:pt>
                <c:pt idx="5">
                  <c:v>3.7561342182473902</c:v>
                </c:pt>
                <c:pt idx="6">
                  <c:v>5.6139634563638499</c:v>
                </c:pt>
                <c:pt idx="7">
                  <c:v>8.1575332148616084</c:v>
                </c:pt>
                <c:pt idx="8">
                  <c:v>11.524150224785133</c:v>
                </c:pt>
                <c:pt idx="9">
                  <c:v>15.827771134640175</c:v>
                </c:pt>
                <c:pt idx="10">
                  <c:v>21.134472053554745</c:v>
                </c:pt>
                <c:pt idx="11">
                  <c:v>27.436192151163006</c:v>
                </c:pt>
                <c:pt idx="12">
                  <c:v>34.627174764673931</c:v>
                </c:pt>
                <c:pt idx="13">
                  <c:v>42.48846805261482</c:v>
                </c:pt>
                <c:pt idx="14">
                  <c:v>50.685749993558723</c:v>
                </c:pt>
                <c:pt idx="15">
                  <c:v>58.784316417376552</c:v>
                </c:pt>
                <c:pt idx="16">
                  <c:v>66.282343979381565</c:v>
                </c:pt>
                <c:pt idx="17">
                  <c:v>72.659939990752974</c:v>
                </c:pt>
                <c:pt idx="18">
                  <c:v>77.437799283148806</c:v>
                </c:pt>
                <c:pt idx="19">
                  <c:v>80.236460132517976</c:v>
                </c:pt>
                <c:pt idx="20">
                  <c:v>80.826041412175002</c:v>
                </c:pt>
                <c:pt idx="21">
                  <c:v>79.157423253054546</c:v>
                </c:pt>
                <c:pt idx="22">
                  <c:v>75.369004455796201</c:v>
                </c:pt>
                <c:pt idx="23">
                  <c:v>69.767747172722039</c:v>
                </c:pt>
                <c:pt idx="24">
                  <c:v>62.788110124627146</c:v>
                </c:pt>
                <c:pt idx="25">
                  <c:v>54.936490712087902</c:v>
                </c:pt>
                <c:pt idx="26">
                  <c:v>46.731014217357632</c:v>
                </c:pt>
                <c:pt idx="27">
                  <c:v>38.646510870700546</c:v>
                </c:pt>
                <c:pt idx="28">
                  <c:v>31.072497736467678</c:v>
                </c:pt>
                <c:pt idx="29">
                  <c:v>24.288619438781687</c:v>
                </c:pt>
                <c:pt idx="30">
                  <c:v>18.458239902028101</c:v>
                </c:pt>
                <c:pt idx="31">
                  <c:v>13.637618361603229</c:v>
                </c:pt>
                <c:pt idx="32">
                  <c:v>9.7959727928072304</c:v>
                </c:pt>
                <c:pt idx="33">
                  <c:v>6.8409654704247487</c:v>
                </c:pt>
                <c:pt idx="34">
                  <c:v>4.6445967842161506</c:v>
                </c:pt>
                <c:pt idx="35">
                  <c:v>3.0657689873044669</c:v>
                </c:pt>
                <c:pt idx="36">
                  <c:v>1.9673952880424797</c:v>
                </c:pt>
                <c:pt idx="37">
                  <c:v>1.2274522826191665</c:v>
                </c:pt>
                <c:pt idx="38">
                  <c:v>0.74452348155557535</c:v>
                </c:pt>
                <c:pt idx="39">
                  <c:v>0.43904897937944293</c:v>
                </c:pt>
                <c:pt idx="40">
                  <c:v>0.25171455868234655</c:v>
                </c:pt>
              </c:numCache>
            </c:numRef>
          </c:val>
          <c:smooth val="1"/>
          <c:extLst>
            <c:ext xmlns:c16="http://schemas.microsoft.com/office/drawing/2014/chart" uri="{C3380CC4-5D6E-409C-BE32-E72D297353CC}">
              <c16:uniqueId val="{00000001-D4DF-43B8-9052-61DC2325EA5E}"/>
            </c:ext>
          </c:extLst>
        </c:ser>
        <c:dLbls>
          <c:showLegendKey val="0"/>
          <c:showVal val="0"/>
          <c:showCatName val="0"/>
          <c:showSerName val="0"/>
          <c:showPercent val="0"/>
          <c:showBubbleSize val="0"/>
        </c:dLbls>
        <c:marker val="1"/>
        <c:smooth val="0"/>
        <c:axId val="65045823"/>
        <c:axId val="65042463"/>
      </c:lineChart>
      <c:catAx>
        <c:axId val="65045823"/>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2463"/>
        <c:crosses val="autoZero"/>
        <c:auto val="1"/>
        <c:lblAlgn val="ctr"/>
        <c:lblOffset val="100"/>
        <c:tickMarkSkip val="1"/>
        <c:noMultiLvlLbl val="1"/>
      </c:catAx>
      <c:valAx>
        <c:axId val="6504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45823"/>
        <c:crosses val="autoZero"/>
        <c:crossBetween val="between"/>
      </c:valAx>
      <c:spPr>
        <a:solidFill>
          <a:schemeClr val="bg1">
            <a:lumMod val="9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"X1"</c:v>
          </c:tx>
          <c:spPr>
            <a:solidFill>
              <a:srgbClr val="007A86"/>
            </a:solidFill>
            <a:ln>
              <a:noFill/>
            </a:ln>
            <a:effectLst/>
          </c:spPr>
          <c:invertIfNegative val="0"/>
          <c:cat>
            <c:numRef>
              <c:f>'Manual Monte Carlo'!$V$13:$V$112</c:f>
              <c:numCache>
                <c:formatCode>General</c:formatCode>
                <c:ptCount val="100"/>
                <c:pt idx="0">
                  <c:v>-3.7688161147720729</c:v>
                </c:pt>
                <c:pt idx="1">
                  <c:v>-3.6929651343371752</c:v>
                </c:pt>
                <c:pt idx="2">
                  <c:v>-3.6171141539022771</c:v>
                </c:pt>
                <c:pt idx="3">
                  <c:v>-3.5412631734673794</c:v>
                </c:pt>
                <c:pt idx="4">
                  <c:v>-3.4654121930324813</c:v>
                </c:pt>
                <c:pt idx="5">
                  <c:v>-3.3895612125975836</c:v>
                </c:pt>
                <c:pt idx="6">
                  <c:v>-3.3137102321626855</c:v>
                </c:pt>
                <c:pt idx="7">
                  <c:v>-3.2378592517277873</c:v>
                </c:pt>
                <c:pt idx="8">
                  <c:v>-3.1620082712928896</c:v>
                </c:pt>
                <c:pt idx="9">
                  <c:v>-3.086157290857992</c:v>
                </c:pt>
                <c:pt idx="10">
                  <c:v>-3.0103063104230938</c:v>
                </c:pt>
                <c:pt idx="11">
                  <c:v>-2.9344553299881957</c:v>
                </c:pt>
                <c:pt idx="12">
                  <c:v>-2.858604349553298</c:v>
                </c:pt>
                <c:pt idx="13">
                  <c:v>-2.7827533691183999</c:v>
                </c:pt>
                <c:pt idx="14">
                  <c:v>-2.7069023886835017</c:v>
                </c:pt>
                <c:pt idx="15">
                  <c:v>-2.6310514082486041</c:v>
                </c:pt>
                <c:pt idx="16">
                  <c:v>-2.5552004278137064</c:v>
                </c:pt>
                <c:pt idx="17">
                  <c:v>-2.4793494473788082</c:v>
                </c:pt>
                <c:pt idx="18">
                  <c:v>-2.4034984669439101</c:v>
                </c:pt>
                <c:pt idx="19">
                  <c:v>-2.3276474865090124</c:v>
                </c:pt>
                <c:pt idx="20">
                  <c:v>-2.2517965060741143</c:v>
                </c:pt>
                <c:pt idx="21">
                  <c:v>-2.1759455256392162</c:v>
                </c:pt>
                <c:pt idx="22">
                  <c:v>-2.1000945452043185</c:v>
                </c:pt>
                <c:pt idx="23">
                  <c:v>-2.0242435647694208</c:v>
                </c:pt>
                <c:pt idx="24">
                  <c:v>-1.9483925843345227</c:v>
                </c:pt>
                <c:pt idx="25">
                  <c:v>-1.8725416038996248</c:v>
                </c:pt>
                <c:pt idx="26">
                  <c:v>-1.7966906234647269</c:v>
                </c:pt>
                <c:pt idx="27">
                  <c:v>-1.7208396430298287</c:v>
                </c:pt>
                <c:pt idx="28">
                  <c:v>-1.644988662594931</c:v>
                </c:pt>
                <c:pt idx="29">
                  <c:v>-1.5691376821600329</c:v>
                </c:pt>
                <c:pt idx="30">
                  <c:v>-1.4932867017251352</c:v>
                </c:pt>
                <c:pt idx="31">
                  <c:v>-1.4174357212902371</c:v>
                </c:pt>
                <c:pt idx="32">
                  <c:v>-1.341584740855339</c:v>
                </c:pt>
                <c:pt idx="33">
                  <c:v>-1.2657337604204413</c:v>
                </c:pt>
                <c:pt idx="34">
                  <c:v>-1.1898827799855431</c:v>
                </c:pt>
                <c:pt idx="35">
                  <c:v>-1.1140317995506455</c:v>
                </c:pt>
                <c:pt idx="36">
                  <c:v>-1.0381808191157473</c:v>
                </c:pt>
                <c:pt idx="37">
                  <c:v>-0.96232983868084965</c:v>
                </c:pt>
                <c:pt idx="38">
                  <c:v>-0.88647885824595152</c:v>
                </c:pt>
                <c:pt idx="39">
                  <c:v>-0.81062787781105383</c:v>
                </c:pt>
                <c:pt idx="40">
                  <c:v>-0.7347768973761557</c:v>
                </c:pt>
                <c:pt idx="41">
                  <c:v>-0.65892591694125757</c:v>
                </c:pt>
                <c:pt idx="42">
                  <c:v>-0.58307493650635989</c:v>
                </c:pt>
                <c:pt idx="43">
                  <c:v>-0.50722395607146176</c:v>
                </c:pt>
                <c:pt idx="44">
                  <c:v>-0.43137297563656407</c:v>
                </c:pt>
                <c:pt idx="45">
                  <c:v>-0.35552199520166594</c:v>
                </c:pt>
                <c:pt idx="46">
                  <c:v>-0.27967101476676826</c:v>
                </c:pt>
                <c:pt idx="47">
                  <c:v>-0.20382003433187013</c:v>
                </c:pt>
                <c:pt idx="48">
                  <c:v>-0.127969053896972</c:v>
                </c:pt>
                <c:pt idx="49">
                  <c:v>-5.211807346207431E-2</c:v>
                </c:pt>
                <c:pt idx="50">
                  <c:v>2.373290697282382E-2</c:v>
                </c:pt>
                <c:pt idx="51">
                  <c:v>9.9583887407721505E-2</c:v>
                </c:pt>
                <c:pt idx="52">
                  <c:v>0.17543486784261964</c:v>
                </c:pt>
                <c:pt idx="53">
                  <c:v>0.25128584827751732</c:v>
                </c:pt>
                <c:pt idx="54">
                  <c:v>0.32713682871241501</c:v>
                </c:pt>
                <c:pt idx="55">
                  <c:v>0.40298780914731358</c:v>
                </c:pt>
                <c:pt idx="56">
                  <c:v>0.47883878958221127</c:v>
                </c:pt>
                <c:pt idx="57">
                  <c:v>0.55468977001710895</c:v>
                </c:pt>
                <c:pt idx="58">
                  <c:v>0.63054075045200753</c:v>
                </c:pt>
                <c:pt idx="59">
                  <c:v>0.70639173088690521</c:v>
                </c:pt>
                <c:pt idx="60">
                  <c:v>0.7822427113218029</c:v>
                </c:pt>
                <c:pt idx="61">
                  <c:v>0.85809369175670058</c:v>
                </c:pt>
                <c:pt idx="62">
                  <c:v>0.93394467219159916</c:v>
                </c:pt>
                <c:pt idx="63">
                  <c:v>1.0097956526264968</c:v>
                </c:pt>
                <c:pt idx="64">
                  <c:v>1.0856466330613945</c:v>
                </c:pt>
                <c:pt idx="65">
                  <c:v>1.1614976134962931</c:v>
                </c:pt>
                <c:pt idx="66">
                  <c:v>1.2373485939311908</c:v>
                </c:pt>
                <c:pt idx="67">
                  <c:v>1.3131995743660885</c:v>
                </c:pt>
                <c:pt idx="68">
                  <c:v>1.3890505548009862</c:v>
                </c:pt>
                <c:pt idx="69">
                  <c:v>1.4649015352358847</c:v>
                </c:pt>
                <c:pt idx="70">
                  <c:v>1.5407525156707824</c:v>
                </c:pt>
                <c:pt idx="71">
                  <c:v>1.6166034961056801</c:v>
                </c:pt>
                <c:pt idx="72">
                  <c:v>1.6924544765405787</c:v>
                </c:pt>
                <c:pt idx="73">
                  <c:v>1.7683054569754764</c:v>
                </c:pt>
                <c:pt idx="74">
                  <c:v>1.844156437410374</c:v>
                </c:pt>
                <c:pt idx="75">
                  <c:v>1.9200074178452717</c:v>
                </c:pt>
                <c:pt idx="76">
                  <c:v>1.9958583982801703</c:v>
                </c:pt>
                <c:pt idx="77">
                  <c:v>2.071709378715068</c:v>
                </c:pt>
                <c:pt idx="78">
                  <c:v>2.1475603591499657</c:v>
                </c:pt>
                <c:pt idx="79">
                  <c:v>2.2234113395848634</c:v>
                </c:pt>
                <c:pt idx="80">
                  <c:v>2.2992623200197619</c:v>
                </c:pt>
                <c:pt idx="81">
                  <c:v>2.3751133004546596</c:v>
                </c:pt>
                <c:pt idx="82">
                  <c:v>2.4509642808895573</c:v>
                </c:pt>
                <c:pt idx="83">
                  <c:v>2.5268152613244559</c:v>
                </c:pt>
                <c:pt idx="84">
                  <c:v>2.6026662417593536</c:v>
                </c:pt>
                <c:pt idx="85">
                  <c:v>2.6785172221942513</c:v>
                </c:pt>
                <c:pt idx="86">
                  <c:v>2.7543682026291489</c:v>
                </c:pt>
                <c:pt idx="87">
                  <c:v>2.8302191830640475</c:v>
                </c:pt>
                <c:pt idx="88">
                  <c:v>2.9060701634989452</c:v>
                </c:pt>
                <c:pt idx="89">
                  <c:v>2.9819211439338429</c:v>
                </c:pt>
                <c:pt idx="90">
                  <c:v>3.0577721243687415</c:v>
                </c:pt>
                <c:pt idx="91">
                  <c:v>3.1336231048036391</c:v>
                </c:pt>
                <c:pt idx="92">
                  <c:v>3.2094740852385368</c:v>
                </c:pt>
                <c:pt idx="93">
                  <c:v>3.2853250656734345</c:v>
                </c:pt>
                <c:pt idx="94">
                  <c:v>3.3611760461083331</c:v>
                </c:pt>
                <c:pt idx="95">
                  <c:v>3.4370270265432308</c:v>
                </c:pt>
                <c:pt idx="96">
                  <c:v>3.5128780069781285</c:v>
                </c:pt>
                <c:pt idx="97">
                  <c:v>3.588728987413027</c:v>
                </c:pt>
                <c:pt idx="98">
                  <c:v>3.6645799678479247</c:v>
                </c:pt>
                <c:pt idx="99">
                  <c:v>3.7404309482828224</c:v>
                </c:pt>
              </c:numCache>
            </c:numRef>
          </c:cat>
          <c:val>
            <c:numRef>
              <c:f>'Manual Monte Carlo'!$W$13:$W$113</c:f>
              <c:numCache>
                <c:formatCode>General</c:formatCode>
                <c:ptCount val="101"/>
                <c:pt idx="0">
                  <c:v>1</c:v>
                </c:pt>
                <c:pt idx="1">
                  <c:v>0</c:v>
                </c:pt>
                <c:pt idx="2">
                  <c:v>0</c:v>
                </c:pt>
                <c:pt idx="3">
                  <c:v>0</c:v>
                </c:pt>
                <c:pt idx="4">
                  <c:v>0</c:v>
                </c:pt>
                <c:pt idx="5">
                  <c:v>0</c:v>
                </c:pt>
                <c:pt idx="6">
                  <c:v>1</c:v>
                </c:pt>
                <c:pt idx="7">
                  <c:v>1</c:v>
                </c:pt>
                <c:pt idx="8">
                  <c:v>0</c:v>
                </c:pt>
                <c:pt idx="9">
                  <c:v>1</c:v>
                </c:pt>
                <c:pt idx="10">
                  <c:v>1</c:v>
                </c:pt>
                <c:pt idx="11">
                  <c:v>2</c:v>
                </c:pt>
                <c:pt idx="12">
                  <c:v>1</c:v>
                </c:pt>
                <c:pt idx="13">
                  <c:v>4</c:v>
                </c:pt>
                <c:pt idx="14">
                  <c:v>2</c:v>
                </c:pt>
                <c:pt idx="15">
                  <c:v>3</c:v>
                </c:pt>
                <c:pt idx="16">
                  <c:v>5</c:v>
                </c:pt>
                <c:pt idx="17">
                  <c:v>5</c:v>
                </c:pt>
                <c:pt idx="18">
                  <c:v>10</c:v>
                </c:pt>
                <c:pt idx="19">
                  <c:v>8</c:v>
                </c:pt>
                <c:pt idx="20">
                  <c:v>8</c:v>
                </c:pt>
                <c:pt idx="21">
                  <c:v>17</c:v>
                </c:pt>
                <c:pt idx="22">
                  <c:v>14</c:v>
                </c:pt>
                <c:pt idx="23">
                  <c:v>28</c:v>
                </c:pt>
                <c:pt idx="24">
                  <c:v>25</c:v>
                </c:pt>
                <c:pt idx="25">
                  <c:v>30</c:v>
                </c:pt>
                <c:pt idx="26">
                  <c:v>34</c:v>
                </c:pt>
                <c:pt idx="27">
                  <c:v>27</c:v>
                </c:pt>
                <c:pt idx="28">
                  <c:v>22</c:v>
                </c:pt>
                <c:pt idx="29">
                  <c:v>41</c:v>
                </c:pt>
                <c:pt idx="30">
                  <c:v>39</c:v>
                </c:pt>
                <c:pt idx="31">
                  <c:v>53</c:v>
                </c:pt>
                <c:pt idx="32">
                  <c:v>64</c:v>
                </c:pt>
                <c:pt idx="33">
                  <c:v>67</c:v>
                </c:pt>
                <c:pt idx="34">
                  <c:v>70</c:v>
                </c:pt>
                <c:pt idx="35">
                  <c:v>65</c:v>
                </c:pt>
                <c:pt idx="36">
                  <c:v>80</c:v>
                </c:pt>
                <c:pt idx="37">
                  <c:v>82</c:v>
                </c:pt>
                <c:pt idx="38">
                  <c:v>107</c:v>
                </c:pt>
                <c:pt idx="39">
                  <c:v>121</c:v>
                </c:pt>
                <c:pt idx="40">
                  <c:v>101</c:v>
                </c:pt>
                <c:pt idx="41">
                  <c:v>116</c:v>
                </c:pt>
                <c:pt idx="42">
                  <c:v>132</c:v>
                </c:pt>
                <c:pt idx="43">
                  <c:v>123</c:v>
                </c:pt>
                <c:pt idx="44">
                  <c:v>122</c:v>
                </c:pt>
                <c:pt idx="45">
                  <c:v>123</c:v>
                </c:pt>
                <c:pt idx="46">
                  <c:v>167</c:v>
                </c:pt>
                <c:pt idx="47">
                  <c:v>129</c:v>
                </c:pt>
                <c:pt idx="48">
                  <c:v>154</c:v>
                </c:pt>
                <c:pt idx="49">
                  <c:v>149</c:v>
                </c:pt>
                <c:pt idx="50">
                  <c:v>142</c:v>
                </c:pt>
                <c:pt idx="51">
                  <c:v>136</c:v>
                </c:pt>
                <c:pt idx="52">
                  <c:v>158</c:v>
                </c:pt>
                <c:pt idx="53">
                  <c:v>165</c:v>
                </c:pt>
                <c:pt idx="54">
                  <c:v>147</c:v>
                </c:pt>
                <c:pt idx="55">
                  <c:v>135</c:v>
                </c:pt>
                <c:pt idx="56">
                  <c:v>134</c:v>
                </c:pt>
                <c:pt idx="57">
                  <c:v>144</c:v>
                </c:pt>
                <c:pt idx="58">
                  <c:v>148</c:v>
                </c:pt>
                <c:pt idx="59">
                  <c:v>121</c:v>
                </c:pt>
                <c:pt idx="60">
                  <c:v>116</c:v>
                </c:pt>
                <c:pt idx="61">
                  <c:v>111</c:v>
                </c:pt>
                <c:pt idx="62">
                  <c:v>116</c:v>
                </c:pt>
                <c:pt idx="63">
                  <c:v>79</c:v>
                </c:pt>
                <c:pt idx="64">
                  <c:v>90</c:v>
                </c:pt>
                <c:pt idx="65">
                  <c:v>92</c:v>
                </c:pt>
                <c:pt idx="66">
                  <c:v>71</c:v>
                </c:pt>
                <c:pt idx="67">
                  <c:v>70</c:v>
                </c:pt>
                <c:pt idx="68">
                  <c:v>70</c:v>
                </c:pt>
                <c:pt idx="69">
                  <c:v>51</c:v>
                </c:pt>
                <c:pt idx="70">
                  <c:v>48</c:v>
                </c:pt>
                <c:pt idx="71">
                  <c:v>40</c:v>
                </c:pt>
                <c:pt idx="72">
                  <c:v>41</c:v>
                </c:pt>
                <c:pt idx="73">
                  <c:v>41</c:v>
                </c:pt>
                <c:pt idx="74">
                  <c:v>26</c:v>
                </c:pt>
                <c:pt idx="75">
                  <c:v>29</c:v>
                </c:pt>
                <c:pt idx="76">
                  <c:v>25</c:v>
                </c:pt>
                <c:pt idx="77">
                  <c:v>12</c:v>
                </c:pt>
                <c:pt idx="78">
                  <c:v>13</c:v>
                </c:pt>
                <c:pt idx="79">
                  <c:v>8</c:v>
                </c:pt>
                <c:pt idx="80">
                  <c:v>12</c:v>
                </c:pt>
                <c:pt idx="81">
                  <c:v>11</c:v>
                </c:pt>
                <c:pt idx="82">
                  <c:v>9</c:v>
                </c:pt>
                <c:pt idx="83">
                  <c:v>5</c:v>
                </c:pt>
                <c:pt idx="84">
                  <c:v>5</c:v>
                </c:pt>
                <c:pt idx="85">
                  <c:v>7</c:v>
                </c:pt>
                <c:pt idx="86">
                  <c:v>2</c:v>
                </c:pt>
                <c:pt idx="87">
                  <c:v>4</c:v>
                </c:pt>
                <c:pt idx="88">
                  <c:v>2</c:v>
                </c:pt>
                <c:pt idx="89">
                  <c:v>1</c:v>
                </c:pt>
                <c:pt idx="90">
                  <c:v>2</c:v>
                </c:pt>
                <c:pt idx="91">
                  <c:v>1</c:v>
                </c:pt>
                <c:pt idx="92">
                  <c:v>1</c:v>
                </c:pt>
                <c:pt idx="93">
                  <c:v>1</c:v>
                </c:pt>
                <c:pt idx="94">
                  <c:v>0</c:v>
                </c:pt>
                <c:pt idx="95">
                  <c:v>0</c:v>
                </c:pt>
                <c:pt idx="96">
                  <c:v>0</c:v>
                </c:pt>
                <c:pt idx="97">
                  <c:v>0</c:v>
                </c:pt>
                <c:pt idx="98">
                  <c:v>2</c:v>
                </c:pt>
                <c:pt idx="99">
                  <c:v>0</c:v>
                </c:pt>
                <c:pt idx="100">
                  <c:v>1</c:v>
                </c:pt>
              </c:numCache>
            </c:numRef>
          </c:val>
          <c:extLst>
            <c:ext xmlns:c16="http://schemas.microsoft.com/office/drawing/2014/chart" uri="{C3380CC4-5D6E-409C-BE32-E72D297353CC}">
              <c16:uniqueId val="{00000000-E2BE-4D68-96F8-F23A20E1A5D1}"/>
            </c:ext>
          </c:extLst>
        </c:ser>
        <c:dLbls>
          <c:showLegendKey val="0"/>
          <c:showVal val="0"/>
          <c:showCatName val="0"/>
          <c:showSerName val="0"/>
          <c:showPercent val="0"/>
          <c:showBubbleSize val="0"/>
        </c:dLbls>
        <c:gapWidth val="0"/>
        <c:axId val="484965743"/>
        <c:axId val="484969583"/>
      </c:barChart>
      <c:catAx>
        <c:axId val="484965743"/>
        <c:scaling>
          <c:orientation val="minMax"/>
        </c:scaling>
        <c:delete val="0"/>
        <c:axPos val="b"/>
        <c:numFmt formatCode="#,##0.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9583"/>
        <c:crosses val="autoZero"/>
        <c:auto val="1"/>
        <c:lblAlgn val="ctr"/>
        <c:lblOffset val="100"/>
        <c:noMultiLvlLbl val="0"/>
      </c:catAx>
      <c:valAx>
        <c:axId val="48496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57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"X2"</c:v>
          </c:tx>
          <c:spPr>
            <a:solidFill>
              <a:srgbClr val="007A86"/>
            </a:solidFill>
            <a:ln>
              <a:noFill/>
            </a:ln>
            <a:effectLst/>
          </c:spPr>
          <c:invertIfNegative val="0"/>
          <c:cat>
            <c:numRef>
              <c:f>'Manual Monte Carlo'!$X$13:$X$112</c:f>
              <c:numCache>
                <c:formatCode>General</c:formatCode>
                <c:ptCount val="100"/>
                <c:pt idx="0">
                  <c:v>-3.5902303206023976</c:v>
                </c:pt>
                <c:pt idx="1">
                  <c:v>-3.5118722969941185</c:v>
                </c:pt>
                <c:pt idx="2">
                  <c:v>-3.433514273385839</c:v>
                </c:pt>
                <c:pt idx="3">
                  <c:v>-3.3551562497775596</c:v>
                </c:pt>
                <c:pt idx="4">
                  <c:v>-3.2767982261692801</c:v>
                </c:pt>
                <c:pt idx="5">
                  <c:v>-3.1984402025610006</c:v>
                </c:pt>
                <c:pt idx="6">
                  <c:v>-3.1200821789527216</c:v>
                </c:pt>
                <c:pt idx="7">
                  <c:v>-3.0417241553444421</c:v>
                </c:pt>
                <c:pt idx="8">
                  <c:v>-2.9633661317361626</c:v>
                </c:pt>
                <c:pt idx="9">
                  <c:v>-2.8850081081278836</c:v>
                </c:pt>
                <c:pt idx="10">
                  <c:v>-2.8066500845196041</c:v>
                </c:pt>
                <c:pt idx="11">
                  <c:v>-2.7282920609113246</c:v>
                </c:pt>
                <c:pt idx="12">
                  <c:v>-2.6499340373030451</c:v>
                </c:pt>
                <c:pt idx="13">
                  <c:v>-2.5715760136947656</c:v>
                </c:pt>
                <c:pt idx="14">
                  <c:v>-2.4932179900864866</c:v>
                </c:pt>
                <c:pt idx="15">
                  <c:v>-2.4148599664782071</c:v>
                </c:pt>
                <c:pt idx="16">
                  <c:v>-2.3365019428699276</c:v>
                </c:pt>
                <c:pt idx="17">
                  <c:v>-2.2581439192616486</c:v>
                </c:pt>
                <c:pt idx="18">
                  <c:v>-2.1797858956533691</c:v>
                </c:pt>
                <c:pt idx="19">
                  <c:v>-2.1014278720450896</c:v>
                </c:pt>
                <c:pt idx="20">
                  <c:v>-2.0230698484368101</c:v>
                </c:pt>
                <c:pt idx="21">
                  <c:v>-1.9447118248285309</c:v>
                </c:pt>
                <c:pt idx="22">
                  <c:v>-1.8663538012202516</c:v>
                </c:pt>
                <c:pt idx="23">
                  <c:v>-1.7879957776119721</c:v>
                </c:pt>
                <c:pt idx="24">
                  <c:v>-1.7096377540036927</c:v>
                </c:pt>
                <c:pt idx="25">
                  <c:v>-1.6312797303954132</c:v>
                </c:pt>
                <c:pt idx="26">
                  <c:v>-1.5529217067871341</c:v>
                </c:pt>
                <c:pt idx="27">
                  <c:v>-1.4745636831788547</c:v>
                </c:pt>
                <c:pt idx="28">
                  <c:v>-1.3962056595705752</c:v>
                </c:pt>
                <c:pt idx="29">
                  <c:v>-1.3178476359622961</c:v>
                </c:pt>
                <c:pt idx="30">
                  <c:v>-1.2394896123540167</c:v>
                </c:pt>
                <c:pt idx="31">
                  <c:v>-1.1611315887457372</c:v>
                </c:pt>
                <c:pt idx="32">
                  <c:v>-1.0827735651374577</c:v>
                </c:pt>
                <c:pt idx="33">
                  <c:v>-1.0044155415291782</c:v>
                </c:pt>
                <c:pt idx="34">
                  <c:v>-0.92605751792089919</c:v>
                </c:pt>
                <c:pt idx="35">
                  <c:v>-0.84769949431261971</c:v>
                </c:pt>
                <c:pt idx="36">
                  <c:v>-0.76934147070434022</c:v>
                </c:pt>
                <c:pt idx="37">
                  <c:v>-0.69098344709606119</c:v>
                </c:pt>
                <c:pt idx="38">
                  <c:v>-0.61262542348778171</c:v>
                </c:pt>
                <c:pt idx="39">
                  <c:v>-0.53426739987950222</c:v>
                </c:pt>
                <c:pt idx="40">
                  <c:v>-0.45590937627122274</c:v>
                </c:pt>
                <c:pt idx="41">
                  <c:v>-0.37755135266294326</c:v>
                </c:pt>
                <c:pt idx="42">
                  <c:v>-0.29919332905466423</c:v>
                </c:pt>
                <c:pt idx="43">
                  <c:v>-0.22083530544638474</c:v>
                </c:pt>
                <c:pt idx="44">
                  <c:v>-0.14247728183810526</c:v>
                </c:pt>
                <c:pt idx="45">
                  <c:v>-6.4119258229826226E-2</c:v>
                </c:pt>
                <c:pt idx="46">
                  <c:v>1.4238765378453255E-2</c:v>
                </c:pt>
                <c:pt idx="47">
                  <c:v>9.2596788986732737E-2</c:v>
                </c:pt>
                <c:pt idx="48">
                  <c:v>0.17095481259501222</c:v>
                </c:pt>
                <c:pt idx="49">
                  <c:v>0.2493128362032917</c:v>
                </c:pt>
                <c:pt idx="50">
                  <c:v>0.32767085981157074</c:v>
                </c:pt>
                <c:pt idx="51">
                  <c:v>0.40602888341985066</c:v>
                </c:pt>
                <c:pt idx="52">
                  <c:v>0.48438690702812925</c:v>
                </c:pt>
                <c:pt idx="53">
                  <c:v>0.56274493063640874</c:v>
                </c:pt>
                <c:pt idx="54">
                  <c:v>0.64110295424468822</c:v>
                </c:pt>
                <c:pt idx="55">
                  <c:v>0.7194609778529677</c:v>
                </c:pt>
                <c:pt idx="56">
                  <c:v>0.79781900146124718</c:v>
                </c:pt>
                <c:pt idx="57">
                  <c:v>0.87617702506952666</c:v>
                </c:pt>
                <c:pt idx="58">
                  <c:v>0.95453504867780614</c:v>
                </c:pt>
                <c:pt idx="59">
                  <c:v>1.0328930722860847</c:v>
                </c:pt>
                <c:pt idx="60">
                  <c:v>1.1112510958943642</c:v>
                </c:pt>
                <c:pt idx="61">
                  <c:v>1.1896091195026437</c:v>
                </c:pt>
                <c:pt idx="62">
                  <c:v>1.2679671431109232</c:v>
                </c:pt>
                <c:pt idx="63">
                  <c:v>1.3463251667192027</c:v>
                </c:pt>
                <c:pt idx="64">
                  <c:v>1.4246831903274821</c:v>
                </c:pt>
                <c:pt idx="65">
                  <c:v>1.5030412139357616</c:v>
                </c:pt>
                <c:pt idx="66">
                  <c:v>1.5813992375440411</c:v>
                </c:pt>
                <c:pt idx="67">
                  <c:v>1.6597572611523206</c:v>
                </c:pt>
                <c:pt idx="68">
                  <c:v>1.7381152847605992</c:v>
                </c:pt>
                <c:pt idx="69">
                  <c:v>1.8164733083688787</c:v>
                </c:pt>
                <c:pt idx="70">
                  <c:v>1.8948313319771581</c:v>
                </c:pt>
                <c:pt idx="71">
                  <c:v>1.9731893555854376</c:v>
                </c:pt>
                <c:pt idx="72">
                  <c:v>2.0515473791937171</c:v>
                </c:pt>
                <c:pt idx="73">
                  <c:v>2.1299054028019966</c:v>
                </c:pt>
                <c:pt idx="74">
                  <c:v>2.2082634264102761</c:v>
                </c:pt>
                <c:pt idx="75">
                  <c:v>2.2866214500185547</c:v>
                </c:pt>
                <c:pt idx="76">
                  <c:v>2.3649794736268341</c:v>
                </c:pt>
                <c:pt idx="77">
                  <c:v>2.4433374972351136</c:v>
                </c:pt>
                <c:pt idx="78">
                  <c:v>2.5216955208433931</c:v>
                </c:pt>
                <c:pt idx="79">
                  <c:v>2.6000535444516726</c:v>
                </c:pt>
                <c:pt idx="80">
                  <c:v>2.6784115680599521</c:v>
                </c:pt>
                <c:pt idx="81">
                  <c:v>2.7567695916682315</c:v>
                </c:pt>
                <c:pt idx="82">
                  <c:v>2.835127615276511</c:v>
                </c:pt>
                <c:pt idx="83">
                  <c:v>2.9134856388847905</c:v>
                </c:pt>
                <c:pt idx="84">
                  <c:v>2.9918436624930691</c:v>
                </c:pt>
                <c:pt idx="85">
                  <c:v>3.0702016861013486</c:v>
                </c:pt>
                <c:pt idx="86">
                  <c:v>3.1485597097096281</c:v>
                </c:pt>
                <c:pt idx="87">
                  <c:v>3.2269177333179075</c:v>
                </c:pt>
                <c:pt idx="88">
                  <c:v>3.305275756926187</c:v>
                </c:pt>
                <c:pt idx="89">
                  <c:v>3.3836337805344665</c:v>
                </c:pt>
                <c:pt idx="90">
                  <c:v>3.461991804142746</c:v>
                </c:pt>
                <c:pt idx="91">
                  <c:v>3.5403498277510246</c:v>
                </c:pt>
                <c:pt idx="92">
                  <c:v>3.6187078513593041</c:v>
                </c:pt>
                <c:pt idx="93">
                  <c:v>3.6970658749675835</c:v>
                </c:pt>
                <c:pt idx="94">
                  <c:v>3.775423898575863</c:v>
                </c:pt>
                <c:pt idx="95">
                  <c:v>3.8537819221841425</c:v>
                </c:pt>
                <c:pt idx="96">
                  <c:v>3.932139945792422</c:v>
                </c:pt>
                <c:pt idx="97">
                  <c:v>4.010497969400701</c:v>
                </c:pt>
                <c:pt idx="98">
                  <c:v>4.0888559930089805</c:v>
                </c:pt>
                <c:pt idx="99">
                  <c:v>4.16721401661726</c:v>
                </c:pt>
              </c:numCache>
            </c:numRef>
          </c:cat>
          <c:val>
            <c:numRef>
              <c:f>'Manual Monte Carlo'!$Y$13:$Y$113</c:f>
              <c:numCache>
                <c:formatCode>General</c:formatCode>
                <c:ptCount val="101"/>
                <c:pt idx="0">
                  <c:v>1</c:v>
                </c:pt>
                <c:pt idx="1">
                  <c:v>0</c:v>
                </c:pt>
                <c:pt idx="2">
                  <c:v>0</c:v>
                </c:pt>
                <c:pt idx="3">
                  <c:v>1</c:v>
                </c:pt>
                <c:pt idx="4">
                  <c:v>1</c:v>
                </c:pt>
                <c:pt idx="5">
                  <c:v>2</c:v>
                </c:pt>
                <c:pt idx="6">
                  <c:v>1</c:v>
                </c:pt>
                <c:pt idx="7">
                  <c:v>2</c:v>
                </c:pt>
                <c:pt idx="8">
                  <c:v>1</c:v>
                </c:pt>
                <c:pt idx="9">
                  <c:v>1</c:v>
                </c:pt>
                <c:pt idx="10">
                  <c:v>2</c:v>
                </c:pt>
                <c:pt idx="11">
                  <c:v>1</c:v>
                </c:pt>
                <c:pt idx="12">
                  <c:v>4</c:v>
                </c:pt>
                <c:pt idx="13">
                  <c:v>3</c:v>
                </c:pt>
                <c:pt idx="14">
                  <c:v>8</c:v>
                </c:pt>
                <c:pt idx="15">
                  <c:v>3</c:v>
                </c:pt>
                <c:pt idx="16">
                  <c:v>4</c:v>
                </c:pt>
                <c:pt idx="17">
                  <c:v>19</c:v>
                </c:pt>
                <c:pt idx="18">
                  <c:v>8</c:v>
                </c:pt>
                <c:pt idx="19">
                  <c:v>14</c:v>
                </c:pt>
                <c:pt idx="20">
                  <c:v>17</c:v>
                </c:pt>
                <c:pt idx="21">
                  <c:v>17</c:v>
                </c:pt>
                <c:pt idx="22">
                  <c:v>20</c:v>
                </c:pt>
                <c:pt idx="23">
                  <c:v>29</c:v>
                </c:pt>
                <c:pt idx="24">
                  <c:v>38</c:v>
                </c:pt>
                <c:pt idx="25">
                  <c:v>35</c:v>
                </c:pt>
                <c:pt idx="26">
                  <c:v>40</c:v>
                </c:pt>
                <c:pt idx="27">
                  <c:v>55</c:v>
                </c:pt>
                <c:pt idx="28">
                  <c:v>49</c:v>
                </c:pt>
                <c:pt idx="29">
                  <c:v>76</c:v>
                </c:pt>
                <c:pt idx="30">
                  <c:v>77</c:v>
                </c:pt>
                <c:pt idx="31">
                  <c:v>71</c:v>
                </c:pt>
                <c:pt idx="32">
                  <c:v>74</c:v>
                </c:pt>
                <c:pt idx="33">
                  <c:v>71</c:v>
                </c:pt>
                <c:pt idx="34">
                  <c:v>92</c:v>
                </c:pt>
                <c:pt idx="35">
                  <c:v>119</c:v>
                </c:pt>
                <c:pt idx="36">
                  <c:v>120</c:v>
                </c:pt>
                <c:pt idx="37">
                  <c:v>100</c:v>
                </c:pt>
                <c:pt idx="38">
                  <c:v>143</c:v>
                </c:pt>
                <c:pt idx="39">
                  <c:v>122</c:v>
                </c:pt>
                <c:pt idx="40">
                  <c:v>142</c:v>
                </c:pt>
                <c:pt idx="41">
                  <c:v>156</c:v>
                </c:pt>
                <c:pt idx="42">
                  <c:v>133</c:v>
                </c:pt>
                <c:pt idx="43">
                  <c:v>143</c:v>
                </c:pt>
                <c:pt idx="44">
                  <c:v>160</c:v>
                </c:pt>
                <c:pt idx="45">
                  <c:v>146</c:v>
                </c:pt>
                <c:pt idx="46">
                  <c:v>136</c:v>
                </c:pt>
                <c:pt idx="47">
                  <c:v>150</c:v>
                </c:pt>
                <c:pt idx="48">
                  <c:v>152</c:v>
                </c:pt>
                <c:pt idx="49">
                  <c:v>156</c:v>
                </c:pt>
                <c:pt idx="50">
                  <c:v>140</c:v>
                </c:pt>
                <c:pt idx="51">
                  <c:v>182</c:v>
                </c:pt>
                <c:pt idx="52">
                  <c:v>146</c:v>
                </c:pt>
                <c:pt idx="53">
                  <c:v>169</c:v>
                </c:pt>
                <c:pt idx="54">
                  <c:v>132</c:v>
                </c:pt>
                <c:pt idx="55">
                  <c:v>133</c:v>
                </c:pt>
                <c:pt idx="56">
                  <c:v>138</c:v>
                </c:pt>
                <c:pt idx="57">
                  <c:v>122</c:v>
                </c:pt>
                <c:pt idx="58">
                  <c:v>120</c:v>
                </c:pt>
                <c:pt idx="59">
                  <c:v>75</c:v>
                </c:pt>
                <c:pt idx="60">
                  <c:v>91</c:v>
                </c:pt>
                <c:pt idx="61">
                  <c:v>78</c:v>
                </c:pt>
                <c:pt idx="62">
                  <c:v>73</c:v>
                </c:pt>
                <c:pt idx="63">
                  <c:v>60</c:v>
                </c:pt>
                <c:pt idx="64">
                  <c:v>57</c:v>
                </c:pt>
                <c:pt idx="65">
                  <c:v>58</c:v>
                </c:pt>
                <c:pt idx="66">
                  <c:v>43</c:v>
                </c:pt>
                <c:pt idx="67">
                  <c:v>26</c:v>
                </c:pt>
                <c:pt idx="68">
                  <c:v>33</c:v>
                </c:pt>
                <c:pt idx="69">
                  <c:v>37</c:v>
                </c:pt>
                <c:pt idx="70">
                  <c:v>38</c:v>
                </c:pt>
                <c:pt idx="71">
                  <c:v>22</c:v>
                </c:pt>
                <c:pt idx="72">
                  <c:v>16</c:v>
                </c:pt>
                <c:pt idx="73">
                  <c:v>18</c:v>
                </c:pt>
                <c:pt idx="74">
                  <c:v>8</c:v>
                </c:pt>
                <c:pt idx="75">
                  <c:v>17</c:v>
                </c:pt>
                <c:pt idx="76">
                  <c:v>9</c:v>
                </c:pt>
                <c:pt idx="77">
                  <c:v>10</c:v>
                </c:pt>
                <c:pt idx="78">
                  <c:v>7</c:v>
                </c:pt>
                <c:pt idx="79">
                  <c:v>5</c:v>
                </c:pt>
                <c:pt idx="80">
                  <c:v>5</c:v>
                </c:pt>
                <c:pt idx="81">
                  <c:v>2</c:v>
                </c:pt>
                <c:pt idx="82">
                  <c:v>4</c:v>
                </c:pt>
                <c:pt idx="83">
                  <c:v>4</c:v>
                </c:pt>
                <c:pt idx="84">
                  <c:v>1</c:v>
                </c:pt>
                <c:pt idx="85">
                  <c:v>2</c:v>
                </c:pt>
                <c:pt idx="86">
                  <c:v>1</c:v>
                </c:pt>
                <c:pt idx="87">
                  <c:v>0</c:v>
                </c:pt>
                <c:pt idx="88">
                  <c:v>1</c:v>
                </c:pt>
                <c:pt idx="89">
                  <c:v>0</c:v>
                </c:pt>
                <c:pt idx="90">
                  <c:v>0</c:v>
                </c:pt>
                <c:pt idx="91">
                  <c:v>0</c:v>
                </c:pt>
                <c:pt idx="92">
                  <c:v>0</c:v>
                </c:pt>
                <c:pt idx="93">
                  <c:v>0</c:v>
                </c:pt>
                <c:pt idx="94">
                  <c:v>0</c:v>
                </c:pt>
                <c:pt idx="95">
                  <c:v>1</c:v>
                </c:pt>
                <c:pt idx="96">
                  <c:v>0</c:v>
                </c:pt>
                <c:pt idx="97">
                  <c:v>0</c:v>
                </c:pt>
                <c:pt idx="98">
                  <c:v>0</c:v>
                </c:pt>
                <c:pt idx="99">
                  <c:v>1</c:v>
                </c:pt>
                <c:pt idx="100">
                  <c:v>0</c:v>
                </c:pt>
              </c:numCache>
            </c:numRef>
          </c:val>
          <c:extLst>
            <c:ext xmlns:c16="http://schemas.microsoft.com/office/drawing/2014/chart" uri="{C3380CC4-5D6E-409C-BE32-E72D297353CC}">
              <c16:uniqueId val="{00000000-D107-4D99-897A-AE570D7D2587}"/>
            </c:ext>
          </c:extLst>
        </c:ser>
        <c:dLbls>
          <c:showLegendKey val="0"/>
          <c:showVal val="0"/>
          <c:showCatName val="0"/>
          <c:showSerName val="0"/>
          <c:showPercent val="0"/>
          <c:showBubbleSize val="0"/>
        </c:dLbls>
        <c:gapWidth val="0"/>
        <c:axId val="484965743"/>
        <c:axId val="484969583"/>
      </c:barChart>
      <c:catAx>
        <c:axId val="484965743"/>
        <c:scaling>
          <c:orientation val="minMax"/>
        </c:scaling>
        <c:delete val="0"/>
        <c:axPos val="b"/>
        <c:numFmt formatCode="#,##0.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9583"/>
        <c:crosses val="autoZero"/>
        <c:auto val="1"/>
        <c:lblAlgn val="ctr"/>
        <c:lblOffset val="100"/>
        <c:noMultiLvlLbl val="0"/>
      </c:catAx>
      <c:valAx>
        <c:axId val="48496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57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"X3"</c:v>
          </c:tx>
          <c:spPr>
            <a:solidFill>
              <a:srgbClr val="007A86"/>
            </a:solidFill>
            <a:ln>
              <a:noFill/>
            </a:ln>
            <a:effectLst/>
          </c:spPr>
          <c:invertIfNegative val="0"/>
          <c:cat>
            <c:numRef>
              <c:f>'Manual Monte Carlo'!$Z$13:$Z$112</c:f>
              <c:numCache>
                <c:formatCode>General</c:formatCode>
                <c:ptCount val="100"/>
                <c:pt idx="0">
                  <c:v>-3.2534991090631942</c:v>
                </c:pt>
                <c:pt idx="1">
                  <c:v>-3.1840482809410156</c:v>
                </c:pt>
                <c:pt idx="2">
                  <c:v>-3.1145974528188365</c:v>
                </c:pt>
                <c:pt idx="3">
                  <c:v>-3.0451466246966579</c:v>
                </c:pt>
                <c:pt idx="4">
                  <c:v>-2.9756957965744788</c:v>
                </c:pt>
                <c:pt idx="5">
                  <c:v>-2.9062449684523002</c:v>
                </c:pt>
                <c:pt idx="6">
                  <c:v>-2.8367941403301211</c:v>
                </c:pt>
                <c:pt idx="7">
                  <c:v>-2.7673433122079425</c:v>
                </c:pt>
                <c:pt idx="8">
                  <c:v>-2.6978924840857634</c:v>
                </c:pt>
                <c:pt idx="9">
                  <c:v>-2.6284416559635848</c:v>
                </c:pt>
                <c:pt idx="10">
                  <c:v>-2.5589908278414057</c:v>
                </c:pt>
                <c:pt idx="11">
                  <c:v>-2.4895399997192271</c:v>
                </c:pt>
                <c:pt idx="12">
                  <c:v>-2.4200891715970481</c:v>
                </c:pt>
                <c:pt idx="13">
                  <c:v>-2.350638343474869</c:v>
                </c:pt>
                <c:pt idx="14">
                  <c:v>-2.2811875153526904</c:v>
                </c:pt>
                <c:pt idx="15">
                  <c:v>-2.2117366872305118</c:v>
                </c:pt>
                <c:pt idx="16">
                  <c:v>-2.1422858591083327</c:v>
                </c:pt>
                <c:pt idx="17">
                  <c:v>-2.0728350309861536</c:v>
                </c:pt>
                <c:pt idx="18">
                  <c:v>-2.003384202863975</c:v>
                </c:pt>
                <c:pt idx="19">
                  <c:v>-1.9339333747417962</c:v>
                </c:pt>
                <c:pt idx="20">
                  <c:v>-1.8644825466196173</c:v>
                </c:pt>
                <c:pt idx="21">
                  <c:v>-1.7950317184974385</c:v>
                </c:pt>
                <c:pt idx="22">
                  <c:v>-1.7255808903752596</c:v>
                </c:pt>
                <c:pt idx="23">
                  <c:v>-1.6561300622530806</c:v>
                </c:pt>
                <c:pt idx="24">
                  <c:v>-1.5866792341309017</c:v>
                </c:pt>
                <c:pt idx="25">
                  <c:v>-1.5172284060087229</c:v>
                </c:pt>
                <c:pt idx="26">
                  <c:v>-1.447777577886544</c:v>
                </c:pt>
                <c:pt idx="27">
                  <c:v>-1.3783267497643652</c:v>
                </c:pt>
                <c:pt idx="28">
                  <c:v>-1.3088759216421866</c:v>
                </c:pt>
                <c:pt idx="29">
                  <c:v>-1.2394250935200075</c:v>
                </c:pt>
                <c:pt idx="30">
                  <c:v>-1.1699742653978289</c:v>
                </c:pt>
                <c:pt idx="31">
                  <c:v>-1.1005234372756498</c:v>
                </c:pt>
                <c:pt idx="32">
                  <c:v>-1.0310726091534708</c:v>
                </c:pt>
                <c:pt idx="33">
                  <c:v>-0.96162178103129214</c:v>
                </c:pt>
                <c:pt idx="34">
                  <c:v>-0.89217095290911308</c:v>
                </c:pt>
                <c:pt idx="35">
                  <c:v>-0.82272012478693446</c:v>
                </c:pt>
                <c:pt idx="36">
                  <c:v>-0.75326929666475539</c:v>
                </c:pt>
                <c:pt idx="37">
                  <c:v>-0.68381846854257677</c:v>
                </c:pt>
                <c:pt idx="38">
                  <c:v>-0.61436764042039771</c:v>
                </c:pt>
                <c:pt idx="39">
                  <c:v>-0.54491681229821909</c:v>
                </c:pt>
                <c:pt idx="40">
                  <c:v>-0.47546598417604002</c:v>
                </c:pt>
                <c:pt idx="41">
                  <c:v>-0.4060151560538614</c:v>
                </c:pt>
                <c:pt idx="42">
                  <c:v>-0.33656432793168234</c:v>
                </c:pt>
                <c:pt idx="43">
                  <c:v>-0.26711349980950372</c:v>
                </c:pt>
                <c:pt idx="44">
                  <c:v>-0.19766267168732465</c:v>
                </c:pt>
                <c:pt idx="45">
                  <c:v>-0.12821184356514603</c:v>
                </c:pt>
                <c:pt idx="46">
                  <c:v>-5.8761015442966968E-2</c:v>
                </c:pt>
                <c:pt idx="47">
                  <c:v>1.0689812679212096E-2</c:v>
                </c:pt>
                <c:pt idx="48">
                  <c:v>8.0140640801390717E-2</c:v>
                </c:pt>
                <c:pt idx="49">
                  <c:v>0.14959146892356978</c:v>
                </c:pt>
                <c:pt idx="50">
                  <c:v>0.2190422970457484</c:v>
                </c:pt>
                <c:pt idx="51">
                  <c:v>0.28849312516792747</c:v>
                </c:pt>
                <c:pt idx="52">
                  <c:v>0.35794395329010609</c:v>
                </c:pt>
                <c:pt idx="53">
                  <c:v>0.42739478141228515</c:v>
                </c:pt>
                <c:pt idx="54">
                  <c:v>0.49684560953446377</c:v>
                </c:pt>
                <c:pt idx="55">
                  <c:v>0.56629643765664284</c:v>
                </c:pt>
                <c:pt idx="56">
                  <c:v>0.63574726577882146</c:v>
                </c:pt>
                <c:pt idx="57">
                  <c:v>0.70519809390100008</c:v>
                </c:pt>
                <c:pt idx="58">
                  <c:v>0.77464892202317959</c:v>
                </c:pt>
                <c:pt idx="59">
                  <c:v>0.84409975014535821</c:v>
                </c:pt>
                <c:pt idx="60">
                  <c:v>0.91355057826753683</c:v>
                </c:pt>
                <c:pt idx="61">
                  <c:v>0.98300140638971545</c:v>
                </c:pt>
                <c:pt idx="62">
                  <c:v>1.052452234511895</c:v>
                </c:pt>
                <c:pt idx="63">
                  <c:v>1.1219030626340736</c:v>
                </c:pt>
                <c:pt idx="64">
                  <c:v>1.1913538907562522</c:v>
                </c:pt>
                <c:pt idx="65">
                  <c:v>1.2608047188784317</c:v>
                </c:pt>
                <c:pt idx="66">
                  <c:v>1.3302555470006103</c:v>
                </c:pt>
                <c:pt idx="67">
                  <c:v>1.3997063751227889</c:v>
                </c:pt>
                <c:pt idx="68">
                  <c:v>1.4691572032449676</c:v>
                </c:pt>
                <c:pt idx="69">
                  <c:v>1.5386080313671471</c:v>
                </c:pt>
                <c:pt idx="70">
                  <c:v>1.6080588594893257</c:v>
                </c:pt>
                <c:pt idx="71">
                  <c:v>1.6775096876115043</c:v>
                </c:pt>
                <c:pt idx="72">
                  <c:v>1.7469605157336829</c:v>
                </c:pt>
                <c:pt idx="73">
                  <c:v>1.8164113438558624</c:v>
                </c:pt>
                <c:pt idx="74">
                  <c:v>1.8858621719780411</c:v>
                </c:pt>
                <c:pt idx="75">
                  <c:v>1.9553130001002197</c:v>
                </c:pt>
                <c:pt idx="76">
                  <c:v>2.0247638282223983</c:v>
                </c:pt>
                <c:pt idx="77">
                  <c:v>2.0942146563445778</c:v>
                </c:pt>
                <c:pt idx="78">
                  <c:v>2.1636654844667564</c:v>
                </c:pt>
                <c:pt idx="79">
                  <c:v>2.2331163125889351</c:v>
                </c:pt>
                <c:pt idx="80">
                  <c:v>2.3025671407111146</c:v>
                </c:pt>
                <c:pt idx="81">
                  <c:v>2.3720179688332932</c:v>
                </c:pt>
                <c:pt idx="82">
                  <c:v>2.4414687969554718</c:v>
                </c:pt>
                <c:pt idx="83">
                  <c:v>2.5109196250776504</c:v>
                </c:pt>
                <c:pt idx="84">
                  <c:v>2.5803704531998299</c:v>
                </c:pt>
                <c:pt idx="85">
                  <c:v>2.6498212813220086</c:v>
                </c:pt>
                <c:pt idx="86">
                  <c:v>2.7192721094441872</c:v>
                </c:pt>
                <c:pt idx="87">
                  <c:v>2.7887229375663658</c:v>
                </c:pt>
                <c:pt idx="88">
                  <c:v>2.8581737656885453</c:v>
                </c:pt>
                <c:pt idx="89">
                  <c:v>2.9276245938107239</c:v>
                </c:pt>
                <c:pt idx="90">
                  <c:v>2.9970754219329026</c:v>
                </c:pt>
                <c:pt idx="91">
                  <c:v>3.0665262500550812</c:v>
                </c:pt>
                <c:pt idx="92">
                  <c:v>3.1359770781772607</c:v>
                </c:pt>
                <c:pt idx="93">
                  <c:v>3.2054279062994393</c:v>
                </c:pt>
                <c:pt idx="94">
                  <c:v>3.2748787344216179</c:v>
                </c:pt>
                <c:pt idx="95">
                  <c:v>3.3443295625437974</c:v>
                </c:pt>
                <c:pt idx="96">
                  <c:v>3.4137803906659761</c:v>
                </c:pt>
                <c:pt idx="97">
                  <c:v>3.4832312187881547</c:v>
                </c:pt>
                <c:pt idx="98">
                  <c:v>3.5526820469103333</c:v>
                </c:pt>
                <c:pt idx="99">
                  <c:v>3.6221328750325128</c:v>
                </c:pt>
              </c:numCache>
            </c:numRef>
          </c:cat>
          <c:val>
            <c:numRef>
              <c:f>'Manual Monte Carlo'!$AA$13:$AA$113</c:f>
              <c:numCache>
                <c:formatCode>General</c:formatCode>
                <c:ptCount val="101"/>
                <c:pt idx="0">
                  <c:v>2</c:v>
                </c:pt>
                <c:pt idx="1">
                  <c:v>0</c:v>
                </c:pt>
                <c:pt idx="2">
                  <c:v>0</c:v>
                </c:pt>
                <c:pt idx="3">
                  <c:v>1</c:v>
                </c:pt>
                <c:pt idx="4">
                  <c:v>1</c:v>
                </c:pt>
                <c:pt idx="5">
                  <c:v>2</c:v>
                </c:pt>
                <c:pt idx="6">
                  <c:v>2</c:v>
                </c:pt>
                <c:pt idx="7">
                  <c:v>4</c:v>
                </c:pt>
                <c:pt idx="8">
                  <c:v>3</c:v>
                </c:pt>
                <c:pt idx="9">
                  <c:v>3</c:v>
                </c:pt>
                <c:pt idx="10">
                  <c:v>8</c:v>
                </c:pt>
                <c:pt idx="11">
                  <c:v>3</c:v>
                </c:pt>
                <c:pt idx="12">
                  <c:v>3</c:v>
                </c:pt>
                <c:pt idx="13">
                  <c:v>9</c:v>
                </c:pt>
                <c:pt idx="14">
                  <c:v>10</c:v>
                </c:pt>
                <c:pt idx="15">
                  <c:v>10</c:v>
                </c:pt>
                <c:pt idx="16">
                  <c:v>11</c:v>
                </c:pt>
                <c:pt idx="17">
                  <c:v>18</c:v>
                </c:pt>
                <c:pt idx="18">
                  <c:v>24</c:v>
                </c:pt>
                <c:pt idx="19">
                  <c:v>19</c:v>
                </c:pt>
                <c:pt idx="20">
                  <c:v>27</c:v>
                </c:pt>
                <c:pt idx="21">
                  <c:v>17</c:v>
                </c:pt>
                <c:pt idx="22">
                  <c:v>29</c:v>
                </c:pt>
                <c:pt idx="23">
                  <c:v>20</c:v>
                </c:pt>
                <c:pt idx="24">
                  <c:v>39</c:v>
                </c:pt>
                <c:pt idx="25">
                  <c:v>44</c:v>
                </c:pt>
                <c:pt idx="26">
                  <c:v>32</c:v>
                </c:pt>
                <c:pt idx="27">
                  <c:v>52</c:v>
                </c:pt>
                <c:pt idx="28">
                  <c:v>51</c:v>
                </c:pt>
                <c:pt idx="29">
                  <c:v>64</c:v>
                </c:pt>
                <c:pt idx="30">
                  <c:v>63</c:v>
                </c:pt>
                <c:pt idx="31">
                  <c:v>71</c:v>
                </c:pt>
                <c:pt idx="32">
                  <c:v>73</c:v>
                </c:pt>
                <c:pt idx="33">
                  <c:v>75</c:v>
                </c:pt>
                <c:pt idx="34">
                  <c:v>87</c:v>
                </c:pt>
                <c:pt idx="35">
                  <c:v>90</c:v>
                </c:pt>
                <c:pt idx="36">
                  <c:v>103</c:v>
                </c:pt>
                <c:pt idx="37">
                  <c:v>101</c:v>
                </c:pt>
                <c:pt idx="38">
                  <c:v>98</c:v>
                </c:pt>
                <c:pt idx="39">
                  <c:v>116</c:v>
                </c:pt>
                <c:pt idx="40">
                  <c:v>144</c:v>
                </c:pt>
                <c:pt idx="41">
                  <c:v>134</c:v>
                </c:pt>
                <c:pt idx="42">
                  <c:v>118</c:v>
                </c:pt>
                <c:pt idx="43">
                  <c:v>109</c:v>
                </c:pt>
                <c:pt idx="44">
                  <c:v>138</c:v>
                </c:pt>
                <c:pt idx="45">
                  <c:v>130</c:v>
                </c:pt>
                <c:pt idx="46">
                  <c:v>146</c:v>
                </c:pt>
                <c:pt idx="47">
                  <c:v>146</c:v>
                </c:pt>
                <c:pt idx="48">
                  <c:v>161</c:v>
                </c:pt>
                <c:pt idx="49">
                  <c:v>153</c:v>
                </c:pt>
                <c:pt idx="50">
                  <c:v>126</c:v>
                </c:pt>
                <c:pt idx="51">
                  <c:v>154</c:v>
                </c:pt>
                <c:pt idx="52">
                  <c:v>128</c:v>
                </c:pt>
                <c:pt idx="53">
                  <c:v>136</c:v>
                </c:pt>
                <c:pt idx="54">
                  <c:v>118</c:v>
                </c:pt>
                <c:pt idx="55">
                  <c:v>128</c:v>
                </c:pt>
                <c:pt idx="56">
                  <c:v>123</c:v>
                </c:pt>
                <c:pt idx="57">
                  <c:v>105</c:v>
                </c:pt>
                <c:pt idx="58">
                  <c:v>120</c:v>
                </c:pt>
                <c:pt idx="59">
                  <c:v>106</c:v>
                </c:pt>
                <c:pt idx="60">
                  <c:v>80</c:v>
                </c:pt>
                <c:pt idx="61">
                  <c:v>76</c:v>
                </c:pt>
                <c:pt idx="62">
                  <c:v>71</c:v>
                </c:pt>
                <c:pt idx="63">
                  <c:v>75</c:v>
                </c:pt>
                <c:pt idx="64">
                  <c:v>61</c:v>
                </c:pt>
                <c:pt idx="65">
                  <c:v>68</c:v>
                </c:pt>
                <c:pt idx="66">
                  <c:v>70</c:v>
                </c:pt>
                <c:pt idx="67">
                  <c:v>66</c:v>
                </c:pt>
                <c:pt idx="68">
                  <c:v>56</c:v>
                </c:pt>
                <c:pt idx="69">
                  <c:v>52</c:v>
                </c:pt>
                <c:pt idx="70">
                  <c:v>27</c:v>
                </c:pt>
                <c:pt idx="71">
                  <c:v>32</c:v>
                </c:pt>
                <c:pt idx="72">
                  <c:v>32</c:v>
                </c:pt>
                <c:pt idx="73">
                  <c:v>34</c:v>
                </c:pt>
                <c:pt idx="74">
                  <c:v>31</c:v>
                </c:pt>
                <c:pt idx="75">
                  <c:v>24</c:v>
                </c:pt>
                <c:pt idx="76">
                  <c:v>19</c:v>
                </c:pt>
                <c:pt idx="77">
                  <c:v>23</c:v>
                </c:pt>
                <c:pt idx="78">
                  <c:v>18</c:v>
                </c:pt>
                <c:pt idx="79">
                  <c:v>12</c:v>
                </c:pt>
                <c:pt idx="80">
                  <c:v>15</c:v>
                </c:pt>
                <c:pt idx="81">
                  <c:v>15</c:v>
                </c:pt>
                <c:pt idx="82">
                  <c:v>1</c:v>
                </c:pt>
                <c:pt idx="83">
                  <c:v>7</c:v>
                </c:pt>
                <c:pt idx="84">
                  <c:v>5</c:v>
                </c:pt>
                <c:pt idx="85">
                  <c:v>3</c:v>
                </c:pt>
                <c:pt idx="86">
                  <c:v>3</c:v>
                </c:pt>
                <c:pt idx="87">
                  <c:v>5</c:v>
                </c:pt>
                <c:pt idx="88">
                  <c:v>2</c:v>
                </c:pt>
                <c:pt idx="89">
                  <c:v>2</c:v>
                </c:pt>
                <c:pt idx="90">
                  <c:v>1</c:v>
                </c:pt>
                <c:pt idx="91">
                  <c:v>0</c:v>
                </c:pt>
                <c:pt idx="92">
                  <c:v>3</c:v>
                </c:pt>
                <c:pt idx="93">
                  <c:v>0</c:v>
                </c:pt>
                <c:pt idx="94">
                  <c:v>0</c:v>
                </c:pt>
                <c:pt idx="95">
                  <c:v>0</c:v>
                </c:pt>
                <c:pt idx="96">
                  <c:v>1</c:v>
                </c:pt>
                <c:pt idx="97">
                  <c:v>1</c:v>
                </c:pt>
                <c:pt idx="98">
                  <c:v>0</c:v>
                </c:pt>
                <c:pt idx="99">
                  <c:v>1</c:v>
                </c:pt>
                <c:pt idx="100">
                  <c:v>0</c:v>
                </c:pt>
              </c:numCache>
            </c:numRef>
          </c:val>
          <c:extLst>
            <c:ext xmlns:c16="http://schemas.microsoft.com/office/drawing/2014/chart" uri="{C3380CC4-5D6E-409C-BE32-E72D297353CC}">
              <c16:uniqueId val="{00000000-6C4E-43B2-9E5F-ECBBC191CCE8}"/>
            </c:ext>
          </c:extLst>
        </c:ser>
        <c:dLbls>
          <c:showLegendKey val="0"/>
          <c:showVal val="0"/>
          <c:showCatName val="0"/>
          <c:showSerName val="0"/>
          <c:showPercent val="0"/>
          <c:showBubbleSize val="0"/>
        </c:dLbls>
        <c:gapWidth val="0"/>
        <c:axId val="484965743"/>
        <c:axId val="484969583"/>
      </c:barChart>
      <c:catAx>
        <c:axId val="484965743"/>
        <c:scaling>
          <c:orientation val="minMax"/>
        </c:scaling>
        <c:delete val="0"/>
        <c:axPos val="b"/>
        <c:numFmt formatCode="#,##0.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9583"/>
        <c:crosses val="autoZero"/>
        <c:auto val="1"/>
        <c:lblAlgn val="ctr"/>
        <c:lblOffset val="100"/>
        <c:noMultiLvlLbl val="0"/>
      </c:catAx>
      <c:valAx>
        <c:axId val="48496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57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F(X, Y, 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"Combined"</c:v>
          </c:tx>
          <c:spPr>
            <a:solidFill>
              <a:srgbClr val="007A86"/>
            </a:solidFill>
            <a:ln>
              <a:noFill/>
            </a:ln>
            <a:effectLst/>
          </c:spPr>
          <c:invertIfNegative val="0"/>
          <c:cat>
            <c:numRef>
              <c:f>'Manual Monte Carlo'!$AB$13:$AB$112</c:f>
              <c:numCache>
                <c:formatCode>General</c:formatCode>
                <c:ptCount val="100"/>
                <c:pt idx="0">
                  <c:v>0.21083497534164078</c:v>
                </c:pt>
                <c:pt idx="1">
                  <c:v>0.41299251522419289</c:v>
                </c:pt>
                <c:pt idx="2">
                  <c:v>0.61515005510674503</c:v>
                </c:pt>
                <c:pt idx="3">
                  <c:v>0.81730759498929717</c:v>
                </c:pt>
                <c:pt idx="4">
                  <c:v>1.0194651348718491</c:v>
                </c:pt>
                <c:pt idx="5">
                  <c:v>1.2216226747544012</c:v>
                </c:pt>
                <c:pt idx="6">
                  <c:v>1.4237802146369534</c:v>
                </c:pt>
                <c:pt idx="7">
                  <c:v>1.6259377545195055</c:v>
                </c:pt>
                <c:pt idx="8">
                  <c:v>1.8280952944020576</c:v>
                </c:pt>
                <c:pt idx="9">
                  <c:v>2.0302528342846098</c:v>
                </c:pt>
                <c:pt idx="10">
                  <c:v>2.2324103741671619</c:v>
                </c:pt>
                <c:pt idx="11">
                  <c:v>2.4345679140497141</c:v>
                </c:pt>
                <c:pt idx="12">
                  <c:v>2.6367254539322662</c:v>
                </c:pt>
                <c:pt idx="13">
                  <c:v>2.8388829938148183</c:v>
                </c:pt>
                <c:pt idx="14">
                  <c:v>3.0410405336973705</c:v>
                </c:pt>
                <c:pt idx="15">
                  <c:v>3.2431980735799226</c:v>
                </c:pt>
                <c:pt idx="16">
                  <c:v>3.4453556134624748</c:v>
                </c:pt>
                <c:pt idx="17">
                  <c:v>3.6475131533450269</c:v>
                </c:pt>
                <c:pt idx="18">
                  <c:v>3.849670693227579</c:v>
                </c:pt>
                <c:pt idx="19">
                  <c:v>4.0518282331101307</c:v>
                </c:pt>
                <c:pt idx="20">
                  <c:v>4.2539857729926833</c:v>
                </c:pt>
                <c:pt idx="21">
                  <c:v>4.456143312875235</c:v>
                </c:pt>
                <c:pt idx="22">
                  <c:v>4.6583008527577876</c:v>
                </c:pt>
                <c:pt idx="23">
                  <c:v>4.8604583926403393</c:v>
                </c:pt>
                <c:pt idx="24">
                  <c:v>5.0626159325228919</c:v>
                </c:pt>
                <c:pt idx="25">
                  <c:v>5.2647734724054436</c:v>
                </c:pt>
                <c:pt idx="26">
                  <c:v>5.4669310122879962</c:v>
                </c:pt>
                <c:pt idx="27">
                  <c:v>5.6690885521705479</c:v>
                </c:pt>
                <c:pt idx="28">
                  <c:v>5.8712460920531004</c:v>
                </c:pt>
                <c:pt idx="29">
                  <c:v>6.0734036319356521</c:v>
                </c:pt>
                <c:pt idx="30">
                  <c:v>6.2755611718182047</c:v>
                </c:pt>
                <c:pt idx="31">
                  <c:v>6.4777187117007564</c:v>
                </c:pt>
                <c:pt idx="32">
                  <c:v>6.6798762515833081</c:v>
                </c:pt>
                <c:pt idx="33">
                  <c:v>6.8820337914658607</c:v>
                </c:pt>
                <c:pt idx="34">
                  <c:v>7.0841913313484124</c:v>
                </c:pt>
                <c:pt idx="35">
                  <c:v>7.286348871230965</c:v>
                </c:pt>
                <c:pt idx="36">
                  <c:v>7.4885064111135167</c:v>
                </c:pt>
                <c:pt idx="37">
                  <c:v>7.6906639509960693</c:v>
                </c:pt>
                <c:pt idx="38">
                  <c:v>7.8928214908786209</c:v>
                </c:pt>
                <c:pt idx="39">
                  <c:v>8.0949790307611718</c:v>
                </c:pt>
                <c:pt idx="40">
                  <c:v>8.2971365706437243</c:v>
                </c:pt>
                <c:pt idx="41">
                  <c:v>8.4992941105262769</c:v>
                </c:pt>
                <c:pt idx="42">
                  <c:v>8.7014516504088295</c:v>
                </c:pt>
                <c:pt idx="43">
                  <c:v>8.9036091902913803</c:v>
                </c:pt>
                <c:pt idx="44">
                  <c:v>9.1057667301739329</c:v>
                </c:pt>
                <c:pt idx="45">
                  <c:v>9.3079242700564855</c:v>
                </c:pt>
                <c:pt idx="46">
                  <c:v>9.5100818099390381</c:v>
                </c:pt>
                <c:pt idx="47">
                  <c:v>9.7122393498215889</c:v>
                </c:pt>
                <c:pt idx="48">
                  <c:v>9.9143968897041415</c:v>
                </c:pt>
                <c:pt idx="49">
                  <c:v>10.116554429586694</c:v>
                </c:pt>
                <c:pt idx="50">
                  <c:v>10.318711969469245</c:v>
                </c:pt>
                <c:pt idx="51">
                  <c:v>10.520869509351797</c:v>
                </c:pt>
                <c:pt idx="52">
                  <c:v>10.72302704923435</c:v>
                </c:pt>
                <c:pt idx="53">
                  <c:v>10.925184589116903</c:v>
                </c:pt>
                <c:pt idx="54">
                  <c:v>11.127342128999453</c:v>
                </c:pt>
                <c:pt idx="55">
                  <c:v>11.329499668882006</c:v>
                </c:pt>
                <c:pt idx="56">
                  <c:v>11.531657208764559</c:v>
                </c:pt>
                <c:pt idx="57">
                  <c:v>11.733814748647111</c:v>
                </c:pt>
                <c:pt idx="58">
                  <c:v>11.935972288529662</c:v>
                </c:pt>
                <c:pt idx="59">
                  <c:v>12.138129828412215</c:v>
                </c:pt>
                <c:pt idx="60">
                  <c:v>12.340287368294767</c:v>
                </c:pt>
                <c:pt idx="61">
                  <c:v>12.54244490817732</c:v>
                </c:pt>
                <c:pt idx="62">
                  <c:v>12.744602448059871</c:v>
                </c:pt>
                <c:pt idx="63">
                  <c:v>12.946759987942423</c:v>
                </c:pt>
                <c:pt idx="64">
                  <c:v>13.148917527824976</c:v>
                </c:pt>
                <c:pt idx="65">
                  <c:v>13.351075067707527</c:v>
                </c:pt>
                <c:pt idx="66">
                  <c:v>13.553232607590079</c:v>
                </c:pt>
                <c:pt idx="67">
                  <c:v>13.755390147472632</c:v>
                </c:pt>
                <c:pt idx="68">
                  <c:v>13.957547687355184</c:v>
                </c:pt>
                <c:pt idx="69">
                  <c:v>14.159705227237735</c:v>
                </c:pt>
                <c:pt idx="70">
                  <c:v>14.361862767120288</c:v>
                </c:pt>
                <c:pt idx="71">
                  <c:v>14.56402030700284</c:v>
                </c:pt>
                <c:pt idx="72">
                  <c:v>14.766177846885393</c:v>
                </c:pt>
                <c:pt idx="73">
                  <c:v>14.968335386767944</c:v>
                </c:pt>
                <c:pt idx="74">
                  <c:v>15.170492926650496</c:v>
                </c:pt>
                <c:pt idx="75">
                  <c:v>15.372650466533049</c:v>
                </c:pt>
                <c:pt idx="76">
                  <c:v>15.574808006415601</c:v>
                </c:pt>
                <c:pt idx="77">
                  <c:v>15.776965546298152</c:v>
                </c:pt>
                <c:pt idx="78">
                  <c:v>15.979123086180705</c:v>
                </c:pt>
                <c:pt idx="79">
                  <c:v>16.181280626063256</c:v>
                </c:pt>
                <c:pt idx="80">
                  <c:v>16.383438165945808</c:v>
                </c:pt>
                <c:pt idx="81">
                  <c:v>16.585595705828361</c:v>
                </c:pt>
                <c:pt idx="82">
                  <c:v>16.787753245710913</c:v>
                </c:pt>
                <c:pt idx="83">
                  <c:v>16.989910785593466</c:v>
                </c:pt>
                <c:pt idx="84">
                  <c:v>17.192068325476018</c:v>
                </c:pt>
                <c:pt idx="85">
                  <c:v>17.394225865358571</c:v>
                </c:pt>
                <c:pt idx="86">
                  <c:v>17.59638340524112</c:v>
                </c:pt>
                <c:pt idx="87">
                  <c:v>17.798540945123673</c:v>
                </c:pt>
                <c:pt idx="88">
                  <c:v>18.000698485006225</c:v>
                </c:pt>
                <c:pt idx="89">
                  <c:v>18.202856024888778</c:v>
                </c:pt>
                <c:pt idx="90">
                  <c:v>18.40501356477133</c:v>
                </c:pt>
                <c:pt idx="91">
                  <c:v>18.607171104653883</c:v>
                </c:pt>
                <c:pt idx="92">
                  <c:v>18.809328644536436</c:v>
                </c:pt>
                <c:pt idx="93">
                  <c:v>19.011486184418988</c:v>
                </c:pt>
                <c:pt idx="94">
                  <c:v>19.213643724301537</c:v>
                </c:pt>
                <c:pt idx="95">
                  <c:v>19.41580126418409</c:v>
                </c:pt>
                <c:pt idx="96">
                  <c:v>19.617958804066642</c:v>
                </c:pt>
                <c:pt idx="97">
                  <c:v>19.820116343949195</c:v>
                </c:pt>
                <c:pt idx="98">
                  <c:v>20.022273883831748</c:v>
                </c:pt>
                <c:pt idx="99">
                  <c:v>20.2244314237143</c:v>
                </c:pt>
              </c:numCache>
            </c:numRef>
          </c:cat>
          <c:val>
            <c:numRef>
              <c:f>'Manual Monte Carlo'!$AC$13:$AC$113</c:f>
              <c:numCache>
                <c:formatCode>General</c:formatCode>
                <c:ptCount val="101"/>
                <c:pt idx="0">
                  <c:v>120</c:v>
                </c:pt>
                <c:pt idx="1">
                  <c:v>192</c:v>
                </c:pt>
                <c:pt idx="2">
                  <c:v>231</c:v>
                </c:pt>
                <c:pt idx="3">
                  <c:v>277</c:v>
                </c:pt>
                <c:pt idx="4">
                  <c:v>245</c:v>
                </c:pt>
                <c:pt idx="5">
                  <c:v>257</c:v>
                </c:pt>
                <c:pt idx="6">
                  <c:v>222</c:v>
                </c:pt>
                <c:pt idx="7">
                  <c:v>252</c:v>
                </c:pt>
                <c:pt idx="8">
                  <c:v>186</c:v>
                </c:pt>
                <c:pt idx="9">
                  <c:v>206</c:v>
                </c:pt>
                <c:pt idx="10">
                  <c:v>200</c:v>
                </c:pt>
                <c:pt idx="11">
                  <c:v>207</c:v>
                </c:pt>
                <c:pt idx="12">
                  <c:v>178</c:v>
                </c:pt>
                <c:pt idx="13">
                  <c:v>174</c:v>
                </c:pt>
                <c:pt idx="14">
                  <c:v>131</c:v>
                </c:pt>
                <c:pt idx="15">
                  <c:v>135</c:v>
                </c:pt>
                <c:pt idx="16">
                  <c:v>137</c:v>
                </c:pt>
                <c:pt idx="17">
                  <c:v>135</c:v>
                </c:pt>
                <c:pt idx="18">
                  <c:v>128</c:v>
                </c:pt>
                <c:pt idx="19">
                  <c:v>109</c:v>
                </c:pt>
                <c:pt idx="20">
                  <c:v>111</c:v>
                </c:pt>
                <c:pt idx="21">
                  <c:v>113</c:v>
                </c:pt>
                <c:pt idx="22">
                  <c:v>85</c:v>
                </c:pt>
                <c:pt idx="23">
                  <c:v>84</c:v>
                </c:pt>
                <c:pt idx="24">
                  <c:v>76</c:v>
                </c:pt>
                <c:pt idx="25">
                  <c:v>68</c:v>
                </c:pt>
                <c:pt idx="26">
                  <c:v>62</c:v>
                </c:pt>
                <c:pt idx="27">
                  <c:v>60</c:v>
                </c:pt>
                <c:pt idx="28">
                  <c:v>67</c:v>
                </c:pt>
                <c:pt idx="29">
                  <c:v>54</c:v>
                </c:pt>
                <c:pt idx="30">
                  <c:v>40</c:v>
                </c:pt>
                <c:pt idx="31">
                  <c:v>46</c:v>
                </c:pt>
                <c:pt idx="32">
                  <c:v>41</c:v>
                </c:pt>
                <c:pt idx="33">
                  <c:v>38</c:v>
                </c:pt>
                <c:pt idx="34">
                  <c:v>29</c:v>
                </c:pt>
                <c:pt idx="35">
                  <c:v>31</c:v>
                </c:pt>
                <c:pt idx="36">
                  <c:v>15</c:v>
                </c:pt>
                <c:pt idx="37">
                  <c:v>24</c:v>
                </c:pt>
                <c:pt idx="38">
                  <c:v>19</c:v>
                </c:pt>
                <c:pt idx="39">
                  <c:v>18</c:v>
                </c:pt>
                <c:pt idx="40">
                  <c:v>13</c:v>
                </c:pt>
                <c:pt idx="41">
                  <c:v>17</c:v>
                </c:pt>
                <c:pt idx="42">
                  <c:v>15</c:v>
                </c:pt>
                <c:pt idx="43">
                  <c:v>13</c:v>
                </c:pt>
                <c:pt idx="44">
                  <c:v>15</c:v>
                </c:pt>
                <c:pt idx="45">
                  <c:v>11</c:v>
                </c:pt>
                <c:pt idx="46">
                  <c:v>9</c:v>
                </c:pt>
                <c:pt idx="47">
                  <c:v>9</c:v>
                </c:pt>
                <c:pt idx="48">
                  <c:v>10</c:v>
                </c:pt>
                <c:pt idx="49">
                  <c:v>8</c:v>
                </c:pt>
                <c:pt idx="50">
                  <c:v>6</c:v>
                </c:pt>
                <c:pt idx="51">
                  <c:v>12</c:v>
                </c:pt>
                <c:pt idx="52">
                  <c:v>6</c:v>
                </c:pt>
                <c:pt idx="53">
                  <c:v>8</c:v>
                </c:pt>
                <c:pt idx="54">
                  <c:v>5</c:v>
                </c:pt>
                <c:pt idx="55">
                  <c:v>2</c:v>
                </c:pt>
                <c:pt idx="56">
                  <c:v>4</c:v>
                </c:pt>
                <c:pt idx="57">
                  <c:v>5</c:v>
                </c:pt>
                <c:pt idx="58">
                  <c:v>2</c:v>
                </c:pt>
                <c:pt idx="59">
                  <c:v>3</c:v>
                </c:pt>
                <c:pt idx="60">
                  <c:v>1</c:v>
                </c:pt>
                <c:pt idx="61">
                  <c:v>0</c:v>
                </c:pt>
                <c:pt idx="62">
                  <c:v>0</c:v>
                </c:pt>
                <c:pt idx="63">
                  <c:v>3</c:v>
                </c:pt>
                <c:pt idx="64">
                  <c:v>2</c:v>
                </c:pt>
                <c:pt idx="65">
                  <c:v>0</c:v>
                </c:pt>
                <c:pt idx="66">
                  <c:v>1</c:v>
                </c:pt>
                <c:pt idx="67">
                  <c:v>1</c:v>
                </c:pt>
                <c:pt idx="68">
                  <c:v>1</c:v>
                </c:pt>
                <c:pt idx="69">
                  <c:v>0</c:v>
                </c:pt>
                <c:pt idx="70">
                  <c:v>3</c:v>
                </c:pt>
                <c:pt idx="71">
                  <c:v>3</c:v>
                </c:pt>
                <c:pt idx="72">
                  <c:v>1</c:v>
                </c:pt>
                <c:pt idx="73">
                  <c:v>1</c:v>
                </c:pt>
                <c:pt idx="74">
                  <c:v>1</c:v>
                </c:pt>
                <c:pt idx="75">
                  <c:v>1</c:v>
                </c:pt>
                <c:pt idx="76">
                  <c:v>0</c:v>
                </c:pt>
                <c:pt idx="77">
                  <c:v>0</c:v>
                </c:pt>
                <c:pt idx="78">
                  <c:v>0</c:v>
                </c:pt>
                <c:pt idx="79">
                  <c:v>0</c:v>
                </c:pt>
                <c:pt idx="80">
                  <c:v>0</c:v>
                </c:pt>
                <c:pt idx="81">
                  <c:v>0</c:v>
                </c:pt>
                <c:pt idx="82">
                  <c:v>1</c:v>
                </c:pt>
                <c:pt idx="83">
                  <c:v>0</c:v>
                </c:pt>
                <c:pt idx="84">
                  <c:v>0</c:v>
                </c:pt>
                <c:pt idx="85">
                  <c:v>0</c:v>
                </c:pt>
                <c:pt idx="86">
                  <c:v>0</c:v>
                </c:pt>
                <c:pt idx="87">
                  <c:v>0</c:v>
                </c:pt>
                <c:pt idx="88">
                  <c:v>0</c:v>
                </c:pt>
                <c:pt idx="89">
                  <c:v>0</c:v>
                </c:pt>
                <c:pt idx="90">
                  <c:v>0</c:v>
                </c:pt>
                <c:pt idx="91">
                  <c:v>0</c:v>
                </c:pt>
                <c:pt idx="92">
                  <c:v>0</c:v>
                </c:pt>
                <c:pt idx="93">
                  <c:v>1</c:v>
                </c:pt>
                <c:pt idx="94">
                  <c:v>0</c:v>
                </c:pt>
                <c:pt idx="95">
                  <c:v>0</c:v>
                </c:pt>
                <c:pt idx="96">
                  <c:v>1</c:v>
                </c:pt>
                <c:pt idx="97">
                  <c:v>1</c:v>
                </c:pt>
                <c:pt idx="98">
                  <c:v>0</c:v>
                </c:pt>
                <c:pt idx="99">
                  <c:v>1</c:v>
                </c:pt>
                <c:pt idx="100">
                  <c:v>0</c:v>
                </c:pt>
              </c:numCache>
            </c:numRef>
          </c:val>
          <c:extLst>
            <c:ext xmlns:c16="http://schemas.microsoft.com/office/drawing/2014/chart" uri="{C3380CC4-5D6E-409C-BE32-E72D297353CC}">
              <c16:uniqueId val="{00000000-DF91-4ACB-AB0C-0996EAB5CDAF}"/>
            </c:ext>
          </c:extLst>
        </c:ser>
        <c:dLbls>
          <c:showLegendKey val="0"/>
          <c:showVal val="0"/>
          <c:showCatName val="0"/>
          <c:showSerName val="0"/>
          <c:showPercent val="0"/>
          <c:showBubbleSize val="0"/>
        </c:dLbls>
        <c:gapWidth val="0"/>
        <c:axId val="484965743"/>
        <c:axId val="484969583"/>
      </c:barChart>
      <c:catAx>
        <c:axId val="484965743"/>
        <c:scaling>
          <c:orientation val="minMax"/>
        </c:scaling>
        <c:delete val="0"/>
        <c:axPos val="b"/>
        <c:numFmt formatCode="#,##0.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9583"/>
        <c:crosses val="autoZero"/>
        <c:auto val="1"/>
        <c:lblAlgn val="ctr"/>
        <c:lblOffset val="100"/>
        <c:noMultiLvlLbl val="0"/>
      </c:catAx>
      <c:valAx>
        <c:axId val="48496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965743"/>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2219325</xdr:colOff>
      <xdr:row>23</xdr:row>
      <xdr:rowOff>104775</xdr:rowOff>
    </xdr:from>
    <xdr:to>
      <xdr:col>2</xdr:col>
      <xdr:colOff>7521494</xdr:colOff>
      <xdr:row>32</xdr:row>
      <xdr:rowOff>57150</xdr:rowOff>
    </xdr:to>
    <xdr:pic>
      <xdr:nvPicPr>
        <xdr:cNvPr id="3" name="Picture 2">
          <a:extLst>
            <a:ext uri="{FF2B5EF4-FFF2-40B4-BE49-F238E27FC236}">
              <a16:creationId xmlns:a16="http://schemas.microsoft.com/office/drawing/2014/main" id="{DB3B01BE-FB82-242B-DBFD-5A9CF1A72A24}"/>
            </a:ext>
          </a:extLst>
        </xdr:cNvPr>
        <xdr:cNvPicPr>
          <a:picLocks noChangeAspect="1"/>
        </xdr:cNvPicPr>
      </xdr:nvPicPr>
      <xdr:blipFill>
        <a:blip xmlns:r="http://schemas.openxmlformats.org/officeDocument/2006/relationships" r:embed="rId1"/>
        <a:stretch>
          <a:fillRect/>
        </a:stretch>
      </xdr:blipFill>
      <xdr:spPr>
        <a:xfrm>
          <a:off x="4381500" y="6648450"/>
          <a:ext cx="5302169" cy="1666875"/>
        </a:xfrm>
        <a:prstGeom prst="rect">
          <a:avLst/>
        </a:prstGeom>
      </xdr:spPr>
    </xdr:pic>
    <xdr:clientData/>
  </xdr:twoCellAnchor>
  <xdr:twoCellAnchor editAs="oneCell">
    <xdr:from>
      <xdr:col>1</xdr:col>
      <xdr:colOff>361951</xdr:colOff>
      <xdr:row>22</xdr:row>
      <xdr:rowOff>9524</xdr:rowOff>
    </xdr:from>
    <xdr:to>
      <xdr:col>2</xdr:col>
      <xdr:colOff>1862580</xdr:colOff>
      <xdr:row>34</xdr:row>
      <xdr:rowOff>105179</xdr:rowOff>
    </xdr:to>
    <xdr:pic>
      <xdr:nvPicPr>
        <xdr:cNvPr id="4" name="Picture 3">
          <a:extLst>
            <a:ext uri="{FF2B5EF4-FFF2-40B4-BE49-F238E27FC236}">
              <a16:creationId xmlns:a16="http://schemas.microsoft.com/office/drawing/2014/main" id="{27B94507-1624-C3CD-7746-E00F73AF91C4}"/>
            </a:ext>
          </a:extLst>
        </xdr:cNvPr>
        <xdr:cNvPicPr>
          <a:picLocks noChangeAspect="1"/>
        </xdr:cNvPicPr>
      </xdr:nvPicPr>
      <xdr:blipFill>
        <a:blip xmlns:r="http://schemas.openxmlformats.org/officeDocument/2006/relationships" r:embed="rId2"/>
        <a:stretch>
          <a:fillRect/>
        </a:stretch>
      </xdr:blipFill>
      <xdr:spPr>
        <a:xfrm>
          <a:off x="971551" y="6362699"/>
          <a:ext cx="3053204" cy="23816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190502</xdr:colOff>
      <xdr:row>20</xdr:row>
      <xdr:rowOff>38100</xdr:rowOff>
    </xdr:from>
    <xdr:to>
      <xdr:col>7</xdr:col>
      <xdr:colOff>171450</xdr:colOff>
      <xdr:row>40</xdr:row>
      <xdr:rowOff>180974</xdr:rowOff>
    </xdr:to>
    <xdr:graphicFrame macro="">
      <xdr:nvGraphicFramePr>
        <xdr:cNvPr id="2" name="Chart 1">
          <a:extLst>
            <a:ext uri="{FF2B5EF4-FFF2-40B4-BE49-F238E27FC236}">
              <a16:creationId xmlns:a16="http://schemas.microsoft.com/office/drawing/2014/main" id="{01B9EFD0-5472-460A-9CFE-ED66B95DF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590550</xdr:colOff>
      <xdr:row>14</xdr:row>
      <xdr:rowOff>119062</xdr:rowOff>
    </xdr:from>
    <xdr:to>
      <xdr:col>9</xdr:col>
      <xdr:colOff>990600</xdr:colOff>
      <xdr:row>31</xdr:row>
      <xdr:rowOff>90487</xdr:rowOff>
    </xdr:to>
    <xdr:graphicFrame macro="">
      <xdr:nvGraphicFramePr>
        <xdr:cNvPr id="2" name="Chart 1">
          <a:extLst>
            <a:ext uri="{FF2B5EF4-FFF2-40B4-BE49-F238E27FC236}">
              <a16:creationId xmlns:a16="http://schemas.microsoft.com/office/drawing/2014/main" id="{38B341DA-1762-4761-B8ED-2DD28B9DE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1085850</xdr:colOff>
      <xdr:row>14</xdr:row>
      <xdr:rowOff>114300</xdr:rowOff>
    </xdr:from>
    <xdr:to>
      <xdr:col>16</xdr:col>
      <xdr:colOff>438150</xdr:colOff>
      <xdr:row>31</xdr:row>
      <xdr:rowOff>85725</xdr:rowOff>
    </xdr:to>
    <xdr:graphicFrame macro="">
      <xdr:nvGraphicFramePr>
        <xdr:cNvPr id="3" name="Chart 2">
          <a:extLst>
            <a:ext uri="{FF2B5EF4-FFF2-40B4-BE49-F238E27FC236}">
              <a16:creationId xmlns:a16="http://schemas.microsoft.com/office/drawing/2014/main" id="{84780213-C8F1-40CB-B470-D8ECCD7F6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609599</xdr:colOff>
      <xdr:row>32</xdr:row>
      <xdr:rowOff>19050</xdr:rowOff>
    </xdr:from>
    <xdr:to>
      <xdr:col>9</xdr:col>
      <xdr:colOff>1009649</xdr:colOff>
      <xdr:row>48</xdr:row>
      <xdr:rowOff>171450</xdr:rowOff>
    </xdr:to>
    <xdr:graphicFrame macro="">
      <xdr:nvGraphicFramePr>
        <xdr:cNvPr id="4" name="Chart 3">
          <a:extLst>
            <a:ext uri="{FF2B5EF4-FFF2-40B4-BE49-F238E27FC236}">
              <a16:creationId xmlns:a16="http://schemas.microsoft.com/office/drawing/2014/main" id="{09C15652-A572-44E6-A557-80A022F9B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1104900</xdr:colOff>
      <xdr:row>32</xdr:row>
      <xdr:rowOff>9525</xdr:rowOff>
    </xdr:from>
    <xdr:to>
      <xdr:col>16</xdr:col>
      <xdr:colOff>457200</xdr:colOff>
      <xdr:row>48</xdr:row>
      <xdr:rowOff>161925</xdr:rowOff>
    </xdr:to>
    <xdr:graphicFrame macro="">
      <xdr:nvGraphicFramePr>
        <xdr:cNvPr id="5" name="Chart 4">
          <a:extLst>
            <a:ext uri="{FF2B5EF4-FFF2-40B4-BE49-F238E27FC236}">
              <a16:creationId xmlns:a16="http://schemas.microsoft.com/office/drawing/2014/main" id="{DFFFC641-98A6-4AD1-B441-CCEF6B600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uncertainty@sandia.go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987D-D43B-4035-9A24-D69497536949}">
  <sheetPr codeName="Sheet1"/>
  <dimension ref="B1:D50"/>
  <sheetViews>
    <sheetView showGridLines="0" tabSelected="1" topLeftCell="A5" workbookViewId="0">
      <selection activeCell="C12" sqref="C12"/>
    </sheetView>
  </sheetViews>
  <sheetFormatPr defaultColWidth="9.140625" defaultRowHeight="15"/>
  <cols>
    <col min="1" max="1" width="4.5703125" style="79" customWidth="1"/>
    <col min="2" max="2" width="23.28515625" style="79" customWidth="1"/>
    <col min="3" max="3" width="120" style="79" customWidth="1"/>
    <col min="4" max="16384" width="9.140625" style="79"/>
  </cols>
  <sheetData>
    <row r="1" spans="2:4" ht="5.25" customHeight="1">
      <c r="B1" s="117"/>
      <c r="C1" s="117"/>
    </row>
    <row r="2" spans="2:4" ht="36.75" customHeight="1">
      <c r="B2" s="197" t="s">
        <v>0</v>
      </c>
      <c r="C2" s="198"/>
    </row>
    <row r="3" spans="2:4">
      <c r="B3" s="199" t="s">
        <v>1</v>
      </c>
      <c r="C3" s="200"/>
    </row>
    <row r="4" spans="2:4" ht="20.25" customHeight="1">
      <c r="B4" s="201" t="s">
        <v>2</v>
      </c>
      <c r="C4" s="202"/>
    </row>
    <row r="5" spans="2:4" ht="67.5" customHeight="1">
      <c r="B5" s="203" t="s">
        <v>3</v>
      </c>
      <c r="C5" s="204"/>
      <c r="D5" s="120"/>
    </row>
    <row r="6" spans="2:4" ht="7.5" customHeight="1">
      <c r="B6" s="121"/>
      <c r="C6" s="122"/>
      <c r="D6" s="120"/>
    </row>
    <row r="7" spans="2:4">
      <c r="B7" s="195" t="s">
        <v>4</v>
      </c>
      <c r="C7" s="195"/>
      <c r="D7" s="120"/>
    </row>
    <row r="8" spans="2:4" ht="30">
      <c r="B8" s="123" t="s">
        <v>5</v>
      </c>
      <c r="C8" s="124" t="s">
        <v>6</v>
      </c>
    </row>
    <row r="9" spans="2:4" ht="30">
      <c r="B9" s="123" t="s">
        <v>7</v>
      </c>
      <c r="C9" s="124" t="s">
        <v>8</v>
      </c>
    </row>
    <row r="10" spans="2:4" ht="30">
      <c r="B10" s="123" t="s">
        <v>9</v>
      </c>
      <c r="C10" s="124" t="s">
        <v>10</v>
      </c>
    </row>
    <row r="11" spans="2:4" ht="30">
      <c r="B11" s="123" t="s">
        <v>11</v>
      </c>
      <c r="C11" s="124" t="s">
        <v>12</v>
      </c>
    </row>
    <row r="12" spans="2:4" ht="21" customHeight="1">
      <c r="B12" s="123" t="s">
        <v>13</v>
      </c>
      <c r="C12" s="125" t="s">
        <v>14</v>
      </c>
    </row>
    <row r="13" spans="2:4" ht="30.75" customHeight="1">
      <c r="B13" s="123" t="s">
        <v>15</v>
      </c>
      <c r="C13" s="124" t="s">
        <v>16</v>
      </c>
    </row>
    <row r="14" spans="2:4" ht="21" customHeight="1">
      <c r="B14" s="123" t="s">
        <v>17</v>
      </c>
      <c r="C14" s="125" t="s">
        <v>18</v>
      </c>
    </row>
    <row r="15" spans="2:4" ht="21" customHeight="1">
      <c r="B15" s="123" t="s">
        <v>19</v>
      </c>
      <c r="C15" s="125" t="s">
        <v>20</v>
      </c>
    </row>
    <row r="17" spans="2:4">
      <c r="B17" s="195" t="s">
        <v>21</v>
      </c>
      <c r="C17" s="195"/>
      <c r="D17" s="120"/>
    </row>
    <row r="18" spans="2:4">
      <c r="B18" s="126"/>
      <c r="C18" s="127"/>
    </row>
    <row r="19" spans="2:4">
      <c r="B19" s="128"/>
      <c r="C19" s="129" t="s">
        <v>22</v>
      </c>
    </row>
    <row r="20" spans="2:4" ht="60">
      <c r="B20" s="128"/>
      <c r="C20" s="130" t="s">
        <v>23</v>
      </c>
    </row>
    <row r="21" spans="2:4">
      <c r="B21" s="128"/>
      <c r="C21" s="129" t="s">
        <v>24</v>
      </c>
    </row>
    <row r="22" spans="2:4">
      <c r="B22" s="128"/>
      <c r="C22" s="131"/>
    </row>
    <row r="23" spans="2:4">
      <c r="B23" s="128"/>
      <c r="C23" s="131"/>
    </row>
    <row r="24" spans="2:4">
      <c r="B24" s="128"/>
      <c r="C24" s="131"/>
    </row>
    <row r="25" spans="2:4">
      <c r="B25" s="128"/>
      <c r="C25" s="131"/>
    </row>
    <row r="26" spans="2:4">
      <c r="B26" s="128"/>
      <c r="C26" s="131"/>
    </row>
    <row r="27" spans="2:4">
      <c r="B27" s="128"/>
      <c r="C27" s="131"/>
    </row>
    <row r="28" spans="2:4">
      <c r="B28" s="128"/>
      <c r="C28" s="131"/>
    </row>
    <row r="29" spans="2:4">
      <c r="B29" s="128"/>
      <c r="C29" s="131"/>
    </row>
    <row r="30" spans="2:4">
      <c r="B30" s="128"/>
      <c r="C30" s="131"/>
    </row>
    <row r="31" spans="2:4">
      <c r="B31" s="128"/>
      <c r="C31" s="131"/>
    </row>
    <row r="32" spans="2:4">
      <c r="B32" s="128"/>
      <c r="C32" s="131"/>
    </row>
    <row r="33" spans="2:4">
      <c r="B33" s="128"/>
      <c r="C33" s="131"/>
    </row>
    <row r="34" spans="2:4">
      <c r="B34" s="128"/>
      <c r="C34" s="131"/>
    </row>
    <row r="35" spans="2:4">
      <c r="B35" s="128"/>
      <c r="C35" s="131"/>
    </row>
    <row r="36" spans="2:4">
      <c r="B36" s="128"/>
      <c r="C36" s="131"/>
    </row>
    <row r="37" spans="2:4">
      <c r="B37" s="128"/>
      <c r="C37" s="131" t="s">
        <v>25</v>
      </c>
    </row>
    <row r="38" spans="2:4">
      <c r="B38" s="128"/>
      <c r="C38" s="131" t="s">
        <v>26</v>
      </c>
    </row>
    <row r="39" spans="2:4" ht="30">
      <c r="B39" s="128"/>
      <c r="C39" s="132" t="s">
        <v>27</v>
      </c>
    </row>
    <row r="40" spans="2:4">
      <c r="B40" s="128"/>
      <c r="C40" s="132"/>
    </row>
    <row r="41" spans="2:4" ht="30">
      <c r="B41" s="128"/>
      <c r="C41" s="132" t="s">
        <v>28</v>
      </c>
    </row>
    <row r="42" spans="2:4">
      <c r="B42" s="133"/>
      <c r="C42" s="134"/>
    </row>
    <row r="43" spans="2:4">
      <c r="B43" s="195" t="s">
        <v>29</v>
      </c>
      <c r="C43" s="195"/>
      <c r="D43" s="120"/>
    </row>
    <row r="44" spans="2:4">
      <c r="B44" s="135"/>
      <c r="C44" s="127" t="s">
        <v>30</v>
      </c>
    </row>
    <row r="45" spans="2:4">
      <c r="B45" s="128"/>
      <c r="C45" s="131" t="s">
        <v>31</v>
      </c>
    </row>
    <row r="46" spans="2:4">
      <c r="B46" s="128"/>
      <c r="C46" s="131" t="s">
        <v>32</v>
      </c>
    </row>
    <row r="47" spans="2:4">
      <c r="B47" s="133"/>
      <c r="C47" s="134"/>
    </row>
    <row r="48" spans="2:4">
      <c r="B48" s="196" t="s">
        <v>33</v>
      </c>
      <c r="C48" s="196"/>
    </row>
    <row r="49" spans="2:3" ht="49.5" customHeight="1">
      <c r="B49" s="136"/>
      <c r="C49" s="124" t="s">
        <v>34</v>
      </c>
    </row>
    <row r="50" spans="2:3">
      <c r="B50" s="136"/>
      <c r="C50" s="137" t="s">
        <v>288</v>
      </c>
    </row>
  </sheetData>
  <mergeCells count="8">
    <mergeCell ref="B17:C17"/>
    <mergeCell ref="B43:C43"/>
    <mergeCell ref="B48:C48"/>
    <mergeCell ref="B2:C2"/>
    <mergeCell ref="B3:C3"/>
    <mergeCell ref="B4:C4"/>
    <mergeCell ref="B7:C7"/>
    <mergeCell ref="B5:C5"/>
  </mergeCells>
  <hyperlinks>
    <hyperlink ref="B4" r:id="rId1" xr:uid="{84D59AFE-8A72-4104-9DBD-ADC408CC5CF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9294-A965-489B-A7F2-B96DAFBF9449}">
  <dimension ref="B2:W128"/>
  <sheetViews>
    <sheetView showGridLines="0" workbookViewId="0">
      <selection activeCell="J35" sqref="J35"/>
    </sheetView>
  </sheetViews>
  <sheetFormatPr defaultColWidth="9.140625" defaultRowHeight="15"/>
  <cols>
    <col min="1" max="1" width="4.42578125" style="79" customWidth="1"/>
    <col min="2" max="2" width="23" style="79" customWidth="1"/>
    <col min="3" max="3" width="11.7109375" style="79" customWidth="1"/>
    <col min="4" max="4" width="12.5703125" style="79" customWidth="1"/>
    <col min="5" max="5" width="13.5703125" style="79" customWidth="1"/>
    <col min="6" max="6" width="6.5703125" style="79" customWidth="1"/>
    <col min="7" max="7" width="20.42578125" style="79" customWidth="1"/>
    <col min="8" max="8" width="5.5703125" style="79" customWidth="1"/>
    <col min="9" max="9" width="22.140625" style="79" customWidth="1"/>
    <col min="10" max="10" width="10.42578125" style="79" customWidth="1"/>
    <col min="11" max="11" width="11.42578125" style="79" customWidth="1"/>
    <col min="12" max="12" width="11.7109375" style="79" customWidth="1"/>
    <col min="13" max="13" width="42.42578125" style="79" customWidth="1"/>
    <col min="14" max="22" width="9.140625" style="79" hidden="1" customWidth="1"/>
    <col min="23" max="16384" width="9.140625" style="79"/>
  </cols>
  <sheetData>
    <row r="2" spans="2:23">
      <c r="B2" s="85" t="s">
        <v>35</v>
      </c>
      <c r="W2" s="85" t="s">
        <v>36</v>
      </c>
    </row>
    <row r="3" spans="2:23" ht="15.75" thickBot="1"/>
    <row r="4" spans="2:23">
      <c r="B4" s="205" t="s">
        <v>37</v>
      </c>
      <c r="C4" s="206"/>
    </row>
    <row r="5" spans="2:23">
      <c r="B5" s="8" t="s">
        <v>38</v>
      </c>
      <c r="C5" s="9">
        <v>0.95</v>
      </c>
    </row>
    <row r="6" spans="2:23">
      <c r="B6" s="8" t="s">
        <v>39</v>
      </c>
      <c r="C6" s="2">
        <v>5000</v>
      </c>
    </row>
    <row r="7" spans="2:23">
      <c r="B7" s="8" t="s">
        <v>40</v>
      </c>
      <c r="C7" s="2">
        <v>1</v>
      </c>
    </row>
    <row r="8" spans="2:23" ht="15.75" thickBot="1">
      <c r="B8" s="10" t="s">
        <v>41</v>
      </c>
      <c r="C8" s="28" t="s">
        <v>42</v>
      </c>
      <c r="E8" s="86" t="s">
        <v>43</v>
      </c>
    </row>
    <row r="9" spans="2:23" ht="15.75" thickBot="1"/>
    <row r="10" spans="2:23" ht="15.75" thickBot="1">
      <c r="B10" s="12" t="s">
        <v>44</v>
      </c>
      <c r="C10" s="13" t="s">
        <v>45</v>
      </c>
      <c r="D10" s="13" t="s">
        <v>46</v>
      </c>
      <c r="E10" s="172" t="s">
        <v>47</v>
      </c>
      <c r="F10" s="172" t="s">
        <v>48</v>
      </c>
      <c r="G10" s="171" t="s">
        <v>49</v>
      </c>
      <c r="I10" s="17" t="s">
        <v>44</v>
      </c>
      <c r="J10" s="173" t="s">
        <v>50</v>
      </c>
      <c r="K10" s="173" t="s">
        <v>51</v>
      </c>
      <c r="L10" s="174" t="s">
        <v>52</v>
      </c>
      <c r="N10" s="205" t="s">
        <v>53</v>
      </c>
      <c r="O10" s="207"/>
      <c r="P10" s="207"/>
      <c r="Q10" s="207"/>
      <c r="R10" s="207"/>
      <c r="S10" s="207"/>
      <c r="T10" s="207"/>
      <c r="U10" s="207"/>
      <c r="V10" s="206"/>
    </row>
    <row r="11" spans="2:23" ht="15.75" thickBot="1">
      <c r="B11" s="14" t="s">
        <v>54</v>
      </c>
      <c r="C11" s="3">
        <v>0.182</v>
      </c>
      <c r="D11" s="3">
        <v>9.3000000000000005E-4</v>
      </c>
      <c r="E11" s="4" t="s">
        <v>55</v>
      </c>
      <c r="F11" s="4" t="s">
        <v>56</v>
      </c>
      <c r="G11" s="15">
        <v>9</v>
      </c>
      <c r="I11" s="18" t="str" cm="1">
        <f t="array" ref="I11:I18">IF(ISBLANK(VariableNames),"-",VariableNames)</f>
        <v>X1</v>
      </c>
      <c r="J11" s="87" cm="1">
        <f t="array" ref="J11:J18">IF(MeasurandUncertainty,MeasurandUncertainty/K_LOOKUP(MeasurandDistributions),0)</f>
        <v>9.3000000000000005E-4</v>
      </c>
      <c r="K11" s="89" cm="1">
        <f t="array" ref="K11:K18">DFDX(Measurands,MeasurandUncertainty,__MEASUREMENT_MODEL)</f>
        <v>3.8277564454389976</v>
      </c>
      <c r="L11" s="88" cm="1">
        <f t="array" ref="L11:L18">(MeasurandSensitivities*MeasurandStdUnc)^2/OutputVarianceGUM</f>
        <v>0.52100660060342385</v>
      </c>
      <c r="N11" s="35"/>
      <c r="O11" s="77" t="str" cm="1">
        <f t="array" ref="O11:V11">TRANSPOSE(IF(ISBLANK(VariableNames),"",VariableNames))</f>
        <v>X1</v>
      </c>
      <c r="P11" s="77" t="str">
        <v>X2</v>
      </c>
      <c r="Q11" s="77" t="str">
        <v>Yu</v>
      </c>
      <c r="R11" s="77" t="str">
        <v/>
      </c>
      <c r="S11" s="77" t="str">
        <v/>
      </c>
      <c r="T11" s="77" t="str">
        <v/>
      </c>
      <c r="U11" s="77" t="str">
        <v/>
      </c>
      <c r="V11" s="91" t="str">
        <v/>
      </c>
    </row>
    <row r="12" spans="2:23">
      <c r="B12" s="14" t="s">
        <v>57</v>
      </c>
      <c r="C12" s="3">
        <v>0.18229999999999999</v>
      </c>
      <c r="D12" s="3">
        <v>5.8E-4</v>
      </c>
      <c r="E12" s="4" t="s">
        <v>55</v>
      </c>
      <c r="F12" s="4" t="s">
        <v>56</v>
      </c>
      <c r="G12" s="15">
        <v>19</v>
      </c>
      <c r="I12" s="18" t="str">
        <v>X2</v>
      </c>
      <c r="J12" s="7">
        <v>5.8E-4</v>
      </c>
      <c r="K12" s="6">
        <v>-3.8214573400332981</v>
      </c>
      <c r="L12" s="19">
        <v>0.20197738918340555</v>
      </c>
      <c r="N12" s="176" t="str" cm="1">
        <f t="array" ref="N12:N19">IF(ISBLANK(VariableNames),"",VariableNames)</f>
        <v>X1</v>
      </c>
      <c r="O12" s="80">
        <v>1</v>
      </c>
      <c r="P12" s="4">
        <v>0</v>
      </c>
      <c r="Q12" s="4">
        <v>0</v>
      </c>
      <c r="R12" s="4">
        <v>0</v>
      </c>
      <c r="S12" s="4">
        <v>0</v>
      </c>
      <c r="T12" s="4">
        <v>0</v>
      </c>
      <c r="U12" s="4">
        <v>0</v>
      </c>
      <c r="V12" s="15">
        <v>0</v>
      </c>
    </row>
    <row r="13" spans="2:23">
      <c r="B13" s="14" t="s">
        <v>58</v>
      </c>
      <c r="C13" s="3">
        <v>0.69779999999999998</v>
      </c>
      <c r="D13" s="3">
        <v>2.5999999999999999E-3</v>
      </c>
      <c r="E13" s="4" t="s">
        <v>55</v>
      </c>
      <c r="F13" s="4" t="s">
        <v>56</v>
      </c>
      <c r="G13" s="15">
        <v>19</v>
      </c>
      <c r="I13" s="18" t="str">
        <v>Yu</v>
      </c>
      <c r="J13" s="7">
        <v>2.5999999999999999E-3</v>
      </c>
      <c r="K13" s="6">
        <v>0.99835436093367669</v>
      </c>
      <c r="L13" s="19">
        <v>0.27701601021317057</v>
      </c>
      <c r="N13" s="176" t="str">
        <v>X2</v>
      </c>
      <c r="O13" s="81">
        <f>P12</f>
        <v>0</v>
      </c>
      <c r="P13" s="80">
        <v>1</v>
      </c>
      <c r="Q13" s="4">
        <v>0</v>
      </c>
      <c r="R13" s="4">
        <v>0</v>
      </c>
      <c r="S13" s="4">
        <v>0</v>
      </c>
      <c r="T13" s="4">
        <v>0</v>
      </c>
      <c r="U13" s="4">
        <v>0</v>
      </c>
      <c r="V13" s="15">
        <v>0</v>
      </c>
    </row>
    <row r="14" spans="2:23">
      <c r="B14" s="14"/>
      <c r="C14" s="3"/>
      <c r="D14" s="3"/>
      <c r="E14" s="4"/>
      <c r="F14" s="4"/>
      <c r="G14" s="15"/>
      <c r="I14" s="18" t="str">
        <v>-</v>
      </c>
      <c r="J14" s="7">
        <v>0</v>
      </c>
      <c r="K14" s="6">
        <v>0</v>
      </c>
      <c r="L14" s="19">
        <v>0</v>
      </c>
      <c r="N14" s="176" t="str">
        <v>Yu</v>
      </c>
      <c r="O14" s="81">
        <f>Q12</f>
        <v>0</v>
      </c>
      <c r="P14" s="81">
        <f>Q13</f>
        <v>0</v>
      </c>
      <c r="Q14" s="80">
        <v>1</v>
      </c>
      <c r="R14" s="4">
        <v>0</v>
      </c>
      <c r="S14" s="4">
        <v>0</v>
      </c>
      <c r="T14" s="4">
        <v>0</v>
      </c>
      <c r="U14" s="4">
        <v>0</v>
      </c>
      <c r="V14" s="15">
        <v>0</v>
      </c>
    </row>
    <row r="15" spans="2:23">
      <c r="B15" s="14"/>
      <c r="C15" s="3"/>
      <c r="D15" s="3"/>
      <c r="E15" s="4"/>
      <c r="F15" s="4"/>
      <c r="G15" s="15"/>
      <c r="I15" s="18" t="str">
        <v>-</v>
      </c>
      <c r="J15" s="7">
        <v>0</v>
      </c>
      <c r="K15" s="6">
        <v>0</v>
      </c>
      <c r="L15" s="19">
        <v>0</v>
      </c>
      <c r="N15" s="176" t="str">
        <v/>
      </c>
      <c r="O15" s="81">
        <f>R12</f>
        <v>0</v>
      </c>
      <c r="P15" s="81">
        <f>R13</f>
        <v>0</v>
      </c>
      <c r="Q15" s="81">
        <f>R14</f>
        <v>0</v>
      </c>
      <c r="R15" s="80">
        <v>1</v>
      </c>
      <c r="S15" s="4">
        <v>0</v>
      </c>
      <c r="T15" s="4">
        <v>0</v>
      </c>
      <c r="U15" s="4">
        <v>0</v>
      </c>
      <c r="V15" s="15">
        <v>0</v>
      </c>
    </row>
    <row r="16" spans="2:23">
      <c r="B16" s="14"/>
      <c r="C16" s="3"/>
      <c r="D16" s="3"/>
      <c r="E16" s="4"/>
      <c r="F16" s="4"/>
      <c r="G16" s="15"/>
      <c r="I16" s="18" t="str">
        <v>-</v>
      </c>
      <c r="J16" s="7">
        <v>0</v>
      </c>
      <c r="K16" s="6">
        <v>0</v>
      </c>
      <c r="L16" s="19">
        <v>0</v>
      </c>
      <c r="N16" s="176" t="str">
        <v/>
      </c>
      <c r="O16" s="81">
        <f>S12</f>
        <v>0</v>
      </c>
      <c r="P16" s="81">
        <f>S13</f>
        <v>0</v>
      </c>
      <c r="Q16" s="81">
        <f>S14</f>
        <v>0</v>
      </c>
      <c r="R16" s="81">
        <f>S15</f>
        <v>0</v>
      </c>
      <c r="S16" s="80">
        <v>1</v>
      </c>
      <c r="T16" s="4">
        <v>0</v>
      </c>
      <c r="U16" s="4">
        <v>0</v>
      </c>
      <c r="V16" s="15">
        <v>0</v>
      </c>
    </row>
    <row r="17" spans="2:22">
      <c r="B17" s="14"/>
      <c r="C17" s="3"/>
      <c r="D17" s="3"/>
      <c r="E17" s="4"/>
      <c r="F17" s="4"/>
      <c r="G17" s="15"/>
      <c r="I17" s="18" t="str">
        <v>-</v>
      </c>
      <c r="J17" s="7">
        <v>0</v>
      </c>
      <c r="K17" s="6">
        <v>0</v>
      </c>
      <c r="L17" s="19">
        <v>0</v>
      </c>
      <c r="N17" s="176" t="str">
        <v/>
      </c>
      <c r="O17" s="81">
        <f>T12</f>
        <v>0</v>
      </c>
      <c r="P17" s="81">
        <f>T13</f>
        <v>0</v>
      </c>
      <c r="Q17" s="81">
        <f>T14</f>
        <v>0</v>
      </c>
      <c r="R17" s="81">
        <f>T15</f>
        <v>0</v>
      </c>
      <c r="S17" s="81">
        <f>T16</f>
        <v>0</v>
      </c>
      <c r="T17" s="80">
        <v>1</v>
      </c>
      <c r="U17" s="4">
        <v>0</v>
      </c>
      <c r="V17" s="15">
        <v>0</v>
      </c>
    </row>
    <row r="18" spans="2:22" ht="15.75" thickBot="1">
      <c r="B18" s="98"/>
      <c r="C18" s="16"/>
      <c r="D18" s="16"/>
      <c r="E18" s="69"/>
      <c r="F18" s="69"/>
      <c r="G18" s="84"/>
      <c r="I18" s="18" t="str">
        <v>-</v>
      </c>
      <c r="J18" s="7">
        <v>0</v>
      </c>
      <c r="K18" s="6">
        <v>0</v>
      </c>
      <c r="L18" s="19">
        <v>0</v>
      </c>
      <c r="N18" s="176" t="str">
        <v/>
      </c>
      <c r="O18" s="81">
        <f>U12</f>
        <v>0</v>
      </c>
      <c r="P18" s="81">
        <f>U13</f>
        <v>0</v>
      </c>
      <c r="Q18" s="81">
        <f>U14</f>
        <v>0</v>
      </c>
      <c r="R18" s="81">
        <f>U15</f>
        <v>0</v>
      </c>
      <c r="S18" s="81">
        <f>U16</f>
        <v>0</v>
      </c>
      <c r="T18" s="81">
        <f>U17</f>
        <v>0</v>
      </c>
      <c r="U18" s="80">
        <v>1</v>
      </c>
      <c r="V18" s="15">
        <v>0</v>
      </c>
    </row>
    <row r="19" spans="2:22" ht="15.75" thickBot="1">
      <c r="I19" s="21"/>
      <c r="J19" s="22"/>
      <c r="K19" s="22" t="s">
        <v>59</v>
      </c>
      <c r="L19" s="23">
        <f>1-SUM(_xlfn.ANCHORARRAY(L11))</f>
        <v>0</v>
      </c>
      <c r="N19" s="45" t="str">
        <v/>
      </c>
      <c r="O19" s="82">
        <f>V12</f>
        <v>0</v>
      </c>
      <c r="P19" s="82">
        <f>V13</f>
        <v>0</v>
      </c>
      <c r="Q19" s="82">
        <f>V14</f>
        <v>0</v>
      </c>
      <c r="R19" s="82">
        <f>V15</f>
        <v>0</v>
      </c>
      <c r="S19" s="82">
        <f>V16</f>
        <v>0</v>
      </c>
      <c r="T19" s="82">
        <f>V17</f>
        <v>0</v>
      </c>
      <c r="U19" s="82">
        <f>V18</f>
        <v>0</v>
      </c>
      <c r="V19" s="83">
        <v>1</v>
      </c>
    </row>
    <row r="20" spans="2:22" ht="15.75" thickBot="1"/>
    <row r="21" spans="2:22" ht="15.75" thickBot="1">
      <c r="I21" s="208" t="s">
        <v>60</v>
      </c>
      <c r="J21" s="209"/>
      <c r="K21" s="209"/>
      <c r="L21" s="210"/>
    </row>
    <row r="22" spans="2:22" ht="15.75" thickBot="1">
      <c r="I22" s="27" t="s">
        <v>61</v>
      </c>
      <c r="J22" s="109" cm="1">
        <f t="array" ref="J22">EVAL_MODEL(Measurands,__MEASUREMENT_MODEL)</f>
        <v>0.6966516730663741</v>
      </c>
      <c r="K22" s="104" t="str">
        <f>OutputUnits</f>
        <v>m/s</v>
      </c>
      <c r="L22" s="42"/>
    </row>
    <row r="23" spans="2:22">
      <c r="I23" s="20" t="s">
        <v>62</v>
      </c>
      <c r="J23" s="30">
        <f>SQRT(OutputVarianceGUM)</f>
        <v>4.9318019991602879E-3</v>
      </c>
      <c r="K23" s="104" t="str">
        <f>OutputUnits</f>
        <v>m/s</v>
      </c>
      <c r="L23" s="42"/>
    </row>
    <row r="24" spans="2:22">
      <c r="I24" s="20" t="s">
        <v>63</v>
      </c>
      <c r="J24" s="30" cm="1">
        <f t="array" ref="J24">UNCERTAINTY_VARIANCE(MeasurandStdUnc,MeasurandSensitivities,CorrelationMatrix)</f>
        <v>2.432267095892141E-5</v>
      </c>
      <c r="K24" s="104"/>
      <c r="L24" s="42"/>
    </row>
    <row r="25" spans="2:22">
      <c r="I25" s="20" t="s">
        <v>64</v>
      </c>
      <c r="J25" s="31" cm="1">
        <f t="array" ref="J25">DEGF_EFFECTIVE(OutputVarianceGUM,MeasurandStdUnc,MeasurandSensitivities,MeasurandDegF)</f>
        <v>27.512731755852403</v>
      </c>
      <c r="K25" s="105"/>
      <c r="L25" s="42"/>
    </row>
    <row r="26" spans="2:22">
      <c r="I26" s="20" t="s">
        <v>65</v>
      </c>
      <c r="J26" s="30">
        <f>_xlfn.T.INV.2T(1-Confidence,DegFreedomGUM)</f>
        <v>2.0518305164802841</v>
      </c>
      <c r="K26" s="104"/>
      <c r="L26" s="42"/>
    </row>
    <row r="27" spans="2:22">
      <c r="I27" s="27" t="s">
        <v>66</v>
      </c>
      <c r="J27" s="29">
        <f>OutputStdevGUM*CoverageFactorGUM</f>
        <v>1.0119221843115551E-2</v>
      </c>
      <c r="K27" s="104" t="str">
        <f>OutputUnits</f>
        <v>m/s</v>
      </c>
      <c r="L27" s="42"/>
    </row>
    <row r="28" spans="2:22">
      <c r="I28" s="20"/>
      <c r="J28" s="5"/>
      <c r="K28" s="106"/>
      <c r="L28" s="42"/>
    </row>
    <row r="29" spans="2:22">
      <c r="I29" s="24" t="s">
        <v>67</v>
      </c>
      <c r="J29" s="32">
        <f>OutputMeasurandGUM-OutputExpandedGUM</f>
        <v>0.68653245122325857</v>
      </c>
      <c r="K29" s="104" t="str">
        <f>OutputUnits</f>
        <v>m/s</v>
      </c>
      <c r="L29" s="42"/>
    </row>
    <row r="30" spans="2:22" ht="15.75" thickBot="1">
      <c r="I30" s="25" t="s">
        <v>68</v>
      </c>
      <c r="J30" s="33">
        <f>OutputMeasurandGUM+OutputExpandedGUM</f>
        <v>0.70677089490948963</v>
      </c>
      <c r="K30" s="107" t="str">
        <f>OutputUnits</f>
        <v>m/s</v>
      </c>
      <c r="L30" s="108"/>
    </row>
    <row r="31" spans="2:22" ht="15.75" thickBot="1"/>
    <row r="32" spans="2:22" ht="15.75" thickBot="1">
      <c r="I32" s="208" t="s">
        <v>69</v>
      </c>
      <c r="J32" s="209"/>
      <c r="K32" s="209"/>
      <c r="L32" s="210"/>
    </row>
    <row r="33" spans="9:23" ht="15.75" thickBot="1">
      <c r="I33" s="27" t="s">
        <v>70</v>
      </c>
      <c r="J33" s="109" cm="1">
        <f t="array" aca="1" ref="J33:J122" ca="1">MONTE_CARLO(__MEASUREMENT_MODEL,Measurands,MeasurandStdUnc, MeasurandDistributions,CorrelationMatrix, NSamples,Confidence)</f>
        <v>0.69677013608371186</v>
      </c>
      <c r="K33" s="104" t="str">
        <f t="shared" ref="K33:K41" si="0">OutputUnits</f>
        <v>m/s</v>
      </c>
      <c r="L33" s="42"/>
    </row>
    <row r="34" spans="9:23">
      <c r="I34" s="26" t="s">
        <v>62</v>
      </c>
      <c r="J34" s="103">
        <f ca="1"/>
        <v>4.8785655292754842E-3</v>
      </c>
      <c r="K34" s="104" t="str">
        <f t="shared" si="0"/>
        <v>m/s</v>
      </c>
      <c r="L34" s="42"/>
    </row>
    <row r="35" spans="9:23">
      <c r="I35" s="20" t="s">
        <v>71</v>
      </c>
      <c r="J35" s="30">
        <f ca="1"/>
        <v>0.68029208565615906</v>
      </c>
      <c r="K35" s="104" t="str">
        <f t="shared" si="0"/>
        <v>m/s</v>
      </c>
      <c r="L35" s="42"/>
    </row>
    <row r="36" spans="9:23">
      <c r="I36" s="20" t="s">
        <v>72</v>
      </c>
      <c r="J36" s="30">
        <f ca="1"/>
        <v>0.69345644201026402</v>
      </c>
      <c r="K36" s="104" t="str">
        <f t="shared" si="0"/>
        <v>m/s</v>
      </c>
      <c r="L36" s="42"/>
    </row>
    <row r="37" spans="9:23">
      <c r="I37" s="20" t="s">
        <v>73</v>
      </c>
      <c r="J37" s="30">
        <f ca="1"/>
        <v>0.69678644711869775</v>
      </c>
      <c r="K37" s="104" t="str">
        <f t="shared" si="0"/>
        <v>m/s</v>
      </c>
      <c r="L37" s="42"/>
    </row>
    <row r="38" spans="9:23">
      <c r="I38" s="20" t="s">
        <v>74</v>
      </c>
      <c r="J38" s="30">
        <f ca="1"/>
        <v>0.70001671676585209</v>
      </c>
      <c r="K38" s="104" t="str">
        <f t="shared" si="0"/>
        <v>m/s</v>
      </c>
      <c r="L38" s="42"/>
    </row>
    <row r="39" spans="9:23">
      <c r="I39" s="20" t="s">
        <v>75</v>
      </c>
      <c r="J39" s="30">
        <f ca="1"/>
        <v>0.71340902163716813</v>
      </c>
      <c r="K39" s="104" t="str">
        <f t="shared" si="0"/>
        <v>m/s</v>
      </c>
      <c r="L39" s="42"/>
    </row>
    <row r="40" spans="9:23">
      <c r="I40" s="24" t="s">
        <v>67</v>
      </c>
      <c r="J40" s="32">
        <f ca="1"/>
        <v>0.68751795399850646</v>
      </c>
      <c r="K40" s="104" t="str">
        <f t="shared" si="0"/>
        <v>m/s</v>
      </c>
      <c r="L40" s="42"/>
    </row>
    <row r="41" spans="9:23" ht="15.75" thickBot="1">
      <c r="I41" s="25" t="s">
        <v>68</v>
      </c>
      <c r="J41" s="33">
        <f ca="1"/>
        <v>0.70633853501572119</v>
      </c>
      <c r="K41" s="107" t="str">
        <f t="shared" si="0"/>
        <v>m/s</v>
      </c>
      <c r="L41" s="108"/>
      <c r="W41" s="85" t="s">
        <v>76</v>
      </c>
    </row>
    <row r="42" spans="9:23" hidden="1">
      <c r="I42" s="92" t="s">
        <v>77</v>
      </c>
      <c r="J42" s="93">
        <f ca="1"/>
        <v>0.68029208565615906</v>
      </c>
      <c r="K42" s="94">
        <f t="shared" ref="K42:K82" ca="1" si="1">_xlfn.NORM.DIST(J42,$J$22,$J$23,FALSE)</f>
        <v>0.32999743904390599</v>
      </c>
    </row>
    <row r="43" spans="9:23" hidden="1">
      <c r="I43" s="92"/>
      <c r="J43" s="93">
        <f ca="1"/>
        <v>0.68112000905568426</v>
      </c>
      <c r="K43" s="94">
        <f t="shared" ca="1" si="1"/>
        <v>0.56785191498163701</v>
      </c>
    </row>
    <row r="44" spans="9:23" hidden="1">
      <c r="I44" s="92"/>
      <c r="J44" s="93">
        <f ca="1"/>
        <v>0.68194793245520957</v>
      </c>
      <c r="K44" s="94">
        <f t="shared" ca="1" si="1"/>
        <v>0.94999301176814577</v>
      </c>
    </row>
    <row r="45" spans="9:23" hidden="1">
      <c r="I45" s="92"/>
      <c r="J45" s="93">
        <f ca="1"/>
        <v>0.68277585585473477</v>
      </c>
      <c r="K45" s="94">
        <f t="shared" ca="1" si="1"/>
        <v>1.5451353096399019</v>
      </c>
    </row>
    <row r="46" spans="9:23" hidden="1">
      <c r="I46" s="92"/>
      <c r="J46" s="93">
        <f ca="1"/>
        <v>0.68360377925425997</v>
      </c>
      <c r="K46" s="94">
        <f t="shared" ca="1" si="1"/>
        <v>2.443280981838202</v>
      </c>
    </row>
    <row r="47" spans="9:23" hidden="1">
      <c r="I47" s="92"/>
      <c r="J47" s="93">
        <f ca="1"/>
        <v>0.68443170265378517</v>
      </c>
      <c r="K47" s="94">
        <f t="shared" ca="1" si="1"/>
        <v>3.7561342182473902</v>
      </c>
    </row>
    <row r="48" spans="9:23" hidden="1">
      <c r="I48" s="92"/>
      <c r="J48" s="93">
        <f ca="1"/>
        <v>0.68525962605331037</v>
      </c>
      <c r="K48" s="94">
        <f t="shared" ca="1" si="1"/>
        <v>5.6139634563638499</v>
      </c>
    </row>
    <row r="49" spans="9:11" hidden="1">
      <c r="I49" s="92"/>
      <c r="J49" s="93">
        <f ca="1"/>
        <v>0.68608754945283568</v>
      </c>
      <c r="K49" s="94">
        <f t="shared" ca="1" si="1"/>
        <v>8.1575332148616084</v>
      </c>
    </row>
    <row r="50" spans="9:11" hidden="1">
      <c r="I50" s="92"/>
      <c r="J50" s="93">
        <f ca="1"/>
        <v>0.68691547285236088</v>
      </c>
      <c r="K50" s="94">
        <f t="shared" ca="1" si="1"/>
        <v>11.524150224785133</v>
      </c>
    </row>
    <row r="51" spans="9:11" hidden="1">
      <c r="I51" s="92"/>
      <c r="J51" s="93">
        <f ca="1"/>
        <v>0.68774339625188607</v>
      </c>
      <c r="K51" s="94">
        <f t="shared" ca="1" si="1"/>
        <v>15.827771134640175</v>
      </c>
    </row>
    <row r="52" spans="9:11" hidden="1">
      <c r="I52" s="92"/>
      <c r="J52" s="93">
        <f ca="1"/>
        <v>0.68857131965141138</v>
      </c>
      <c r="K52" s="94">
        <f t="shared" ca="1" si="1"/>
        <v>21.134472053554745</v>
      </c>
    </row>
    <row r="53" spans="9:11" hidden="1">
      <c r="I53" s="92"/>
      <c r="J53" s="93">
        <f ca="1"/>
        <v>0.68939924305093658</v>
      </c>
      <c r="K53" s="94">
        <f t="shared" ca="1" si="1"/>
        <v>27.436192151163006</v>
      </c>
    </row>
    <row r="54" spans="9:11" hidden="1">
      <c r="I54" s="92"/>
      <c r="J54" s="93">
        <f ca="1"/>
        <v>0.69022716645046178</v>
      </c>
      <c r="K54" s="94">
        <f t="shared" ca="1" si="1"/>
        <v>34.627174764673931</v>
      </c>
    </row>
    <row r="55" spans="9:11" hidden="1">
      <c r="I55" s="92"/>
      <c r="J55" s="93">
        <f ca="1"/>
        <v>0.69105508984998698</v>
      </c>
      <c r="K55" s="94">
        <f t="shared" ca="1" si="1"/>
        <v>42.48846805261482</v>
      </c>
    </row>
    <row r="56" spans="9:11" hidden="1">
      <c r="I56" s="92"/>
      <c r="J56" s="93">
        <f ca="1"/>
        <v>0.69188301324951218</v>
      </c>
      <c r="K56" s="94">
        <f t="shared" ca="1" si="1"/>
        <v>50.685749993558723</v>
      </c>
    </row>
    <row r="57" spans="9:11" hidden="1">
      <c r="I57" s="92"/>
      <c r="J57" s="93">
        <f ca="1"/>
        <v>0.69271093664903749</v>
      </c>
      <c r="K57" s="94">
        <f t="shared" ca="1" si="1"/>
        <v>58.784316417376552</v>
      </c>
    </row>
    <row r="58" spans="9:11" hidden="1">
      <c r="I58" s="92"/>
      <c r="J58" s="93">
        <f ca="1"/>
        <v>0.69353886004856269</v>
      </c>
      <c r="K58" s="94">
        <f t="shared" ca="1" si="1"/>
        <v>66.282343979381565</v>
      </c>
    </row>
    <row r="59" spans="9:11" hidden="1">
      <c r="I59" s="92"/>
      <c r="J59" s="93">
        <f ca="1"/>
        <v>0.69436678344808789</v>
      </c>
      <c r="K59" s="94">
        <f t="shared" ca="1" si="1"/>
        <v>72.659939990752974</v>
      </c>
    </row>
    <row r="60" spans="9:11" hidden="1">
      <c r="I60" s="92"/>
      <c r="J60" s="93">
        <f ca="1"/>
        <v>0.6951947068476132</v>
      </c>
      <c r="K60" s="94">
        <f t="shared" ca="1" si="1"/>
        <v>77.437799283148806</v>
      </c>
    </row>
    <row r="61" spans="9:11" hidden="1">
      <c r="I61" s="92"/>
      <c r="J61" s="93">
        <f ca="1"/>
        <v>0.6960226302471384</v>
      </c>
      <c r="K61" s="94">
        <f t="shared" ca="1" si="1"/>
        <v>80.236460132517976</v>
      </c>
    </row>
    <row r="62" spans="9:11" hidden="1">
      <c r="I62" s="92"/>
      <c r="J62" s="93">
        <f ca="1"/>
        <v>0.6968505536466636</v>
      </c>
      <c r="K62" s="94">
        <f t="shared" ca="1" si="1"/>
        <v>80.826041412175002</v>
      </c>
    </row>
    <row r="63" spans="9:11" hidden="1">
      <c r="I63" s="92"/>
      <c r="J63" s="93">
        <f ca="1"/>
        <v>0.69767847704618879</v>
      </c>
      <c r="K63" s="94">
        <f t="shared" ca="1" si="1"/>
        <v>79.157423253054546</v>
      </c>
    </row>
    <row r="64" spans="9:11" hidden="1">
      <c r="I64" s="92"/>
      <c r="J64" s="93">
        <f ca="1"/>
        <v>0.69850640044571399</v>
      </c>
      <c r="K64" s="94">
        <f t="shared" ca="1" si="1"/>
        <v>75.369004455796201</v>
      </c>
    </row>
    <row r="65" spans="9:11" hidden="1">
      <c r="I65" s="92"/>
      <c r="J65" s="93">
        <f ca="1"/>
        <v>0.6993343238452393</v>
      </c>
      <c r="K65" s="94">
        <f t="shared" ca="1" si="1"/>
        <v>69.767747172722039</v>
      </c>
    </row>
    <row r="66" spans="9:11" hidden="1">
      <c r="I66" s="92"/>
      <c r="J66" s="93">
        <f ca="1"/>
        <v>0.7001622472447645</v>
      </c>
      <c r="K66" s="94">
        <f t="shared" ca="1" si="1"/>
        <v>62.788110124627146</v>
      </c>
    </row>
    <row r="67" spans="9:11" hidden="1">
      <c r="I67" s="92"/>
      <c r="J67" s="93">
        <f ca="1"/>
        <v>0.7009901706442897</v>
      </c>
      <c r="K67" s="94">
        <f t="shared" ca="1" si="1"/>
        <v>54.936490712087902</v>
      </c>
    </row>
    <row r="68" spans="9:11" hidden="1">
      <c r="I68" s="92"/>
      <c r="J68" s="93">
        <f ca="1"/>
        <v>0.70181809404381501</v>
      </c>
      <c r="K68" s="94">
        <f t="shared" ca="1" si="1"/>
        <v>46.731014217357632</v>
      </c>
    </row>
    <row r="69" spans="9:11" hidden="1">
      <c r="I69" s="92"/>
      <c r="J69" s="93">
        <f ca="1"/>
        <v>0.70264601744334021</v>
      </c>
      <c r="K69" s="94">
        <f t="shared" ca="1" si="1"/>
        <v>38.646510870700546</v>
      </c>
    </row>
    <row r="70" spans="9:11" hidden="1">
      <c r="I70" s="92"/>
      <c r="J70" s="93">
        <f ca="1"/>
        <v>0.70347394084286541</v>
      </c>
      <c r="K70" s="94">
        <f t="shared" ca="1" si="1"/>
        <v>31.072497736467678</v>
      </c>
    </row>
    <row r="71" spans="9:11" hidden="1">
      <c r="I71" s="92"/>
      <c r="J71" s="93">
        <f ca="1"/>
        <v>0.70430186424239061</v>
      </c>
      <c r="K71" s="94">
        <f t="shared" ca="1" si="1"/>
        <v>24.288619438781687</v>
      </c>
    </row>
    <row r="72" spans="9:11" hidden="1">
      <c r="I72" s="92"/>
      <c r="J72" s="93">
        <f ca="1"/>
        <v>0.70512978764191581</v>
      </c>
      <c r="K72" s="94">
        <f t="shared" ca="1" si="1"/>
        <v>18.458239902028101</v>
      </c>
    </row>
    <row r="73" spans="9:11" hidden="1">
      <c r="I73" s="92"/>
      <c r="J73" s="93">
        <f ca="1"/>
        <v>0.70595771104144112</v>
      </c>
      <c r="K73" s="94">
        <f t="shared" ca="1" si="1"/>
        <v>13.637618361603229</v>
      </c>
    </row>
    <row r="74" spans="9:11" hidden="1">
      <c r="I74" s="92"/>
      <c r="J74" s="93">
        <f ca="1"/>
        <v>0.70678563444096631</v>
      </c>
      <c r="K74" s="94">
        <f t="shared" ca="1" si="1"/>
        <v>9.7959727928072304</v>
      </c>
    </row>
    <row r="75" spans="9:11" hidden="1">
      <c r="I75" s="92"/>
      <c r="J75" s="93">
        <f ca="1"/>
        <v>0.70761355784049151</v>
      </c>
      <c r="K75" s="94">
        <f t="shared" ca="1" si="1"/>
        <v>6.8409654704247487</v>
      </c>
    </row>
    <row r="76" spans="9:11" hidden="1">
      <c r="I76" s="92"/>
      <c r="J76" s="93">
        <f ca="1"/>
        <v>0.70844148124001682</v>
      </c>
      <c r="K76" s="94">
        <f t="shared" ca="1" si="1"/>
        <v>4.6445967842161506</v>
      </c>
    </row>
    <row r="77" spans="9:11" hidden="1">
      <c r="I77" s="92"/>
      <c r="J77" s="93">
        <f ca="1"/>
        <v>0.70926940463954202</v>
      </c>
      <c r="K77" s="94">
        <f t="shared" ca="1" si="1"/>
        <v>3.0657689873044669</v>
      </c>
    </row>
    <row r="78" spans="9:11" hidden="1">
      <c r="I78" s="92"/>
      <c r="J78" s="93">
        <f ca="1"/>
        <v>0.71009732803906722</v>
      </c>
      <c r="K78" s="94">
        <f t="shared" ca="1" si="1"/>
        <v>1.9673952880424797</v>
      </c>
    </row>
    <row r="79" spans="9:11" hidden="1">
      <c r="I79" s="92"/>
      <c r="J79" s="93">
        <f ca="1"/>
        <v>0.71092525143859242</v>
      </c>
      <c r="K79" s="94">
        <f t="shared" ca="1" si="1"/>
        <v>1.2274522826191665</v>
      </c>
    </row>
    <row r="80" spans="9:11" hidden="1">
      <c r="I80" s="92"/>
      <c r="J80" s="93">
        <f ca="1"/>
        <v>0.71175317483811762</v>
      </c>
      <c r="K80" s="94">
        <f t="shared" ca="1" si="1"/>
        <v>0.74452348155557535</v>
      </c>
    </row>
    <row r="81" spans="9:11" hidden="1">
      <c r="I81" s="92"/>
      <c r="J81" s="93">
        <f ca="1"/>
        <v>0.71258109823764293</v>
      </c>
      <c r="K81" s="94">
        <f t="shared" ca="1" si="1"/>
        <v>0.43904897937944293</v>
      </c>
    </row>
    <row r="82" spans="9:11" hidden="1">
      <c r="I82" s="92"/>
      <c r="J82" s="93">
        <f ca="1"/>
        <v>0.71340902163716813</v>
      </c>
      <c r="K82" s="94">
        <f t="shared" ca="1" si="1"/>
        <v>0.25171455868234655</v>
      </c>
    </row>
    <row r="83" spans="9:11" hidden="1">
      <c r="I83" s="92" t="s">
        <v>78</v>
      </c>
      <c r="J83" s="93">
        <f ca="1"/>
        <v>0.4831364836763809</v>
      </c>
      <c r="K83" s="94"/>
    </row>
    <row r="84" spans="9:11" hidden="1">
      <c r="I84" s="92"/>
      <c r="J84" s="93">
        <f ca="1"/>
        <v>0.9662729673527618</v>
      </c>
      <c r="K84" s="94"/>
    </row>
    <row r="85" spans="9:11" hidden="1">
      <c r="I85" s="92"/>
      <c r="J85" s="93">
        <f ca="1"/>
        <v>0.4831364836763809</v>
      </c>
      <c r="K85" s="94"/>
    </row>
    <row r="86" spans="9:11" hidden="1">
      <c r="I86" s="92"/>
      <c r="J86" s="93">
        <f ca="1"/>
        <v>3.381955385734666</v>
      </c>
      <c r="K86" s="94"/>
    </row>
    <row r="87" spans="9:11" hidden="1">
      <c r="I87" s="92"/>
      <c r="J87" s="93">
        <f ca="1"/>
        <v>2.4156824183819041</v>
      </c>
      <c r="K87" s="94"/>
    </row>
    <row r="88" spans="9:11" hidden="1">
      <c r="I88" s="92"/>
      <c r="J88" s="93">
        <f ca="1"/>
        <v>3.1403871438964752</v>
      </c>
      <c r="K88" s="94"/>
    </row>
    <row r="89" spans="9:11" hidden="1">
      <c r="I89" s="92"/>
      <c r="J89" s="93">
        <f ca="1"/>
        <v>6.039206045954761</v>
      </c>
      <c r="K89" s="94"/>
    </row>
    <row r="90" spans="9:11" hidden="1">
      <c r="I90" s="92"/>
      <c r="J90" s="93">
        <f ca="1"/>
        <v>7.0054790133075215</v>
      </c>
      <c r="K90" s="94"/>
    </row>
    <row r="91" spans="9:11" hidden="1">
      <c r="I91" s="92"/>
      <c r="J91" s="93">
        <f ca="1"/>
        <v>11.595275608233139</v>
      </c>
      <c r="K91" s="94"/>
    </row>
    <row r="92" spans="9:11" hidden="1">
      <c r="I92" s="92"/>
      <c r="J92" s="93">
        <f ca="1"/>
        <v>17.634481654187901</v>
      </c>
      <c r="K92" s="94"/>
    </row>
    <row r="93" spans="9:11" hidden="1">
      <c r="I93" s="92"/>
      <c r="J93" s="93">
        <f ca="1"/>
        <v>26.572506602200946</v>
      </c>
      <c r="K93" s="94"/>
    </row>
    <row r="94" spans="9:11" hidden="1">
      <c r="I94" s="92"/>
      <c r="J94" s="93">
        <f ca="1"/>
        <v>31.162303197126565</v>
      </c>
      <c r="K94" s="94"/>
    </row>
    <row r="95" spans="9:11" hidden="1">
      <c r="I95" s="92"/>
      <c r="J95" s="93">
        <f ca="1"/>
        <v>33.33641737367028</v>
      </c>
      <c r="K95" s="94"/>
    </row>
    <row r="96" spans="9:11" hidden="1">
      <c r="I96" s="92"/>
      <c r="J96" s="93">
        <f ca="1"/>
        <v>46.381102432932558</v>
      </c>
      <c r="K96" s="94"/>
    </row>
    <row r="97" spans="9:11" hidden="1">
      <c r="I97" s="92"/>
      <c r="J97" s="93">
        <f ca="1"/>
        <v>55.802263864621985</v>
      </c>
      <c r="K97" s="94"/>
    </row>
    <row r="98" spans="9:11" hidden="1">
      <c r="I98" s="92"/>
      <c r="J98" s="93">
        <f ca="1"/>
        <v>64.740288812635043</v>
      </c>
      <c r="K98" s="94"/>
    </row>
    <row r="99" spans="9:11" hidden="1">
      <c r="I99" s="92"/>
      <c r="J99" s="93">
        <f ca="1"/>
        <v>69.330085407560659</v>
      </c>
      <c r="K99" s="94"/>
    </row>
    <row r="100" spans="9:11" hidden="1">
      <c r="I100" s="92"/>
      <c r="J100" s="93">
        <f ca="1"/>
        <v>70.537926616751605</v>
      </c>
      <c r="K100" s="94"/>
    </row>
    <row r="101" spans="9:11" hidden="1">
      <c r="I101" s="92"/>
      <c r="J101" s="93">
        <f ca="1"/>
        <v>83.099475192337508</v>
      </c>
      <c r="K101" s="94"/>
    </row>
    <row r="102" spans="9:11" hidden="1">
      <c r="I102" s="92"/>
      <c r="J102" s="93">
        <f ca="1"/>
        <v>74.403018486162651</v>
      </c>
      <c r="K102" s="94"/>
    </row>
    <row r="103" spans="9:11" hidden="1">
      <c r="I103" s="92"/>
      <c r="J103" s="93">
        <f ca="1"/>
        <v>83.824179917852078</v>
      </c>
      <c r="K103" s="94"/>
    </row>
    <row r="104" spans="9:11" hidden="1">
      <c r="I104" s="92"/>
      <c r="J104" s="93">
        <f ca="1"/>
        <v>77.543405630059112</v>
      </c>
      <c r="K104" s="94"/>
    </row>
    <row r="105" spans="9:11" hidden="1">
      <c r="I105" s="92"/>
      <c r="J105" s="93">
        <f ca="1"/>
        <v>74.644586728000846</v>
      </c>
      <c r="K105" s="94"/>
    </row>
    <row r="106" spans="9:11" hidden="1">
      <c r="I106" s="92"/>
      <c r="J106" s="93">
        <f ca="1"/>
        <v>72.95360903513351</v>
      </c>
      <c r="K106" s="94"/>
    </row>
    <row r="107" spans="9:11" hidden="1">
      <c r="I107" s="92"/>
      <c r="J107" s="93">
        <f ca="1"/>
        <v>60.633628701385803</v>
      </c>
      <c r="K107" s="94"/>
    </row>
    <row r="108" spans="9:11" hidden="1">
      <c r="I108" s="92"/>
      <c r="J108" s="93">
        <f ca="1"/>
        <v>46.622670674770752</v>
      </c>
      <c r="K108" s="94"/>
    </row>
    <row r="109" spans="9:11" hidden="1">
      <c r="I109" s="92"/>
      <c r="J109" s="93">
        <f ca="1"/>
        <v>43.240715289036082</v>
      </c>
      <c r="K109" s="94"/>
    </row>
    <row r="110" spans="9:11" hidden="1">
      <c r="I110" s="92"/>
      <c r="J110" s="93">
        <f ca="1"/>
        <v>33.33641737367028</v>
      </c>
      <c r="K110" s="94"/>
    </row>
    <row r="111" spans="9:11" hidden="1">
      <c r="I111" s="92"/>
      <c r="J111" s="93">
        <f ca="1"/>
        <v>30.920734955288378</v>
      </c>
      <c r="K111" s="94"/>
    </row>
    <row r="112" spans="9:11" hidden="1">
      <c r="I112" s="92"/>
      <c r="J112" s="93">
        <f ca="1"/>
        <v>23.190551216466279</v>
      </c>
      <c r="K112" s="94"/>
    </row>
    <row r="113" spans="9:12" hidden="1">
      <c r="I113" s="92"/>
      <c r="J113" s="93">
        <f ca="1"/>
        <v>15.943503961320568</v>
      </c>
      <c r="K113" s="94"/>
    </row>
    <row r="114" spans="9:12" hidden="1">
      <c r="I114" s="92"/>
      <c r="J114" s="93">
        <f ca="1"/>
        <v>11.35370736639495</v>
      </c>
      <c r="K114" s="94"/>
    </row>
    <row r="115" spans="9:12" hidden="1">
      <c r="I115" s="92"/>
      <c r="J115" s="93">
        <f ca="1"/>
        <v>8.9380249480130463</v>
      </c>
      <c r="K115" s="94"/>
    </row>
    <row r="116" spans="9:12" hidden="1">
      <c r="I116" s="92"/>
      <c r="J116" s="93">
        <f ca="1"/>
        <v>7.2470472551457128</v>
      </c>
      <c r="K116" s="94"/>
    </row>
    <row r="117" spans="9:12" hidden="1">
      <c r="I117" s="92"/>
      <c r="J117" s="93">
        <f ca="1"/>
        <v>2.6572506602200949</v>
      </c>
      <c r="K117" s="94"/>
    </row>
    <row r="118" spans="9:12" hidden="1">
      <c r="I118" s="92"/>
      <c r="J118" s="93">
        <f ca="1"/>
        <v>1.690977692867333</v>
      </c>
      <c r="K118" s="94"/>
    </row>
    <row r="119" spans="9:12" hidden="1">
      <c r="I119" s="92"/>
      <c r="J119" s="93">
        <f ca="1"/>
        <v>1.9325459347055236</v>
      </c>
      <c r="K119" s="94"/>
    </row>
    <row r="120" spans="9:12" hidden="1">
      <c r="I120" s="92"/>
      <c r="J120" s="93">
        <f ca="1"/>
        <v>1.2078412091909521</v>
      </c>
      <c r="K120" s="94"/>
    </row>
    <row r="121" spans="9:12" hidden="1">
      <c r="I121" s="92"/>
      <c r="J121" s="93">
        <f ca="1"/>
        <v>0.9662729673527618</v>
      </c>
      <c r="K121" s="94"/>
    </row>
    <row r="122" spans="9:12" ht="15.75" hidden="1" thickBot="1">
      <c r="I122" s="95"/>
      <c r="J122" s="96">
        <f ca="1"/>
        <v>0.24156824183819045</v>
      </c>
      <c r="K122" s="97"/>
    </row>
    <row r="123" spans="9:12" ht="15.75" thickBot="1"/>
    <row r="124" spans="9:12">
      <c r="I124" s="208" t="s">
        <v>79</v>
      </c>
      <c r="J124" s="209"/>
      <c r="K124" s="209"/>
      <c r="L124" s="210"/>
    </row>
    <row r="125" spans="9:12">
      <c r="I125" s="20" t="s">
        <v>80</v>
      </c>
      <c r="J125" s="7">
        <f>SigFigs</f>
        <v>1</v>
      </c>
      <c r="K125" s="7"/>
      <c r="L125" s="42"/>
    </row>
    <row r="126" spans="9:12">
      <c r="I126" s="20" t="s">
        <v>81</v>
      </c>
      <c r="J126" s="7">
        <f>_xlfn.LET(_xlpm.r, INT(_xlfn.FLOOR.MATH(LOG10(ABS(OutputStdevGUM)))-(SigFigs-1)), 0.5*10^_xlpm.r)</f>
        <v>5.0000000000000001E-4</v>
      </c>
      <c r="K126" s="7"/>
      <c r="L126" s="42"/>
    </row>
    <row r="127" spans="9:12">
      <c r="I127" s="20" t="s">
        <v>82</v>
      </c>
      <c r="J127" s="7" t="str">
        <f ca="1">IF(ABS(OutputCoverageLoGUM-OutputCoverageLoMC)&lt;ValidityCheckDelta, "✓", "×")</f>
        <v>×</v>
      </c>
      <c r="K127" s="7"/>
      <c r="L127" s="42"/>
    </row>
    <row r="128" spans="9:12" ht="15.75" thickBot="1">
      <c r="I128" s="21" t="s">
        <v>83</v>
      </c>
      <c r="J128" s="34" t="str">
        <f ca="1">IF(ABS(OutputCoverageHiGUM-OutputCoverageHiMC)&lt;ValidityCheckDelta, "✓", "×")</f>
        <v>✓</v>
      </c>
      <c r="K128" s="34"/>
      <c r="L128" s="108"/>
    </row>
  </sheetData>
  <mergeCells count="5">
    <mergeCell ref="B4:C4"/>
    <mergeCell ref="N10:V10"/>
    <mergeCell ref="I21:L21"/>
    <mergeCell ref="I32:L32"/>
    <mergeCell ref="I124:L124"/>
  </mergeCells>
  <conditionalFormatting sqref="L11:L19">
    <cfRule type="dataBar" priority="1">
      <dataBar>
        <cfvo type="num" val="0"/>
        <cfvo type="num" val="1"/>
        <color rgb="FFFFB628"/>
      </dataBar>
      <extLst>
        <ext xmlns:x14="http://schemas.microsoft.com/office/spreadsheetml/2009/9/main" uri="{B025F937-C7B1-47D3-B67F-A62EFF666E3E}">
          <x14:id>{B95A061B-A1DE-4072-BCDE-2F747E347349}</x14:id>
        </ext>
      </extLst>
    </cfRule>
  </conditionalFormatting>
  <conditionalFormatting sqref="P12">
    <cfRule type="expression" dxfId="0" priority="6">
      <formula>ISBLANK($P11)</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95A061B-A1DE-4072-BCDE-2F747E347349}">
            <x14:dataBar minLength="0" maxLength="100" border="1" negativeBarBorderColorSameAsPositive="0">
              <x14:cfvo type="num">
                <xm:f>0</xm:f>
              </x14:cfvo>
              <x14:cfvo type="num">
                <xm:f>1</xm:f>
              </x14:cfvo>
              <x14:borderColor rgb="FFFFB628"/>
              <x14:negativeFillColor rgb="FFFF0000"/>
              <x14:negativeBorderColor rgb="FFFF0000"/>
              <x14:axisColor rgb="FF000000"/>
            </x14:dataBar>
          </x14:cfRule>
          <xm:sqref>L11:L19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69F4DB8-582D-4969-B9E2-645C14BFE742}">
          <x14:formula1>
            <xm:f>Lookups!$A$2:$A$6</xm:f>
          </x14:formula1>
          <xm:sqref>E11:E18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CF4-06FE-499B-830E-1752B26A92F2}">
  <sheetPr codeName="Sheet3"/>
  <dimension ref="B2:F33"/>
  <sheetViews>
    <sheetView showGridLines="0" workbookViewId="0">
      <selection activeCell="F11" sqref="F11"/>
    </sheetView>
  </sheetViews>
  <sheetFormatPr defaultRowHeight="15"/>
  <cols>
    <col min="1" max="1" width="4.140625" customWidth="1"/>
    <col min="2" max="2" width="9.7109375" customWidth="1"/>
    <col min="3" max="3" width="11.140625" customWidth="1"/>
    <col min="4" max="4" width="16.140625" customWidth="1"/>
    <col min="5" max="5" width="14.140625" customWidth="1"/>
    <col min="6" max="6" width="17.28515625" customWidth="1"/>
  </cols>
  <sheetData>
    <row r="2" spans="2:6">
      <c r="B2" t="s">
        <v>84</v>
      </c>
    </row>
    <row r="3" spans="2:6" ht="15.75" thickBot="1"/>
    <row r="4" spans="2:6">
      <c r="B4" s="205" t="s">
        <v>85</v>
      </c>
      <c r="C4" s="207"/>
      <c r="D4" s="207"/>
      <c r="E4" s="207"/>
      <c r="F4" s="206"/>
    </row>
    <row r="5" spans="2:6">
      <c r="B5" s="8"/>
      <c r="C5" s="76" t="s">
        <v>46</v>
      </c>
      <c r="D5" s="77" t="s">
        <v>47</v>
      </c>
      <c r="E5" s="77" t="s">
        <v>86</v>
      </c>
      <c r="F5" s="78" t="s">
        <v>87</v>
      </c>
    </row>
    <row r="6" spans="2:6">
      <c r="B6" s="8" t="s">
        <v>88</v>
      </c>
      <c r="C6" s="3">
        <v>0.25</v>
      </c>
      <c r="D6" s="4" t="s">
        <v>89</v>
      </c>
      <c r="E6" s="4" cm="1">
        <f t="array" ref="E6">K_LOOKUP(D6)</f>
        <v>1.7320508075688772</v>
      </c>
      <c r="F6" s="2">
        <v>50</v>
      </c>
    </row>
    <row r="7" spans="2:6">
      <c r="B7" s="8" t="s">
        <v>90</v>
      </c>
      <c r="C7" s="3">
        <v>0.01</v>
      </c>
      <c r="D7" s="4" t="s">
        <v>91</v>
      </c>
      <c r="E7" s="4" cm="1">
        <f t="array" ref="E7">K_LOOKUP(D7)</f>
        <v>2</v>
      </c>
      <c r="F7" s="2">
        <v>50</v>
      </c>
    </row>
    <row r="8" spans="2:6">
      <c r="B8" s="8" t="s">
        <v>92</v>
      </c>
      <c r="C8" s="3">
        <v>0</v>
      </c>
      <c r="D8" s="4" t="s">
        <v>91</v>
      </c>
      <c r="E8" s="4" cm="1">
        <f t="array" ref="E8">K_LOOKUP(D8)</f>
        <v>2</v>
      </c>
      <c r="F8" s="2">
        <v>1000000</v>
      </c>
    </row>
    <row r="9" spans="2:6" ht="15.75" thickBot="1">
      <c r="B9" s="10" t="s">
        <v>93</v>
      </c>
      <c r="C9" s="16">
        <v>0</v>
      </c>
      <c r="D9" s="69" t="s">
        <v>91</v>
      </c>
      <c r="E9" s="69" cm="1">
        <f t="array" ref="E9">K_LOOKUP(D9)</f>
        <v>2</v>
      </c>
      <c r="F9" s="11">
        <v>1000000</v>
      </c>
    </row>
    <row r="10" spans="2:6">
      <c r="B10" s="20"/>
      <c r="C10" s="5"/>
      <c r="D10" s="43" t="s">
        <v>94</v>
      </c>
      <c r="E10" s="99"/>
      <c r="F10" s="74" cm="1">
        <f t="array" ref="F10">SQRT(SUMSQ(C6:C9/E6:E9))</f>
        <v>0.14442414387259958</v>
      </c>
    </row>
    <row r="11" spans="2:6" ht="15.75" thickBot="1">
      <c r="B11" s="21"/>
      <c r="C11" s="22"/>
      <c r="D11" s="44" t="s">
        <v>95</v>
      </c>
      <c r="E11" s="100"/>
      <c r="F11" s="75" cm="1">
        <f t="array" ref="F11">F10^4/(SUM((C6:C9/E6:E9)^4/F6:F9))</f>
        <v>50.119999827200267</v>
      </c>
    </row>
    <row r="13" spans="2:6" ht="15.75" thickBot="1"/>
    <row r="14" spans="2:6">
      <c r="B14" s="205" t="s">
        <v>85</v>
      </c>
      <c r="C14" s="207"/>
      <c r="D14" s="207"/>
      <c r="E14" s="207"/>
      <c r="F14" s="206"/>
    </row>
    <row r="15" spans="2:6">
      <c r="B15" s="8"/>
      <c r="C15" s="76" t="s">
        <v>46</v>
      </c>
      <c r="D15" s="77" t="s">
        <v>47</v>
      </c>
      <c r="E15" s="77" t="s">
        <v>86</v>
      </c>
      <c r="F15" s="78" t="s">
        <v>87</v>
      </c>
    </row>
    <row r="16" spans="2:6">
      <c r="B16" s="8" t="s">
        <v>88</v>
      </c>
      <c r="C16" s="3">
        <v>0.25</v>
      </c>
      <c r="D16" s="4" t="s">
        <v>91</v>
      </c>
      <c r="E16" s="4" cm="1">
        <f t="array" ref="E16">K_LOOKUP(D16)</f>
        <v>2</v>
      </c>
      <c r="F16" s="2">
        <v>50</v>
      </c>
    </row>
    <row r="17" spans="2:6">
      <c r="B17" s="8" t="s">
        <v>90</v>
      </c>
      <c r="C17" s="3">
        <v>0.01</v>
      </c>
      <c r="D17" s="4" t="s">
        <v>91</v>
      </c>
      <c r="E17" s="4" cm="1">
        <f t="array" ref="E17">K_LOOKUP(D17)</f>
        <v>2</v>
      </c>
      <c r="F17" s="2">
        <v>50</v>
      </c>
    </row>
    <row r="18" spans="2:6">
      <c r="B18" s="8" t="s">
        <v>92</v>
      </c>
      <c r="C18" s="3">
        <v>0</v>
      </c>
      <c r="D18" s="4" t="s">
        <v>91</v>
      </c>
      <c r="E18" s="4" cm="1">
        <f t="array" ref="E18">K_LOOKUP(D18)</f>
        <v>2</v>
      </c>
      <c r="F18" s="2">
        <v>1000000</v>
      </c>
    </row>
    <row r="19" spans="2:6" ht="15.75" thickBot="1">
      <c r="B19" s="10" t="s">
        <v>93</v>
      </c>
      <c r="C19" s="16">
        <v>0</v>
      </c>
      <c r="D19" s="69" t="s">
        <v>91</v>
      </c>
      <c r="E19" s="69" cm="1">
        <f t="array" ref="E19">K_LOOKUP(D19)</f>
        <v>2</v>
      </c>
      <c r="F19" s="11">
        <v>1000000</v>
      </c>
    </row>
    <row r="20" spans="2:6">
      <c r="B20" s="20"/>
      <c r="C20" s="5"/>
      <c r="D20" s="43" t="s">
        <v>94</v>
      </c>
      <c r="E20" s="99"/>
      <c r="F20" s="74" cm="1">
        <f t="array" ref="F20">SQRT(SUMSQ(C16:C19/E16:E19))</f>
        <v>0.12509996003196805</v>
      </c>
    </row>
    <row r="21" spans="2:6" ht="15.75" thickBot="1">
      <c r="B21" s="21"/>
      <c r="C21" s="22"/>
      <c r="D21" s="44" t="s">
        <v>95</v>
      </c>
      <c r="E21" s="100"/>
      <c r="F21" s="75" cm="1">
        <f t="array" ref="F21">F20^4/(SUM((C16:C19/E16:E19)^4/F16:F19))</f>
        <v>50.159999590401071</v>
      </c>
    </row>
    <row r="23" spans="2:6" ht="15.75" thickBot="1"/>
    <row r="24" spans="2:6">
      <c r="B24" s="205" t="s">
        <v>85</v>
      </c>
      <c r="C24" s="207"/>
      <c r="D24" s="207"/>
      <c r="E24" s="207"/>
      <c r="F24" s="206"/>
    </row>
    <row r="25" spans="2:6">
      <c r="B25" s="8"/>
      <c r="C25" s="76" t="s">
        <v>46</v>
      </c>
      <c r="D25" s="77" t="s">
        <v>47</v>
      </c>
      <c r="E25" s="77" t="s">
        <v>86</v>
      </c>
      <c r="F25" s="78" t="s">
        <v>87</v>
      </c>
    </row>
    <row r="26" spans="2:6">
      <c r="B26" s="8" t="s">
        <v>88</v>
      </c>
      <c r="C26" s="3">
        <v>0.25</v>
      </c>
      <c r="D26" s="4" t="s">
        <v>91</v>
      </c>
      <c r="E26" s="4" cm="1">
        <f t="array" ref="E26">K_LOOKUP(D26)</f>
        <v>2</v>
      </c>
      <c r="F26" s="2">
        <v>50</v>
      </c>
    </row>
    <row r="27" spans="2:6">
      <c r="B27" s="8" t="s">
        <v>90</v>
      </c>
      <c r="C27" s="3">
        <v>0.01</v>
      </c>
      <c r="D27" s="4" t="s">
        <v>91</v>
      </c>
      <c r="E27" s="4" cm="1">
        <f t="array" ref="E27">K_LOOKUP(D27)</f>
        <v>2</v>
      </c>
      <c r="F27" s="2">
        <v>50</v>
      </c>
    </row>
    <row r="28" spans="2:6">
      <c r="B28" s="8" t="s">
        <v>92</v>
      </c>
      <c r="C28" s="3">
        <v>0</v>
      </c>
      <c r="D28" s="4" t="s">
        <v>91</v>
      </c>
      <c r="E28" s="4" cm="1">
        <f t="array" ref="E28">K_LOOKUP(D28)</f>
        <v>2</v>
      </c>
      <c r="F28" s="2">
        <v>1000000</v>
      </c>
    </row>
    <row r="29" spans="2:6" ht="15.75" thickBot="1">
      <c r="B29" s="10" t="s">
        <v>93</v>
      </c>
      <c r="C29" s="16">
        <v>0</v>
      </c>
      <c r="D29" s="69" t="s">
        <v>91</v>
      </c>
      <c r="E29" s="69" cm="1">
        <f t="array" ref="E29">K_LOOKUP(D29)</f>
        <v>2</v>
      </c>
      <c r="F29" s="11">
        <v>1000000</v>
      </c>
    </row>
    <row r="30" spans="2:6">
      <c r="B30" s="20"/>
      <c r="C30" s="5"/>
      <c r="D30" s="43" t="s">
        <v>94</v>
      </c>
      <c r="E30" s="99"/>
      <c r="F30" s="74" cm="1">
        <f t="array" ref="F30">SQRT(SUMSQ(C26:C29/E26:E29))</f>
        <v>0.12509996003196805</v>
      </c>
    </row>
    <row r="31" spans="2:6" ht="15.75" thickBot="1">
      <c r="B31" s="21"/>
      <c r="C31" s="22"/>
      <c r="D31" s="44" t="s">
        <v>95</v>
      </c>
      <c r="E31" s="100"/>
      <c r="F31" s="75" cm="1">
        <f t="array" ref="F31">F30^4/(SUM((C26:C29/E26:E29)^4/F26:F29))</f>
        <v>50.159999590401071</v>
      </c>
    </row>
    <row r="33" spans="2:2">
      <c r="B33" s="1"/>
    </row>
  </sheetData>
  <mergeCells count="3">
    <mergeCell ref="B4:F4"/>
    <mergeCell ref="B14:F14"/>
    <mergeCell ref="B24:F2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162C2D1-AB98-40D5-8DBB-8A04EF316C7D}">
          <x14:formula1>
            <xm:f>Lookups!$A$2:$A$6</xm:f>
          </x14:formula1>
          <xm:sqref>D26:D29 D6:D9 D16:D19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D89E-8AB8-4357-A696-53DB1ED0D7F3}">
  <sheetPr codeName="Sheet4"/>
  <dimension ref="B1:M30"/>
  <sheetViews>
    <sheetView showGridLines="0" workbookViewId="0">
      <selection activeCell="K12" sqref="K12"/>
    </sheetView>
  </sheetViews>
  <sheetFormatPr defaultColWidth="9.140625" defaultRowHeight="15"/>
  <cols>
    <col min="1" max="1" width="2.5703125" style="79" customWidth="1"/>
    <col min="2" max="2" width="16.5703125" style="36" customWidth="1"/>
    <col min="3" max="3" width="6.140625" style="79" customWidth="1"/>
    <col min="4" max="4" width="12.85546875" style="79" customWidth="1"/>
    <col min="5" max="5" width="12.28515625" style="79" customWidth="1"/>
    <col min="6" max="6" width="13.28515625" style="120" customWidth="1"/>
    <col min="7" max="7" width="8" style="79" customWidth="1"/>
    <col min="8" max="8" width="16.85546875" style="79" customWidth="1"/>
    <col min="9" max="9" width="9.140625" style="79"/>
    <col min="10" max="10" width="35.42578125" style="79" customWidth="1"/>
    <col min="11" max="11" width="13.28515625" style="79" customWidth="1"/>
    <col min="12" max="16384" width="9.140625" style="79"/>
  </cols>
  <sheetData>
    <row r="1" spans="2:13">
      <c r="B1" s="36">
        <v>9.9727134179682029</v>
      </c>
      <c r="C1" s="85" t="s">
        <v>96</v>
      </c>
    </row>
    <row r="2" spans="2:13" ht="15.75" thickBot="1">
      <c r="B2" s="36">
        <v>10.240535111145824</v>
      </c>
      <c r="D2" s="85"/>
    </row>
    <row r="3" spans="2:13">
      <c r="B3" s="36">
        <v>10.225833068611051</v>
      </c>
      <c r="D3" s="205" t="s">
        <v>97</v>
      </c>
      <c r="E3" s="207"/>
      <c r="F3" s="207"/>
      <c r="G3" s="207"/>
      <c r="H3" s="206"/>
      <c r="J3" s="211" t="s">
        <v>98</v>
      </c>
      <c r="K3" s="212"/>
      <c r="M3" s="119" t="s">
        <v>99</v>
      </c>
    </row>
    <row r="4" spans="2:13">
      <c r="B4" s="36">
        <v>10.081314839374789</v>
      </c>
      <c r="D4" s="8"/>
      <c r="E4" s="76" t="s">
        <v>46</v>
      </c>
      <c r="F4" s="77" t="s">
        <v>47</v>
      </c>
      <c r="G4" s="77" t="s">
        <v>86</v>
      </c>
      <c r="H4" s="78" t="s">
        <v>87</v>
      </c>
      <c r="J4" s="49" t="s">
        <v>62</v>
      </c>
      <c r="K4" s="160">
        <f>_xlfn.STDEV.S(B:B)</f>
        <v>0.16820807395501139</v>
      </c>
    </row>
    <row r="5" spans="2:13">
      <c r="B5" s="36">
        <v>10.249262859779723</v>
      </c>
      <c r="D5" s="8" t="s">
        <v>88</v>
      </c>
      <c r="E5" s="3">
        <v>0</v>
      </c>
      <c r="F5" s="4" t="s">
        <v>91</v>
      </c>
      <c r="G5" s="4">
        <f>IF(LEFT(F5,1)="U",1.7321,IF(RIGHT(F5,1)="3",3,IF(RIGHT(F5,1)="2",2,1)))</f>
        <v>2</v>
      </c>
      <c r="H5" s="2">
        <v>50</v>
      </c>
      <c r="J5" s="49" t="s">
        <v>100</v>
      </c>
      <c r="K5" s="160">
        <f>K4/SQRT(COUNT(B:B))</f>
        <v>3.7612468772771732E-2</v>
      </c>
    </row>
    <row r="6" spans="2:13">
      <c r="B6" s="36">
        <v>10.030252223742202</v>
      </c>
      <c r="D6" s="8" t="s">
        <v>90</v>
      </c>
      <c r="E6" s="3">
        <v>0</v>
      </c>
      <c r="F6" s="4" t="s">
        <v>91</v>
      </c>
      <c r="G6" s="4">
        <f>IF(LEFT(F6,1)="U",1.7321,IF(RIGHT(F6,1)="3",3,IF(RIGHT(F6,1)="2",2,1)))</f>
        <v>2</v>
      </c>
      <c r="H6" s="2">
        <v>50</v>
      </c>
      <c r="J6" s="49"/>
      <c r="K6" s="161"/>
    </row>
    <row r="7" spans="2:13">
      <c r="B7" s="36">
        <v>9.7966849518854939</v>
      </c>
      <c r="D7" s="8" t="s">
        <v>92</v>
      </c>
      <c r="E7" s="3">
        <v>0</v>
      </c>
      <c r="F7" s="4" t="s">
        <v>91</v>
      </c>
      <c r="G7" s="4">
        <f>IF(LEFT(F7,1)="U",1.7321,IF(RIGHT(F7,1)="3",3,IF(RIGHT(F7,1)="2",2,1)))</f>
        <v>2</v>
      </c>
      <c r="H7" s="2">
        <v>1000000</v>
      </c>
      <c r="J7" s="55" t="s">
        <v>70</v>
      </c>
      <c r="K7" s="162">
        <f>AVERAGE(B:B)</f>
        <v>10.051695617522771</v>
      </c>
    </row>
    <row r="8" spans="2:13" ht="15.75" thickBot="1">
      <c r="B8" s="36">
        <v>10.190687520831332</v>
      </c>
      <c r="D8" s="10" t="s">
        <v>93</v>
      </c>
      <c r="E8" s="16">
        <v>0</v>
      </c>
      <c r="F8" s="69" t="s">
        <v>91</v>
      </c>
      <c r="G8" s="69">
        <f>IF(LEFT(F8,1)="U",1.7321,IF(RIGHT(F8,1)="3",3,IF(RIGHT(F8,1)="2",2,1)))</f>
        <v>2</v>
      </c>
      <c r="H8" s="11">
        <v>1000000</v>
      </c>
      <c r="J8" s="175" t="s">
        <v>101</v>
      </c>
      <c r="K8" s="163">
        <f>K5</f>
        <v>3.7612468772771732E-2</v>
      </c>
    </row>
    <row r="9" spans="2:13">
      <c r="B9" s="36">
        <v>10.188783041342731</v>
      </c>
      <c r="D9" s="138"/>
      <c r="E9" s="138"/>
      <c r="F9" s="142"/>
      <c r="G9" s="142"/>
      <c r="H9" s="158"/>
      <c r="J9" s="175" t="s">
        <v>87</v>
      </c>
      <c r="K9" s="164">
        <f>COUNT(B:B)-1</f>
        <v>19</v>
      </c>
    </row>
    <row r="10" spans="2:13">
      <c r="B10" s="36">
        <v>10.141291094108462</v>
      </c>
      <c r="D10" s="138"/>
      <c r="E10" s="138"/>
      <c r="F10" s="142"/>
      <c r="G10" s="142"/>
      <c r="H10" s="159"/>
      <c r="J10" s="165"/>
      <c r="K10" s="161"/>
    </row>
    <row r="11" spans="2:13">
      <c r="B11" s="36">
        <v>9.7663442504289755</v>
      </c>
      <c r="J11" s="55" t="s">
        <v>94</v>
      </c>
      <c r="K11" s="166" cm="1">
        <f t="array" ref="K11">SQRT(SUMSQ(E5:E8/G5:G8)+K8^2)</f>
        <v>3.7612468772771732E-2</v>
      </c>
    </row>
    <row r="12" spans="2:13" ht="15.75" thickBot="1">
      <c r="B12" s="36">
        <v>10.182671553770849</v>
      </c>
      <c r="J12" s="67" t="s">
        <v>95</v>
      </c>
      <c r="K12" s="167" cm="1">
        <f t="array" ref="K12">K11^4/(SUM((E5:E8/G5:G8)^4/H5:H8) + K8^4/K9)</f>
        <v>19</v>
      </c>
    </row>
    <row r="13" spans="2:13">
      <c r="B13" s="36">
        <v>10.210388236494438</v>
      </c>
    </row>
    <row r="14" spans="2:13" ht="15.75" thickBot="1">
      <c r="B14" s="36">
        <v>9.8050776175605598</v>
      </c>
    </row>
    <row r="15" spans="2:13">
      <c r="B15" s="36">
        <v>9.9630818257396001</v>
      </c>
      <c r="J15" s="211" t="s">
        <v>102</v>
      </c>
      <c r="K15" s="212"/>
      <c r="M15" s="119" t="s">
        <v>103</v>
      </c>
    </row>
    <row r="16" spans="2:13">
      <c r="B16" s="36">
        <v>10.068881639054325</v>
      </c>
      <c r="J16" s="14" t="s">
        <v>104</v>
      </c>
      <c r="K16" s="48">
        <v>1</v>
      </c>
      <c r="M16" s="85"/>
    </row>
    <row r="17" spans="2:11">
      <c r="B17" s="36">
        <v>10.069407301833898</v>
      </c>
      <c r="J17" s="165"/>
      <c r="K17" s="161"/>
    </row>
    <row r="18" spans="2:11">
      <c r="B18" s="36">
        <v>9.8414566526019982</v>
      </c>
      <c r="J18" s="55" t="s">
        <v>70</v>
      </c>
      <c r="K18" s="162">
        <f>AVERAGE(B:B)</f>
        <v>10.051695617522771</v>
      </c>
    </row>
    <row r="19" spans="2:11">
      <c r="B19" s="36">
        <v>9.814693870384243</v>
      </c>
      <c r="J19" s="175" t="s">
        <v>101</v>
      </c>
      <c r="K19" s="168">
        <f>_xlfn.STDEV.S(B:B) / SQRT(K16)</f>
        <v>0.16820807395501139</v>
      </c>
    </row>
    <row r="20" spans="2:11">
      <c r="B20" s="36">
        <v>10.194551273796703</v>
      </c>
      <c r="J20" s="169" t="s">
        <v>87</v>
      </c>
      <c r="K20" s="170">
        <f>COUNT(B:B)-1</f>
        <v>19</v>
      </c>
    </row>
    <row r="21" spans="2:11">
      <c r="J21" s="165"/>
      <c r="K21" s="161"/>
    </row>
    <row r="22" spans="2:11">
      <c r="J22" s="55" t="s">
        <v>94</v>
      </c>
      <c r="K22" s="162" cm="1">
        <f t="array" ref="K22">SQRT(SUMSQ(E5:E8/G5:G8)+K19^2)</f>
        <v>0.16820807395501139</v>
      </c>
    </row>
    <row r="23" spans="2:11" ht="15.75" thickBot="1">
      <c r="J23" s="67" t="s">
        <v>95</v>
      </c>
      <c r="K23" s="167" cm="1">
        <f t="array" ref="K23">K22^4/(SUM((E5:E8/G5:G8)^4/H5:H8) + K19^4/K20)</f>
        <v>19</v>
      </c>
    </row>
    <row r="30" spans="2:11">
      <c r="D30" s="85"/>
    </row>
  </sheetData>
  <mergeCells count="3">
    <mergeCell ref="J15:K15"/>
    <mergeCell ref="J3:K3"/>
    <mergeCell ref="D3:H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23244C7-035D-4C32-9058-698508FC155A}">
          <x14:formula1>
            <xm:f>Lookups!$A$2:$A$6</xm:f>
          </x14:formula1>
          <xm:sqref>F5:F8 F10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FBCA2-8D4B-4D40-9749-4759D97F9E3B}">
  <sheetPr codeName="Sheet5"/>
  <dimension ref="B1:R55"/>
  <sheetViews>
    <sheetView showGridLines="0" workbookViewId="0">
      <selection activeCell="J20" sqref="J20"/>
    </sheetView>
  </sheetViews>
  <sheetFormatPr defaultColWidth="9.140625" defaultRowHeight="15"/>
  <cols>
    <col min="1" max="1" width="2.5703125" style="79" customWidth="1"/>
    <col min="2" max="2" width="32" style="79" customWidth="1"/>
    <col min="3" max="8" width="9.140625" style="79"/>
    <col min="9" max="9" width="9.5703125" style="79" bestFit="1" customWidth="1"/>
    <col min="10" max="13" width="9.140625" style="79"/>
    <col min="14" max="14" width="11.5703125" style="79" customWidth="1"/>
    <col min="15" max="15" width="12" style="79" customWidth="1"/>
    <col min="16" max="16" width="14.42578125" style="79" customWidth="1"/>
    <col min="17" max="17" width="6" style="79" customWidth="1"/>
    <col min="18" max="18" width="17" style="79" customWidth="1"/>
    <col min="19" max="16384" width="9.140625" style="79"/>
  </cols>
  <sheetData>
    <row r="1" spans="2:18">
      <c r="B1" s="85" t="s">
        <v>105</v>
      </c>
    </row>
    <row r="2" spans="2:18" ht="15.75" thickBot="1"/>
    <row r="3" spans="2:18">
      <c r="B3" s="37" t="s">
        <v>106</v>
      </c>
      <c r="C3" s="38" t="s">
        <v>107</v>
      </c>
      <c r="D3" s="38" t="s">
        <v>108</v>
      </c>
      <c r="E3" s="38" t="s">
        <v>109</v>
      </c>
      <c r="F3" s="38" t="s">
        <v>110</v>
      </c>
      <c r="G3" s="38" t="s">
        <v>111</v>
      </c>
      <c r="H3" s="38" t="s">
        <v>112</v>
      </c>
      <c r="I3" s="38" t="s">
        <v>113</v>
      </c>
      <c r="J3" s="38" t="s">
        <v>114</v>
      </c>
      <c r="K3" s="38" t="s">
        <v>115</v>
      </c>
      <c r="L3" s="39" t="s">
        <v>116</v>
      </c>
      <c r="N3" s="205" t="s">
        <v>97</v>
      </c>
      <c r="O3" s="207"/>
      <c r="P3" s="207"/>
      <c r="Q3" s="207"/>
      <c r="R3" s="206"/>
    </row>
    <row r="4" spans="2:18">
      <c r="B4" s="176">
        <v>1</v>
      </c>
      <c r="C4" s="40">
        <v>0.95100574944459848</v>
      </c>
      <c r="D4" s="40">
        <v>1.0089414502837615</v>
      </c>
      <c r="E4" s="40">
        <v>1.0131851442314403</v>
      </c>
      <c r="F4" s="40">
        <v>0.96616113302014295</v>
      </c>
      <c r="G4" s="40">
        <v>1.0070693491201097</v>
      </c>
      <c r="H4" s="40">
        <v>0.96762169560985845</v>
      </c>
      <c r="I4" s="40">
        <v>0.95905446543704365</v>
      </c>
      <c r="J4" s="40">
        <v>1.0166920807863777</v>
      </c>
      <c r="K4" s="40">
        <v>1.0330824358742465</v>
      </c>
      <c r="L4" s="41">
        <v>0.98005457129563145</v>
      </c>
      <c r="N4" s="8"/>
      <c r="O4" s="76" t="s">
        <v>46</v>
      </c>
      <c r="P4" s="77" t="s">
        <v>47</v>
      </c>
      <c r="Q4" s="77" t="s">
        <v>86</v>
      </c>
      <c r="R4" s="78" t="s">
        <v>87</v>
      </c>
    </row>
    <row r="5" spans="2:18">
      <c r="B5" s="176">
        <v>2</v>
      </c>
      <c r="C5" s="40">
        <v>0.95833468053270421</v>
      </c>
      <c r="D5" s="40">
        <v>0.95467783547008311</v>
      </c>
      <c r="E5" s="40">
        <v>0.99784840551071352</v>
      </c>
      <c r="F5" s="40">
        <v>0.98743674026720729</v>
      </c>
      <c r="G5" s="40">
        <v>1.0267428383054147</v>
      </c>
      <c r="H5" s="40">
        <v>1.0039116199958584</v>
      </c>
      <c r="I5" s="40">
        <v>1.0058741539364873</v>
      </c>
      <c r="J5" s="40">
        <v>1.0179957783252949</v>
      </c>
      <c r="K5" s="40">
        <v>1.0399925058923507</v>
      </c>
      <c r="L5" s="41">
        <v>0.95859886711043485</v>
      </c>
      <c r="N5" s="8" t="s">
        <v>88</v>
      </c>
      <c r="O5" s="3">
        <v>0</v>
      </c>
      <c r="P5" s="4" t="s">
        <v>91</v>
      </c>
      <c r="Q5" s="4">
        <f>IF(LEFT(P5,1)="U",1.7321,IF(RIGHT(P5,1)="3",3,IF(RIGHT(P5,1)="2",2,1)))</f>
        <v>2</v>
      </c>
      <c r="R5" s="2">
        <v>50</v>
      </c>
    </row>
    <row r="6" spans="2:18">
      <c r="B6" s="176">
        <v>3</v>
      </c>
      <c r="C6" s="40">
        <v>0.95919194818780329</v>
      </c>
      <c r="D6" s="40">
        <v>0.96017071518134078</v>
      </c>
      <c r="E6" s="40">
        <v>0.99751526247766931</v>
      </c>
      <c r="F6" s="40">
        <v>0.95251629321321007</v>
      </c>
      <c r="G6" s="40">
        <v>1.0392296896975997</v>
      </c>
      <c r="H6" s="40">
        <v>0.97401559273686367</v>
      </c>
      <c r="I6" s="40">
        <v>1.0058888707533684</v>
      </c>
      <c r="J6" s="40">
        <v>1.0222282889678569</v>
      </c>
      <c r="K6" s="40">
        <v>1.0451534425062852</v>
      </c>
      <c r="L6" s="41">
        <v>0.96818915572785702</v>
      </c>
      <c r="N6" s="8" t="s">
        <v>90</v>
      </c>
      <c r="O6" s="3">
        <v>0</v>
      </c>
      <c r="P6" s="4" t="s">
        <v>91</v>
      </c>
      <c r="Q6" s="4">
        <f>IF(LEFT(P6,1)="U",1.7321,IF(RIGHT(P6,1)="3",3,IF(RIGHT(P6,1)="2",2,1)))</f>
        <v>2</v>
      </c>
      <c r="R6" s="2">
        <v>50</v>
      </c>
    </row>
    <row r="7" spans="2:18">
      <c r="B7" s="176">
        <v>4</v>
      </c>
      <c r="C7" s="40">
        <v>1.0495805914391407</v>
      </c>
      <c r="D7" s="40">
        <v>1.0378705491297178</v>
      </c>
      <c r="E7" s="40">
        <v>1.022895259978355</v>
      </c>
      <c r="F7" s="40">
        <v>0.98582617553482255</v>
      </c>
      <c r="G7" s="40">
        <v>1.0180462807871891</v>
      </c>
      <c r="H7" s="40">
        <v>0.9518254163310691</v>
      </c>
      <c r="I7" s="40">
        <v>0.97295388412607342</v>
      </c>
      <c r="J7" s="40">
        <v>0.95036333433013542</v>
      </c>
      <c r="K7" s="40">
        <v>1.0357883666144982</v>
      </c>
      <c r="L7" s="41">
        <v>0.98732078400474577</v>
      </c>
      <c r="N7" s="8" t="s">
        <v>92</v>
      </c>
      <c r="O7" s="3">
        <v>0</v>
      </c>
      <c r="P7" s="4" t="s">
        <v>91</v>
      </c>
      <c r="Q7" s="4">
        <f>IF(LEFT(P7,1)="U",1.7321,IF(RIGHT(P7,1)="3",3,IF(RIGHT(P7,1)="2",2,1)))</f>
        <v>2</v>
      </c>
      <c r="R7" s="2">
        <v>1000000</v>
      </c>
    </row>
    <row r="8" spans="2:18" ht="15.75" thickBot="1">
      <c r="B8" s="176">
        <v>5</v>
      </c>
      <c r="C8" s="40">
        <v>1.0319067477961894</v>
      </c>
      <c r="D8" s="40">
        <v>0.96279528171364115</v>
      </c>
      <c r="E8" s="40">
        <v>0.99967938543515222</v>
      </c>
      <c r="F8" s="40">
        <v>0.98253551226186464</v>
      </c>
      <c r="G8" s="40">
        <v>1.036471285230625</v>
      </c>
      <c r="H8" s="40">
        <v>1.0034710351612841</v>
      </c>
      <c r="I8" s="40">
        <v>1.0222604354488563</v>
      </c>
      <c r="J8" s="40">
        <v>0.97009614180777382</v>
      </c>
      <c r="K8" s="40">
        <v>1.0364220898371062</v>
      </c>
      <c r="L8" s="41">
        <v>0.9647449276678659</v>
      </c>
      <c r="N8" s="10" t="s">
        <v>93</v>
      </c>
      <c r="O8" s="16">
        <v>0</v>
      </c>
      <c r="P8" s="69" t="s">
        <v>91</v>
      </c>
      <c r="Q8" s="69">
        <f>IF(LEFT(P8,1)="U",1.7321,IF(RIGHT(P8,1)="3",3,IF(RIGHT(P8,1)="2",2,1)))</f>
        <v>2</v>
      </c>
      <c r="R8" s="11">
        <v>1000000</v>
      </c>
    </row>
    <row r="9" spans="2:18">
      <c r="B9" s="176">
        <v>6</v>
      </c>
      <c r="C9" s="40">
        <v>1.032689137453298</v>
      </c>
      <c r="D9" s="40">
        <v>0.96672349594857176</v>
      </c>
      <c r="E9" s="40">
        <v>1.0192107711287739</v>
      </c>
      <c r="F9" s="40">
        <v>0.99218358822493968</v>
      </c>
      <c r="G9" s="40">
        <v>0.98317196118423289</v>
      </c>
      <c r="H9" s="40">
        <v>0.97926225280450852</v>
      </c>
      <c r="I9" s="40">
        <v>1.0080344678277253</v>
      </c>
      <c r="J9" s="40">
        <v>1.0381783615522351</v>
      </c>
      <c r="K9" s="40">
        <v>0.98303540538579082</v>
      </c>
      <c r="L9" s="41">
        <v>1.027770539608224</v>
      </c>
    </row>
    <row r="10" spans="2:18">
      <c r="B10" s="176">
        <v>7</v>
      </c>
      <c r="C10" s="40">
        <v>1.0048389722992093</v>
      </c>
      <c r="D10" s="40">
        <v>1.0476563806110826</v>
      </c>
      <c r="E10" s="40">
        <v>0.99156369347338957</v>
      </c>
      <c r="F10" s="40">
        <v>0.99653242653845497</v>
      </c>
      <c r="G10" s="40">
        <v>1.0337083000295446</v>
      </c>
      <c r="H10" s="40">
        <v>1.0236483655978283</v>
      </c>
      <c r="I10" s="40">
        <v>1.0197002789808545</v>
      </c>
      <c r="J10" s="40">
        <v>0.95417670263558163</v>
      </c>
      <c r="K10" s="40">
        <v>1.0414120825400957</v>
      </c>
      <c r="L10" s="41">
        <v>0.97322765385174725</v>
      </c>
    </row>
    <row r="11" spans="2:18">
      <c r="B11" s="176">
        <v>8</v>
      </c>
      <c r="C11" s="40">
        <v>1.0475196445385351</v>
      </c>
      <c r="D11" s="40">
        <v>0.95285266847085093</v>
      </c>
      <c r="E11" s="40">
        <v>0.97403470328874375</v>
      </c>
      <c r="F11" s="40">
        <v>0.96524289162517918</v>
      </c>
      <c r="G11" s="40">
        <v>0.95035331168867687</v>
      </c>
      <c r="H11" s="40">
        <v>1.0291231884253123</v>
      </c>
      <c r="I11" s="40">
        <v>1.0166753183121011</v>
      </c>
      <c r="J11" s="40">
        <v>0.97866817777847803</v>
      </c>
      <c r="K11" s="40">
        <v>0.99220431243398832</v>
      </c>
      <c r="L11" s="41">
        <v>1.0353301968463253</v>
      </c>
    </row>
    <row r="12" spans="2:18">
      <c r="B12" s="176">
        <v>9</v>
      </c>
      <c r="C12" s="40">
        <v>0.95565438268825709</v>
      </c>
      <c r="D12" s="40">
        <v>1.0293433193907469</v>
      </c>
      <c r="E12" s="40">
        <v>0.98272257299853605</v>
      </c>
      <c r="F12" s="40">
        <v>1.013055788740602</v>
      </c>
      <c r="G12" s="40">
        <v>0.96503839278886594</v>
      </c>
      <c r="H12" s="40">
        <v>0.96970735367886696</v>
      </c>
      <c r="I12" s="40">
        <v>0.96446010925623682</v>
      </c>
      <c r="J12" s="40">
        <v>0.96961066331085188</v>
      </c>
      <c r="K12" s="40">
        <v>0.96958493998084672</v>
      </c>
      <c r="L12" s="41">
        <v>1.0094442974365092</v>
      </c>
    </row>
    <row r="13" spans="2:18" ht="15.75" thickBot="1">
      <c r="B13" s="45">
        <v>10</v>
      </c>
      <c r="C13" s="46">
        <v>0.99311523072285546</v>
      </c>
      <c r="D13" s="46">
        <v>0.95638034449589981</v>
      </c>
      <c r="E13" s="46">
        <v>1.0152921455642672</v>
      </c>
      <c r="F13" s="46">
        <v>0.95916628540863602</v>
      </c>
      <c r="G13" s="46">
        <v>0.95144831715007361</v>
      </c>
      <c r="H13" s="46">
        <v>1.0213780080586501</v>
      </c>
      <c r="I13" s="46">
        <v>1.0486109132585528</v>
      </c>
      <c r="J13" s="46">
        <v>1.0412775805143282</v>
      </c>
      <c r="K13" s="46">
        <v>1.0278781389901148</v>
      </c>
      <c r="L13" s="47">
        <v>1.0369606461383867</v>
      </c>
    </row>
    <row r="14" spans="2:18" ht="15.75" thickBot="1">
      <c r="B14" s="141"/>
    </row>
    <row r="15" spans="2:18">
      <c r="B15" s="211" t="s">
        <v>9</v>
      </c>
      <c r="C15" s="215"/>
      <c r="D15" s="144" t="s">
        <v>117</v>
      </c>
      <c r="F15" s="211" t="s">
        <v>98</v>
      </c>
      <c r="G15" s="215"/>
      <c r="H15" s="215"/>
      <c r="I15" s="215"/>
      <c r="J15" s="212"/>
      <c r="L15" s="85" t="s">
        <v>99</v>
      </c>
    </row>
    <row r="16" spans="2:18">
      <c r="B16" s="49" t="s">
        <v>118</v>
      </c>
      <c r="C16" s="50">
        <f>AVERAGE(C31:L31)</f>
        <v>0.99740092926192081</v>
      </c>
      <c r="D16" s="51"/>
      <c r="F16" s="222" t="s">
        <v>119</v>
      </c>
      <c r="G16" s="223"/>
      <c r="H16" s="223"/>
      <c r="I16" s="223"/>
      <c r="J16" s="56">
        <f>IF(E46,E48,E47)</f>
        <v>3.1036785597597155E-3</v>
      </c>
    </row>
    <row r="17" spans="2:12">
      <c r="B17" s="49" t="s">
        <v>120</v>
      </c>
      <c r="C17" s="50">
        <f>SQRT(AVERAGE(C32:L32))</f>
        <v>3.0764629606126196E-2</v>
      </c>
      <c r="D17" s="51">
        <f>SUM(C35:L35)</f>
        <v>90</v>
      </c>
      <c r="F17" s="222" t="s">
        <v>87</v>
      </c>
      <c r="G17" s="223"/>
      <c r="H17" s="223"/>
      <c r="I17" s="223"/>
      <c r="J17" s="51">
        <f>IF(E46,F48,F47)</f>
        <v>99</v>
      </c>
    </row>
    <row r="18" spans="2:12" ht="15.75" thickBot="1">
      <c r="B18" s="52" t="s">
        <v>121</v>
      </c>
      <c r="C18" s="53">
        <f>_xlfn.STDEV.S(C31:L31)</f>
        <v>1.063709694663911E-2</v>
      </c>
      <c r="D18" s="54">
        <f>C36-1</f>
        <v>9</v>
      </c>
      <c r="F18" s="218"/>
      <c r="G18" s="219"/>
      <c r="H18" s="219"/>
      <c r="I18" s="219"/>
      <c r="J18" s="51"/>
    </row>
    <row r="19" spans="2:12">
      <c r="F19" s="218" t="s">
        <v>94</v>
      </c>
      <c r="G19" s="219"/>
      <c r="H19" s="219"/>
      <c r="I19" s="219"/>
      <c r="J19" s="72" cm="1">
        <f t="array" ref="J19">SQRT(SUMSQ($O5:$O8/$Q5:$Q8)+J16^2)</f>
        <v>3.1036785597597155E-3</v>
      </c>
    </row>
    <row r="20" spans="2:12" ht="15.75" thickBot="1">
      <c r="F20" s="220" t="s">
        <v>95</v>
      </c>
      <c r="G20" s="221"/>
      <c r="H20" s="221"/>
      <c r="I20" s="221"/>
      <c r="J20" s="71" cm="1">
        <f t="array" ref="J20">J19^4/(SUM(($O5:$O8/$Q5:$Q8)^4/$R5:$R8) + J16^4/J17)</f>
        <v>98.999999999999986</v>
      </c>
    </row>
    <row r="21" spans="2:12" ht="15.75" thickBot="1"/>
    <row r="22" spans="2:12">
      <c r="F22" s="211" t="s">
        <v>102</v>
      </c>
      <c r="G22" s="215"/>
      <c r="H22" s="215"/>
      <c r="I22" s="215"/>
      <c r="J22" s="212"/>
      <c r="L22" s="85" t="s">
        <v>122</v>
      </c>
    </row>
    <row r="23" spans="2:12">
      <c r="F23" s="216" t="s">
        <v>123</v>
      </c>
      <c r="G23" s="217"/>
      <c r="H23" s="217"/>
      <c r="I23" s="217"/>
      <c r="J23" s="15">
        <v>1</v>
      </c>
    </row>
    <row r="24" spans="2:12">
      <c r="F24" s="213" t="s">
        <v>119</v>
      </c>
      <c r="G24" s="214"/>
      <c r="H24" s="214"/>
      <c r="I24" s="214"/>
      <c r="J24" s="57">
        <f>IF(E46,C18/SQRT(J23),C17/SQRT(J23))</f>
        <v>3.0764629606126196E-2</v>
      </c>
    </row>
    <row r="25" spans="2:12">
      <c r="F25" s="213" t="s">
        <v>87</v>
      </c>
      <c r="G25" s="214"/>
      <c r="H25" s="214"/>
      <c r="I25" s="214"/>
      <c r="J25" s="51">
        <f>IF(E46,F48,F47)</f>
        <v>99</v>
      </c>
    </row>
    <row r="26" spans="2:12">
      <c r="F26" s="55"/>
      <c r="G26" s="70"/>
      <c r="H26" s="70"/>
      <c r="I26" s="70"/>
      <c r="J26" s="51"/>
    </row>
    <row r="27" spans="2:12">
      <c r="F27" s="55"/>
      <c r="G27" s="70"/>
      <c r="H27" s="70"/>
      <c r="I27" s="70" t="s">
        <v>94</v>
      </c>
      <c r="J27" s="73" cm="1">
        <f t="array" ref="J27">SQRT(SUMSQ($O5:$O8/$Q5:$Q8)+J24^2)</f>
        <v>3.0764629606126196E-2</v>
      </c>
    </row>
    <row r="28" spans="2:12" ht="15.75" thickBot="1">
      <c r="F28" s="67"/>
      <c r="G28" s="68"/>
      <c r="H28" s="68"/>
      <c r="I28" s="68" t="s">
        <v>95</v>
      </c>
      <c r="J28" s="71" cm="1">
        <f t="array" ref="J28">J27^4/(SUM(($O5:$O8/$Q5:$Q8)^4/$R5:$R8) + J24^4/J25)</f>
        <v>99</v>
      </c>
    </row>
    <row r="30" spans="2:12" ht="15.75" thickBot="1"/>
    <row r="31" spans="2:12">
      <c r="B31" s="58" t="s">
        <v>124</v>
      </c>
      <c r="C31" s="59">
        <f t="shared" ref="C31:L31" si="0">_xlfn.LET(_xlpm.avg, AVERAGE(C4:C13), IF(ISNUMBER(_xlpm.avg), _xlpm.avg, ""))</f>
        <v>0.99838370851025915</v>
      </c>
      <c r="D31" s="59">
        <f t="shared" si="0"/>
        <v>0.98774120406956967</v>
      </c>
      <c r="E31" s="59">
        <f t="shared" si="0"/>
        <v>1.0013947344087044</v>
      </c>
      <c r="F31" s="59">
        <f t="shared" si="0"/>
        <v>0.98006568348350598</v>
      </c>
      <c r="G31" s="59">
        <f t="shared" si="0"/>
        <v>1.0011279725982334</v>
      </c>
      <c r="H31" s="59">
        <f t="shared" si="0"/>
        <v>0.99239645284000988</v>
      </c>
      <c r="I31" s="59">
        <f t="shared" si="0"/>
        <v>1.0023512897337299</v>
      </c>
      <c r="J31" s="59">
        <f t="shared" si="0"/>
        <v>0.99592871100089153</v>
      </c>
      <c r="K31" s="59">
        <f t="shared" si="0"/>
        <v>1.0204553720055323</v>
      </c>
      <c r="L31" s="60">
        <f t="shared" si="0"/>
        <v>0.99416416396877272</v>
      </c>
    </row>
    <row r="32" spans="2:12">
      <c r="B32" s="61" t="s">
        <v>125</v>
      </c>
      <c r="C32" s="62">
        <f t="shared" ref="C32:L32" si="1">_xlfn.LET(_xlpm.v, _xlfn.VAR.S(C4:C13), IF(ISNUMBER(_xlpm.v), _xlpm.v, ""))</f>
        <v>1.6239922163635194E-3</v>
      </c>
      <c r="D32" s="62">
        <f t="shared" si="1"/>
        <v>1.4890045313167089E-3</v>
      </c>
      <c r="E32" s="62">
        <f t="shared" si="1"/>
        <v>2.5958611316653367E-4</v>
      </c>
      <c r="F32" s="62">
        <f t="shared" si="1"/>
        <v>3.5652950158123625E-4</v>
      </c>
      <c r="G32" s="62">
        <f t="shared" si="1"/>
        <v>1.2678921393417136E-3</v>
      </c>
      <c r="H32" s="62">
        <f t="shared" si="1"/>
        <v>7.4507413306164848E-4</v>
      </c>
      <c r="I32" s="62">
        <f t="shared" si="1"/>
        <v>8.0825329421134614E-4</v>
      </c>
      <c r="J32" s="62">
        <f t="shared" si="1"/>
        <v>1.2142905278206308E-3</v>
      </c>
      <c r="K32" s="62">
        <f t="shared" si="1"/>
        <v>7.6907023779560326E-4</v>
      </c>
      <c r="L32" s="63">
        <f t="shared" si="1"/>
        <v>9.3093165336242392E-4</v>
      </c>
    </row>
    <row r="33" spans="2:12">
      <c r="B33" s="61" t="s">
        <v>126</v>
      </c>
      <c r="C33" s="62">
        <f t="shared" ref="C33:L33" si="2">_xlfn.LET(_xlpm.s, _xlfn.STDEV.S(C4:C13), IF(ISNUMBER(_xlpm.s), _xlpm.s, ""))</f>
        <v>4.0298786785255947E-2</v>
      </c>
      <c r="D33" s="62">
        <f t="shared" si="2"/>
        <v>3.8587621477835468E-2</v>
      </c>
      <c r="E33" s="62">
        <f t="shared" si="2"/>
        <v>1.6111676299086129E-2</v>
      </c>
      <c r="F33" s="62">
        <f t="shared" si="2"/>
        <v>1.8881988814244018E-2</v>
      </c>
      <c r="G33" s="62">
        <f t="shared" si="2"/>
        <v>3.5607473082791392E-2</v>
      </c>
      <c r="H33" s="62">
        <f t="shared" si="2"/>
        <v>2.7296046106746824E-2</v>
      </c>
      <c r="I33" s="62">
        <f t="shared" si="2"/>
        <v>2.8429795887613161E-2</v>
      </c>
      <c r="J33" s="62">
        <f t="shared" si="2"/>
        <v>3.4846671689282335E-2</v>
      </c>
      <c r="K33" s="62">
        <f t="shared" si="2"/>
        <v>2.7732115638652657E-2</v>
      </c>
      <c r="L33" s="63">
        <f t="shared" si="2"/>
        <v>3.0511172598941916E-2</v>
      </c>
    </row>
    <row r="34" spans="2:12">
      <c r="B34" s="61" t="s">
        <v>127</v>
      </c>
      <c r="C34" s="62">
        <f t="shared" ref="C34:L34" si="3">_xlfn.LET(_xlpm.c, COUNT(C4:C13), IF(_xlpm.c&gt;0, _xlpm.c, ""))</f>
        <v>10</v>
      </c>
      <c r="D34" s="62">
        <f t="shared" si="3"/>
        <v>10</v>
      </c>
      <c r="E34" s="62">
        <f t="shared" si="3"/>
        <v>10</v>
      </c>
      <c r="F34" s="62">
        <f t="shared" si="3"/>
        <v>10</v>
      </c>
      <c r="G34" s="62">
        <f t="shared" si="3"/>
        <v>10</v>
      </c>
      <c r="H34" s="62">
        <f t="shared" si="3"/>
        <v>10</v>
      </c>
      <c r="I34" s="62">
        <f t="shared" si="3"/>
        <v>10</v>
      </c>
      <c r="J34" s="62">
        <f t="shared" si="3"/>
        <v>10</v>
      </c>
      <c r="K34" s="62">
        <f t="shared" si="3"/>
        <v>10</v>
      </c>
      <c r="L34" s="63">
        <f t="shared" si="3"/>
        <v>10</v>
      </c>
    </row>
    <row r="35" spans="2:12">
      <c r="B35" s="61" t="s">
        <v>49</v>
      </c>
      <c r="C35" s="62">
        <f t="shared" ref="C35:L35" si="4">C34-1</f>
        <v>9</v>
      </c>
      <c r="D35" s="62">
        <f t="shared" si="4"/>
        <v>9</v>
      </c>
      <c r="E35" s="62">
        <f t="shared" si="4"/>
        <v>9</v>
      </c>
      <c r="F35" s="62">
        <f t="shared" si="4"/>
        <v>9</v>
      </c>
      <c r="G35" s="62">
        <f t="shared" si="4"/>
        <v>9</v>
      </c>
      <c r="H35" s="62">
        <f t="shared" si="4"/>
        <v>9</v>
      </c>
      <c r="I35" s="62">
        <f t="shared" si="4"/>
        <v>9</v>
      </c>
      <c r="J35" s="62">
        <f t="shared" si="4"/>
        <v>9</v>
      </c>
      <c r="K35" s="62">
        <f t="shared" si="4"/>
        <v>9</v>
      </c>
      <c r="L35" s="63">
        <f t="shared" si="4"/>
        <v>9</v>
      </c>
    </row>
    <row r="36" spans="2:12">
      <c r="B36" s="61" t="s">
        <v>128</v>
      </c>
      <c r="C36" s="62">
        <f>COUNT(C31:L31)</f>
        <v>10</v>
      </c>
      <c r="D36" s="62"/>
      <c r="E36" s="62"/>
      <c r="F36" s="62"/>
      <c r="G36" s="62"/>
      <c r="H36" s="62"/>
      <c r="I36" s="62"/>
      <c r="J36" s="62"/>
      <c r="K36" s="62"/>
      <c r="L36" s="63"/>
    </row>
    <row r="37" spans="2:12" ht="15.75" thickBot="1">
      <c r="B37" s="64" t="s">
        <v>129</v>
      </c>
      <c r="C37" s="65">
        <f>SUM(C34:L34)</f>
        <v>100</v>
      </c>
      <c r="D37" s="65"/>
      <c r="E37" s="65"/>
      <c r="F37" s="65"/>
      <c r="G37" s="65"/>
      <c r="H37" s="65"/>
      <c r="I37" s="65"/>
      <c r="J37" s="65"/>
      <c r="K37" s="65"/>
      <c r="L37" s="66"/>
    </row>
    <row r="38" spans="2:12" ht="15.75" thickBot="1"/>
    <row r="39" spans="2:12">
      <c r="B39" s="145"/>
      <c r="C39" s="59"/>
      <c r="D39" s="146" t="s">
        <v>130</v>
      </c>
      <c r="E39" s="147" t="s">
        <v>45</v>
      </c>
      <c r="F39" s="148" t="s">
        <v>49</v>
      </c>
      <c r="G39" s="149"/>
    </row>
    <row r="40" spans="2:12">
      <c r="B40" s="150"/>
      <c r="C40" s="62"/>
      <c r="D40" s="151" t="s">
        <v>131</v>
      </c>
      <c r="E40" s="152">
        <v>0.95</v>
      </c>
      <c r="F40" s="153"/>
      <c r="G40" s="154"/>
    </row>
    <row r="41" spans="2:12">
      <c r="B41" s="150"/>
      <c r="C41" s="62"/>
      <c r="D41" s="151" t="s">
        <v>132</v>
      </c>
      <c r="E41" s="62">
        <f>_xlfn.VAR.S(C31:L31)</f>
        <v>1.1314783145219908E-4</v>
      </c>
      <c r="F41" s="62">
        <f>C36-1</f>
        <v>9</v>
      </c>
      <c r="G41" s="63"/>
    </row>
    <row r="42" spans="2:12">
      <c r="B42" s="150"/>
      <c r="C42" s="151" t="s">
        <v>133</v>
      </c>
      <c r="D42" s="151" t="s">
        <v>134</v>
      </c>
      <c r="E42" s="62" cm="1">
        <f t="array" ref="E42">SUM(C34:L34*(C31:L31-C16)^2)/(C36-1)</f>
        <v>1.1314783145219905E-3</v>
      </c>
      <c r="F42" s="62">
        <f>C36-1</f>
        <v>9</v>
      </c>
      <c r="G42" s="63"/>
    </row>
    <row r="43" spans="2:12">
      <c r="B43" s="150"/>
      <c r="C43" s="151" t="s">
        <v>135</v>
      </c>
      <c r="D43" s="151" t="s">
        <v>136</v>
      </c>
      <c r="E43" s="62" cm="1">
        <f t="array" ref="E43">IF(C36&gt;1, SUM((C34:L34-1)*C32:L32)/SUM(C34:L34-1), C32/C34^2)</f>
        <v>9.4646243480213648E-4</v>
      </c>
      <c r="F43" s="62">
        <f>C37-C36</f>
        <v>90</v>
      </c>
      <c r="G43" s="63"/>
    </row>
    <row r="44" spans="2:12">
      <c r="B44" s="150"/>
      <c r="C44" s="62"/>
      <c r="D44" s="151" t="s">
        <v>112</v>
      </c>
      <c r="E44" s="62">
        <f>E42/E43</f>
        <v>1.1954814823247926</v>
      </c>
      <c r="F44" s="62"/>
      <c r="G44" s="63"/>
    </row>
    <row r="45" spans="2:12">
      <c r="B45" s="150"/>
      <c r="C45" s="62"/>
      <c r="D45" s="151" t="s">
        <v>137</v>
      </c>
      <c r="E45" s="155">
        <f>_xlfn.F.INV(E40,F42,F43)</f>
        <v>1.9855949637305008</v>
      </c>
      <c r="F45" s="62"/>
      <c r="G45" s="63"/>
    </row>
    <row r="46" spans="2:12">
      <c r="B46" s="150"/>
      <c r="C46" s="62"/>
      <c r="D46" s="151" t="s">
        <v>138</v>
      </c>
      <c r="E46" s="62" t="b">
        <f>IF(NOT(ISNUMBER(E44)), FALSE, E44&gt;E45)</f>
        <v>0</v>
      </c>
      <c r="F46" s="62"/>
      <c r="G46" s="63"/>
    </row>
    <row r="47" spans="2:12">
      <c r="B47" s="150"/>
      <c r="C47" s="62"/>
      <c r="D47" s="151" t="s">
        <v>139</v>
      </c>
      <c r="E47" s="62">
        <f>IF(C36&gt;1,SQRT((F42*E42+F43*E43)/(F42+F43)/C37),SQRT(E43/C34))</f>
        <v>3.1036785597597155E-3</v>
      </c>
      <c r="F47" s="62">
        <f>F42+F43</f>
        <v>99</v>
      </c>
      <c r="G47" s="63"/>
    </row>
    <row r="48" spans="2:12" ht="15.75" thickBot="1">
      <c r="B48" s="156"/>
      <c r="C48" s="65"/>
      <c r="D48" s="157" t="s">
        <v>140</v>
      </c>
      <c r="E48" s="65">
        <f>SQRT(E41/C36)</f>
        <v>3.3637454043402137E-3</v>
      </c>
      <c r="F48" s="65">
        <f>C36-1</f>
        <v>9</v>
      </c>
      <c r="G48" s="66"/>
    </row>
    <row r="51" spans="2:4">
      <c r="B51" s="85"/>
    </row>
    <row r="55" spans="2:4">
      <c r="B55" s="143"/>
      <c r="C55" s="143"/>
      <c r="D55" s="143"/>
    </row>
  </sheetData>
  <mergeCells count="12">
    <mergeCell ref="N3:R3"/>
    <mergeCell ref="F15:J15"/>
    <mergeCell ref="F16:I16"/>
    <mergeCell ref="F17:I17"/>
    <mergeCell ref="F18:I18"/>
    <mergeCell ref="F24:I24"/>
    <mergeCell ref="F25:I25"/>
    <mergeCell ref="B15:C15"/>
    <mergeCell ref="F22:J22"/>
    <mergeCell ref="F23:I23"/>
    <mergeCell ref="F19:I19"/>
    <mergeCell ref="F20:I2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33C7D3-8579-4A88-BB62-E04137295C6D}">
          <x14:formula1>
            <xm:f>Lookups!$A$2:$A$5</xm:f>
          </x14:formula1>
          <xm:sqref>P5:P8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28B92-A52A-4916-9EE4-D3D161B6AAAF}">
  <dimension ref="B1:I54"/>
  <sheetViews>
    <sheetView showGridLines="0" workbookViewId="0">
      <selection activeCell="B6" sqref="B6"/>
    </sheetView>
  </sheetViews>
  <sheetFormatPr defaultRowHeight="15"/>
  <cols>
    <col min="1" max="1" width="4.5703125" style="79" customWidth="1"/>
    <col min="2" max="2" width="9.140625" style="79"/>
    <col min="3" max="3" width="11" style="79" customWidth="1"/>
    <col min="4" max="4" width="13.42578125" style="79" customWidth="1"/>
    <col min="5" max="5" width="15.140625" style="79" customWidth="1"/>
    <col min="6" max="6" width="9.140625" style="79"/>
    <col min="7" max="7" width="14.85546875" style="79" customWidth="1"/>
    <col min="8" max="8" width="3" style="79" customWidth="1"/>
    <col min="9" max="9" width="106.140625" style="79" customWidth="1"/>
    <col min="10" max="10" width="9.140625" style="79"/>
    <col min="11" max="11" width="89" style="79" customWidth="1"/>
    <col min="12" max="16384" width="9.140625" style="79"/>
  </cols>
  <sheetData>
    <row r="1" spans="2:9" ht="15.75" thickBot="1"/>
    <row r="2" spans="2:9" ht="67.5" customHeight="1" thickBot="1">
      <c r="B2" s="224" t="s">
        <v>141</v>
      </c>
      <c r="C2" s="225"/>
      <c r="D2" s="225"/>
      <c r="E2" s="225"/>
      <c r="F2" s="225"/>
      <c r="G2" s="225"/>
      <c r="H2" s="225"/>
      <c r="I2" s="226"/>
    </row>
    <row r="5" spans="2:9">
      <c r="B5" s="85" t="s">
        <v>142</v>
      </c>
      <c r="I5" s="79" t="s">
        <v>143</v>
      </c>
    </row>
    <row r="6" spans="2:9" ht="15.75" thickBot="1">
      <c r="B6" s="139" t="s">
        <v>144</v>
      </c>
      <c r="I6" s="79" t="s">
        <v>145</v>
      </c>
    </row>
    <row r="7" spans="2:9">
      <c r="B7" s="12" t="s">
        <v>44</v>
      </c>
      <c r="C7" s="13" t="s">
        <v>45</v>
      </c>
      <c r="D7" s="13" t="s">
        <v>46</v>
      </c>
      <c r="E7" s="172" t="s">
        <v>47</v>
      </c>
      <c r="F7" s="172" t="s">
        <v>48</v>
      </c>
      <c r="G7" s="171" t="s">
        <v>49</v>
      </c>
    </row>
    <row r="8" spans="2:9">
      <c r="B8" s="14" t="s">
        <v>54</v>
      </c>
      <c r="C8" s="3">
        <v>0.182</v>
      </c>
      <c r="D8" s="3">
        <v>9.3000000000000005E-4</v>
      </c>
      <c r="E8" s="4" t="s">
        <v>55</v>
      </c>
      <c r="F8" s="4" t="s">
        <v>56</v>
      </c>
      <c r="G8" s="15">
        <v>9</v>
      </c>
      <c r="I8" s="79" t="s">
        <v>146</v>
      </c>
    </row>
    <row r="9" spans="2:9">
      <c r="B9" s="14" t="s">
        <v>57</v>
      </c>
      <c r="C9" s="3">
        <v>0.18229999999999999</v>
      </c>
      <c r="D9" s="3">
        <v>5.8E-4</v>
      </c>
      <c r="E9" s="4" t="s">
        <v>55</v>
      </c>
      <c r="F9" s="4" t="s">
        <v>56</v>
      </c>
      <c r="G9" s="15">
        <v>19</v>
      </c>
      <c r="I9" s="79" t="s">
        <v>147</v>
      </c>
    </row>
    <row r="10" spans="2:9">
      <c r="B10" s="14" t="s">
        <v>58</v>
      </c>
      <c r="C10" s="3">
        <v>0.69779999999999998</v>
      </c>
      <c r="D10" s="3">
        <v>2.5999999999999999E-3</v>
      </c>
      <c r="E10" s="4" t="s">
        <v>55</v>
      </c>
      <c r="F10" s="4" t="s">
        <v>56</v>
      </c>
      <c r="G10" s="15">
        <v>19</v>
      </c>
      <c r="I10" s="79" t="s">
        <v>148</v>
      </c>
    </row>
    <row r="11" spans="2:9">
      <c r="B11" s="14"/>
      <c r="C11" s="3"/>
      <c r="D11" s="3"/>
      <c r="E11" s="4"/>
      <c r="F11" s="4"/>
      <c r="G11" s="15"/>
    </row>
    <row r="12" spans="2:9">
      <c r="B12" s="14"/>
      <c r="C12" s="3"/>
      <c r="D12" s="3"/>
      <c r="E12" s="4"/>
      <c r="F12" s="4"/>
      <c r="G12" s="15"/>
    </row>
    <row r="13" spans="2:9">
      <c r="B13" s="14"/>
      <c r="C13" s="3"/>
      <c r="D13" s="3"/>
      <c r="E13" s="4"/>
      <c r="F13" s="4"/>
      <c r="G13" s="15"/>
    </row>
    <row r="14" spans="2:9">
      <c r="B14" s="14"/>
      <c r="C14" s="3"/>
      <c r="D14" s="3"/>
      <c r="E14" s="4"/>
      <c r="F14" s="4"/>
      <c r="G14" s="15"/>
    </row>
    <row r="15" spans="2:9" ht="15.75" thickBot="1">
      <c r="B15" s="98"/>
      <c r="C15" s="16"/>
      <c r="D15" s="16"/>
      <c r="E15" s="69"/>
      <c r="F15" s="69"/>
      <c r="G15" s="84"/>
    </row>
    <row r="18" spans="2:9">
      <c r="B18" s="85" t="s">
        <v>149</v>
      </c>
      <c r="I18" s="79" t="s">
        <v>150</v>
      </c>
    </row>
    <row r="19" spans="2:9" ht="15.75" thickBot="1">
      <c r="B19" s="140" t="s">
        <v>151</v>
      </c>
    </row>
    <row r="20" spans="2:9">
      <c r="B20" s="12" t="s">
        <v>44</v>
      </c>
      <c r="C20" s="13" t="s">
        <v>45</v>
      </c>
      <c r="D20" s="13" t="s">
        <v>46</v>
      </c>
      <c r="E20" s="172" t="s">
        <v>47</v>
      </c>
      <c r="F20" s="172" t="s">
        <v>48</v>
      </c>
      <c r="G20" s="171" t="s">
        <v>49</v>
      </c>
    </row>
    <row r="21" spans="2:9">
      <c r="B21" s="14" t="s">
        <v>152</v>
      </c>
      <c r="C21" s="3">
        <v>0.28899999999999998</v>
      </c>
      <c r="D21" s="3">
        <v>3.6120000000000002E-3</v>
      </c>
      <c r="E21" s="4" t="s">
        <v>91</v>
      </c>
      <c r="F21" s="4" t="s">
        <v>153</v>
      </c>
      <c r="G21" s="15">
        <v>1000000</v>
      </c>
      <c r="I21" s="79" t="s">
        <v>154</v>
      </c>
    </row>
    <row r="22" spans="2:9">
      <c r="B22" s="14" t="s">
        <v>155</v>
      </c>
      <c r="C22" s="3">
        <v>292.8</v>
      </c>
      <c r="D22" s="3">
        <v>0.112</v>
      </c>
      <c r="E22" s="4" t="s">
        <v>91</v>
      </c>
      <c r="F22" s="4" t="s">
        <v>156</v>
      </c>
      <c r="G22" s="15">
        <v>1000000</v>
      </c>
      <c r="I22" s="79" t="s">
        <v>157</v>
      </c>
    </row>
    <row r="23" spans="2:9">
      <c r="B23" s="14" t="s">
        <v>158</v>
      </c>
      <c r="C23" s="3">
        <v>287.06</v>
      </c>
      <c r="D23" s="3">
        <v>0</v>
      </c>
      <c r="E23" s="4" t="s">
        <v>91</v>
      </c>
      <c r="F23" s="4" t="s">
        <v>159</v>
      </c>
      <c r="G23" s="15">
        <v>1000000</v>
      </c>
      <c r="I23" s="79" t="s">
        <v>160</v>
      </c>
    </row>
    <row r="24" spans="2:9">
      <c r="B24" s="14" t="s">
        <v>161</v>
      </c>
      <c r="C24" s="3">
        <v>14.7</v>
      </c>
      <c r="D24" s="3">
        <v>0.3</v>
      </c>
      <c r="E24" s="4" t="s">
        <v>91</v>
      </c>
      <c r="F24" s="4" t="s">
        <v>153</v>
      </c>
      <c r="G24" s="15">
        <v>1000000</v>
      </c>
      <c r="I24" s="79" t="s">
        <v>162</v>
      </c>
    </row>
    <row r="25" spans="2:9">
      <c r="B25" s="14"/>
      <c r="C25" s="3"/>
      <c r="D25" s="3"/>
      <c r="E25" s="4"/>
      <c r="F25" s="4"/>
      <c r="G25" s="15"/>
    </row>
    <row r="26" spans="2:9">
      <c r="B26" s="14"/>
      <c r="C26" s="3"/>
      <c r="D26" s="3"/>
      <c r="E26" s="4"/>
      <c r="F26" s="4"/>
      <c r="G26" s="15"/>
    </row>
    <row r="27" spans="2:9">
      <c r="B27" s="14"/>
      <c r="C27" s="3"/>
      <c r="D27" s="3"/>
      <c r="E27" s="4"/>
      <c r="F27" s="4"/>
      <c r="G27" s="15"/>
    </row>
    <row r="28" spans="2:9" ht="15.75" thickBot="1">
      <c r="B28" s="98"/>
      <c r="C28" s="16"/>
      <c r="D28" s="16"/>
      <c r="E28" s="69"/>
      <c r="F28" s="69"/>
      <c r="G28" s="84"/>
    </row>
    <row r="31" spans="2:9">
      <c r="B31" s="85" t="s">
        <v>163</v>
      </c>
      <c r="I31" s="79" t="s">
        <v>143</v>
      </c>
    </row>
    <row r="32" spans="2:9" ht="15.75" thickBot="1">
      <c r="B32" s="140" t="s">
        <v>164</v>
      </c>
      <c r="I32" s="79" t="s">
        <v>165</v>
      </c>
    </row>
    <row r="33" spans="2:9">
      <c r="B33" s="12" t="s">
        <v>44</v>
      </c>
      <c r="C33" s="13" t="s">
        <v>45</v>
      </c>
      <c r="D33" s="13" t="s">
        <v>46</v>
      </c>
      <c r="E33" s="172" t="s">
        <v>47</v>
      </c>
      <c r="F33" s="172" t="s">
        <v>48</v>
      </c>
      <c r="G33" s="171" t="s">
        <v>49</v>
      </c>
    </row>
    <row r="34" spans="2:9">
      <c r="B34" s="14" t="s">
        <v>166</v>
      </c>
      <c r="C34" s="3">
        <v>32.201000000000001</v>
      </c>
      <c r="D34" s="3">
        <v>4.4000000000000003E-3</v>
      </c>
      <c r="E34" s="4" t="s">
        <v>91</v>
      </c>
      <c r="F34" s="4" t="s">
        <v>167</v>
      </c>
      <c r="G34" s="15">
        <v>15.7</v>
      </c>
      <c r="I34" s="79" t="s">
        <v>168</v>
      </c>
    </row>
    <row r="35" spans="2:9">
      <c r="B35" s="14" t="s">
        <v>169</v>
      </c>
      <c r="C35" s="3">
        <v>0.1</v>
      </c>
      <c r="D35" s="3">
        <v>5.0000000000000001E-3</v>
      </c>
      <c r="E35" s="4" t="s">
        <v>89</v>
      </c>
      <c r="F35" s="4" t="s">
        <v>170</v>
      </c>
      <c r="G35" s="15">
        <v>1000000</v>
      </c>
      <c r="I35" s="79" t="s">
        <v>171</v>
      </c>
    </row>
    <row r="36" spans="2:9">
      <c r="B36" s="14" t="s">
        <v>172</v>
      </c>
      <c r="C36" s="3">
        <v>0.22</v>
      </c>
      <c r="D36" s="3">
        <v>0.01</v>
      </c>
      <c r="E36" s="4" t="s">
        <v>89</v>
      </c>
      <c r="F36" s="4" t="s">
        <v>170</v>
      </c>
      <c r="G36" s="15">
        <v>1000000</v>
      </c>
      <c r="I36" s="79" t="s">
        <v>171</v>
      </c>
    </row>
    <row r="37" spans="2:9">
      <c r="B37" s="14"/>
      <c r="C37" s="3"/>
      <c r="D37" s="3"/>
      <c r="E37" s="4"/>
      <c r="F37" s="4"/>
      <c r="G37" s="15"/>
    </row>
    <row r="38" spans="2:9">
      <c r="B38" s="14"/>
      <c r="C38" s="3"/>
      <c r="D38" s="3"/>
      <c r="E38" s="4"/>
      <c r="F38" s="4"/>
      <c r="G38" s="15"/>
    </row>
    <row r="39" spans="2:9">
      <c r="B39" s="14"/>
      <c r="C39" s="3"/>
      <c r="D39" s="3"/>
      <c r="E39" s="4"/>
      <c r="F39" s="4"/>
      <c r="G39" s="15"/>
    </row>
    <row r="40" spans="2:9">
      <c r="B40" s="14"/>
      <c r="C40" s="3"/>
      <c r="D40" s="3"/>
      <c r="E40" s="4"/>
      <c r="F40" s="4"/>
      <c r="G40" s="15"/>
    </row>
    <row r="41" spans="2:9" ht="15.75" thickBot="1">
      <c r="B41" s="98"/>
      <c r="C41" s="16"/>
      <c r="D41" s="16"/>
      <c r="E41" s="69"/>
      <c r="F41" s="69"/>
      <c r="G41" s="84"/>
    </row>
    <row r="44" spans="2:9">
      <c r="B44" s="85" t="s">
        <v>173</v>
      </c>
      <c r="I44" s="79" t="s">
        <v>174</v>
      </c>
    </row>
    <row r="45" spans="2:9" ht="15.75" thickBot="1">
      <c r="B45" s="139" t="s">
        <v>175</v>
      </c>
    </row>
    <row r="46" spans="2:9">
      <c r="B46" s="12" t="s">
        <v>44</v>
      </c>
      <c r="C46" s="13" t="s">
        <v>45</v>
      </c>
      <c r="D46" s="13" t="s">
        <v>46</v>
      </c>
      <c r="E46" s="172" t="s">
        <v>47</v>
      </c>
      <c r="F46" s="172" t="s">
        <v>48</v>
      </c>
      <c r="G46" s="171" t="s">
        <v>49</v>
      </c>
    </row>
    <row r="47" spans="2:9">
      <c r="B47" s="14" t="s">
        <v>176</v>
      </c>
      <c r="C47" s="3">
        <v>4.63</v>
      </c>
      <c r="D47" s="3">
        <v>4.6300000000000001E-2</v>
      </c>
      <c r="E47" s="4" t="s">
        <v>55</v>
      </c>
      <c r="F47" s="4" t="s">
        <v>177</v>
      </c>
      <c r="G47" s="15">
        <v>1000000</v>
      </c>
      <c r="I47" s="79" t="s">
        <v>178</v>
      </c>
    </row>
    <row r="48" spans="2:9">
      <c r="B48" s="14" t="s">
        <v>179</v>
      </c>
      <c r="C48" s="3">
        <v>2217</v>
      </c>
      <c r="D48" s="3">
        <v>0.5</v>
      </c>
      <c r="E48" s="4" t="s">
        <v>55</v>
      </c>
      <c r="F48" s="4" t="s">
        <v>180</v>
      </c>
      <c r="G48" s="15">
        <v>1000000</v>
      </c>
      <c r="I48" s="79" t="s">
        <v>181</v>
      </c>
    </row>
    <row r="49" spans="2:9">
      <c r="B49" s="14" t="s">
        <v>182</v>
      </c>
      <c r="C49" s="3">
        <v>810</v>
      </c>
      <c r="D49" s="3">
        <v>0.5</v>
      </c>
      <c r="E49" s="4" t="s">
        <v>55</v>
      </c>
      <c r="F49" s="4" t="s">
        <v>180</v>
      </c>
      <c r="G49" s="15">
        <v>1000000</v>
      </c>
      <c r="I49" s="79" t="s">
        <v>183</v>
      </c>
    </row>
    <row r="50" spans="2:9">
      <c r="B50" s="14" t="s">
        <v>184</v>
      </c>
      <c r="C50" s="3">
        <v>1180</v>
      </c>
      <c r="D50" s="3">
        <v>0.5</v>
      </c>
      <c r="E50" s="4" t="s">
        <v>55</v>
      </c>
      <c r="F50" s="4" t="s">
        <v>180</v>
      </c>
      <c r="G50" s="15">
        <v>1000000</v>
      </c>
      <c r="I50" s="79" t="s">
        <v>185</v>
      </c>
    </row>
    <row r="51" spans="2:9">
      <c r="B51" s="14" t="s">
        <v>186</v>
      </c>
      <c r="C51" s="3">
        <v>36.6</v>
      </c>
      <c r="D51" s="3">
        <v>5.49</v>
      </c>
      <c r="E51" s="4" t="s">
        <v>55</v>
      </c>
      <c r="F51" s="4" t="s">
        <v>187</v>
      </c>
      <c r="G51" s="15">
        <v>1000000</v>
      </c>
      <c r="I51" s="79" t="s">
        <v>188</v>
      </c>
    </row>
    <row r="52" spans="2:9">
      <c r="B52" s="14" t="s">
        <v>189</v>
      </c>
      <c r="C52" s="3">
        <v>61</v>
      </c>
      <c r="D52" s="3">
        <v>6.1</v>
      </c>
      <c r="E52" s="4" t="s">
        <v>55</v>
      </c>
      <c r="F52" s="4" t="s">
        <v>187</v>
      </c>
      <c r="G52" s="15">
        <v>1000000</v>
      </c>
      <c r="I52" s="79" t="s">
        <v>190</v>
      </c>
    </row>
    <row r="53" spans="2:9">
      <c r="B53" s="14"/>
      <c r="C53" s="3"/>
      <c r="D53" s="3"/>
      <c r="E53" s="4"/>
      <c r="F53" s="4"/>
      <c r="G53" s="15"/>
    </row>
    <row r="54" spans="2:9" ht="15.75" thickBot="1">
      <c r="B54" s="98"/>
      <c r="C54" s="16"/>
      <c r="D54" s="16"/>
      <c r="E54" s="69"/>
      <c r="F54" s="69"/>
      <c r="G54" s="84"/>
    </row>
  </sheetData>
  <mergeCells count="1">
    <mergeCell ref="B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6468-B313-431E-9F85-F170605BCE98}">
  <dimension ref="B1:AF5013"/>
  <sheetViews>
    <sheetView showGridLines="0" workbookViewId="0">
      <selection activeCell="G14" sqref="G14"/>
    </sheetView>
  </sheetViews>
  <sheetFormatPr defaultRowHeight="15"/>
  <cols>
    <col min="1" max="1" width="2.28515625" customWidth="1"/>
    <col min="2" max="2" width="16.42578125" customWidth="1"/>
    <col min="3" max="3" width="10.85546875" customWidth="1"/>
    <col min="4" max="4" width="10.7109375" customWidth="1"/>
    <col min="5" max="5" width="10.5703125" customWidth="1"/>
    <col min="6" max="6" width="3.5703125" customWidth="1"/>
    <col min="7" max="7" width="10.140625" customWidth="1"/>
    <col min="8" max="8" width="50.140625" customWidth="1"/>
    <col min="9" max="9" width="5.5703125" customWidth="1"/>
    <col min="10" max="10" width="17.28515625" customWidth="1"/>
    <col min="11" max="11" width="10.28515625" customWidth="1"/>
    <col min="12" max="12" width="11.140625" customWidth="1"/>
    <col min="13" max="13" width="10.42578125" customWidth="1"/>
    <col min="14" max="14" width="10.5703125" bestFit="1" customWidth="1"/>
    <col min="21" max="31" width="9.140625" hidden="1" customWidth="1"/>
  </cols>
  <sheetData>
    <row r="1" spans="2:32">
      <c r="B1" t="s">
        <v>191</v>
      </c>
    </row>
    <row r="2" spans="2:32" ht="15.75" thickBot="1"/>
    <row r="3" spans="2:32">
      <c r="B3" s="205" t="s">
        <v>37</v>
      </c>
      <c r="C3" s="206"/>
      <c r="J3" s="208" t="s">
        <v>192</v>
      </c>
      <c r="K3" s="209"/>
      <c r="L3" s="209"/>
      <c r="M3" s="209"/>
      <c r="N3" s="210"/>
      <c r="AE3" t="s">
        <v>193</v>
      </c>
    </row>
    <row r="4" spans="2:32">
      <c r="B4" s="14" t="s">
        <v>194</v>
      </c>
      <c r="C4" s="2">
        <v>5000</v>
      </c>
      <c r="J4" s="24"/>
      <c r="K4" s="177" t="s">
        <v>195</v>
      </c>
      <c r="L4" s="177" t="s">
        <v>196</v>
      </c>
      <c r="M4" s="177" t="s">
        <v>197</v>
      </c>
      <c r="N4" s="178" t="s">
        <v>198</v>
      </c>
      <c r="AE4" t="s">
        <v>199</v>
      </c>
    </row>
    <row r="5" spans="2:32" ht="15.75" thickBot="1">
      <c r="B5" s="98" t="s">
        <v>200</v>
      </c>
      <c r="C5" s="11">
        <v>100</v>
      </c>
      <c r="J5" s="18" t="s">
        <v>70</v>
      </c>
      <c r="K5" s="179">
        <f ca="1">AVERAGE(X)</f>
        <v>1.0890479484171618E-2</v>
      </c>
      <c r="L5" s="179">
        <f ca="1">AVERAGE(Y)</f>
        <v>1.6981753647963511E-2</v>
      </c>
      <c r="M5" s="179">
        <f ca="1">AVERAGE(Z)</f>
        <v>2.7904798887220625E-2</v>
      </c>
      <c r="N5" s="180">
        <f ca="1">AVERAGE(F)</f>
        <v>2.946420594681058</v>
      </c>
      <c r="AE5" t="s">
        <v>201</v>
      </c>
      <c r="AF5" t="s">
        <v>202</v>
      </c>
    </row>
    <row r="6" spans="2:32" ht="15.75" thickBot="1">
      <c r="B6" s="181"/>
      <c r="J6" s="18" t="s">
        <v>71</v>
      </c>
      <c r="K6" s="179">
        <f ca="1">MIN(X)</f>
        <v>-3.844667095206971</v>
      </c>
      <c r="L6" s="179">
        <f ca="1">MIN(Y)</f>
        <v>-3.668588344210677</v>
      </c>
      <c r="M6" s="179">
        <f ca="1">MIN(Z)</f>
        <v>-3.3229499371853732</v>
      </c>
      <c r="N6" s="180">
        <f ca="1">MIN(F)</f>
        <v>8.6774354590886792E-3</v>
      </c>
      <c r="AE6" t="s">
        <v>203</v>
      </c>
    </row>
    <row r="7" spans="2:32">
      <c r="B7" s="205" t="s">
        <v>204</v>
      </c>
      <c r="C7" s="207"/>
      <c r="D7" s="207"/>
      <c r="E7" s="206"/>
      <c r="J7" s="18" t="s">
        <v>72</v>
      </c>
      <c r="K7" s="179">
        <f ca="1">_xlfn.PERCENTILE.INC(X, 0.25)</f>
        <v>-0.66476572031840964</v>
      </c>
      <c r="L7" s="179">
        <f ca="1">_xlfn.PERCENTILE.INC(Y, 0.25)</f>
        <v>-0.64181858978950146</v>
      </c>
      <c r="M7" s="179">
        <f ca="1">_xlfn.PERCENTILE.INC(Z, 0.25)</f>
        <v>-0.62838832669187894</v>
      </c>
      <c r="N7" s="180">
        <f ca="1">_xlfn.PERCENTILE.INC(F, 0.25)</f>
        <v>1.1662291234114139</v>
      </c>
      <c r="O7" s="182"/>
      <c r="P7" s="182"/>
      <c r="Q7" s="182"/>
      <c r="R7" s="182"/>
      <c r="S7" s="182"/>
      <c r="T7" s="182"/>
      <c r="V7" t="s">
        <v>205</v>
      </c>
      <c r="X7" t="s">
        <v>206</v>
      </c>
      <c r="Z7" t="s">
        <v>207</v>
      </c>
      <c r="AB7" t="s">
        <v>208</v>
      </c>
    </row>
    <row r="8" spans="2:32">
      <c r="B8" s="183"/>
      <c r="C8" s="184" t="s">
        <v>195</v>
      </c>
      <c r="D8" s="184" t="s">
        <v>196</v>
      </c>
      <c r="E8" s="185" t="s">
        <v>197</v>
      </c>
      <c r="J8" s="18" t="s">
        <v>73</v>
      </c>
      <c r="K8" s="179">
        <f ca="1">MEDIAN(X)</f>
        <v>2.5934152719610713E-2</v>
      </c>
      <c r="L8" s="179">
        <f ca="1">MEDIAN(Y)</f>
        <v>3.8799712871186193E-2</v>
      </c>
      <c r="M8" s="179">
        <f ca="1">MEDIAN(Z)</f>
        <v>3.4470257422663665E-2</v>
      </c>
      <c r="N8" s="180">
        <f ca="1">MEDIAN(F)</f>
        <v>2.3426263536294103</v>
      </c>
      <c r="O8" s="182"/>
      <c r="P8" s="182"/>
      <c r="Q8" s="182"/>
      <c r="R8" s="182"/>
      <c r="S8" s="182"/>
      <c r="T8" s="182"/>
      <c r="U8" t="s">
        <v>209</v>
      </c>
      <c r="V8">
        <f ca="1">MAX(X)</f>
        <v>3.7404309482828229</v>
      </c>
      <c r="X8">
        <f ca="1">MAX(Y)</f>
        <v>4.16721401661726</v>
      </c>
      <c r="Z8">
        <f ca="1">MAX(Z)</f>
        <v>3.6221328750325119</v>
      </c>
      <c r="AB8">
        <f ca="1">MAX(F)</f>
        <v>20.2244314237143</v>
      </c>
    </row>
    <row r="9" spans="2:32">
      <c r="B9" s="14" t="s">
        <v>47</v>
      </c>
      <c r="C9" s="186" t="s">
        <v>199</v>
      </c>
      <c r="D9" s="186" t="s">
        <v>199</v>
      </c>
      <c r="E9" s="91" t="s">
        <v>199</v>
      </c>
      <c r="J9" s="18" t="s">
        <v>74</v>
      </c>
      <c r="K9" s="179">
        <f ca="1">_xlfn.PERCENTILE.INC(X, 0.75)</f>
        <v>0.68573686471951023</v>
      </c>
      <c r="L9" s="179">
        <f ca="1">_xlfn.PERCENTILE.INC(Y, 0.75)</f>
        <v>0.67737014918213523</v>
      </c>
      <c r="M9" s="179">
        <f ca="1">_xlfn.PERCENTILE.INC(Z, 0.75)</f>
        <v>0.68855275295906493</v>
      </c>
      <c r="N9" s="180">
        <f ca="1">_xlfn.PERCENTILE.INC(F, 0.75)</f>
        <v>4.1184960476245696</v>
      </c>
      <c r="U9" t="s">
        <v>210</v>
      </c>
      <c r="V9">
        <f ca="1">MIN(X)</f>
        <v>-3.844667095206971</v>
      </c>
      <c r="X9">
        <f ca="1">MIN(Y)</f>
        <v>-3.668588344210677</v>
      </c>
      <c r="Z9">
        <f ca="1">MIN(Z)</f>
        <v>-3.3229499371853732</v>
      </c>
      <c r="AB9">
        <f ca="1">MIN(F)</f>
        <v>8.6774354590886792E-3</v>
      </c>
    </row>
    <row r="10" spans="2:32">
      <c r="B10" s="14" t="s">
        <v>70</v>
      </c>
      <c r="C10" s="186">
        <v>0</v>
      </c>
      <c r="D10" s="186">
        <v>0</v>
      </c>
      <c r="E10" s="91">
        <v>0</v>
      </c>
      <c r="J10" s="18" t="s">
        <v>75</v>
      </c>
      <c r="K10" s="179">
        <f ca="1">MAX(X)</f>
        <v>3.7404309482828229</v>
      </c>
      <c r="L10" s="179">
        <f ca="1">MAX(Y)</f>
        <v>4.16721401661726</v>
      </c>
      <c r="M10" s="179">
        <f ca="1">MAX(Z)</f>
        <v>3.6221328750325119</v>
      </c>
      <c r="N10" s="180">
        <f ca="1">MAX(F)</f>
        <v>20.2244314237143</v>
      </c>
      <c r="U10" t="s">
        <v>211</v>
      </c>
      <c r="V10">
        <f ca="1">(V8-V9)/NBINS</f>
        <v>7.5850980434897936E-2</v>
      </c>
      <c r="X10">
        <f ca="1">(X8-X9)/NBINS</f>
        <v>7.835802360827937E-2</v>
      </c>
      <c r="Z10">
        <f ca="1">(Z8-Z9)/NBINS</f>
        <v>6.9450828122178856E-2</v>
      </c>
      <c r="AB10">
        <f ca="1">(AB8-AB9)/NBINS</f>
        <v>0.20215753988255211</v>
      </c>
    </row>
    <row r="11" spans="2:32" ht="15.75" thickBot="1">
      <c r="B11" s="98" t="s">
        <v>212</v>
      </c>
      <c r="C11" s="187">
        <v>1</v>
      </c>
      <c r="D11" s="187">
        <v>1</v>
      </c>
      <c r="E11" s="188">
        <v>1</v>
      </c>
      <c r="J11" s="18" t="s">
        <v>213</v>
      </c>
      <c r="K11" s="179">
        <f ca="1">_xlfn.PERCENTILE.INC(X, 0.025)</f>
        <v>-1.995939289619554</v>
      </c>
      <c r="L11" s="179">
        <f ca="1">_xlfn.PERCENTILE.INC(Y, 0.025)</f>
        <v>-1.8851991208365948</v>
      </c>
      <c r="M11" s="179">
        <f ca="1">_xlfn.PERCENTILE.INC(Z, 0.025)</f>
        <v>-1.9624147777335856</v>
      </c>
      <c r="N11" s="180">
        <f ca="1">_xlfn.PERCENTILE.INC(F, 0.025)</f>
        <v>0.21658293078742791</v>
      </c>
    </row>
    <row r="12" spans="2:32" ht="15.75" thickBot="1">
      <c r="C12" s="189"/>
      <c r="D12" s="189"/>
      <c r="E12" s="189"/>
      <c r="J12" s="190" t="s">
        <v>214</v>
      </c>
      <c r="K12" s="191">
        <f ca="1">_xlfn.PERCENTILE.INC(X, 0.975)</f>
        <v>1.9142860814131268</v>
      </c>
      <c r="L12" s="191">
        <f ca="1">_xlfn.PERCENTILE.INC(Y, 0.975)</f>
        <v>1.923874500476394</v>
      </c>
      <c r="M12" s="191">
        <f ca="1">_xlfn.PERCENTILE.INC(Z, 0.975)</f>
        <v>2.0000676077674342</v>
      </c>
      <c r="N12" s="192">
        <f ca="1">_xlfn.PERCENTILE.INC(F, 0.975)</f>
        <v>9.0906890447185305</v>
      </c>
      <c r="V12" t="s">
        <v>215</v>
      </c>
      <c r="W12" t="s">
        <v>216</v>
      </c>
      <c r="X12" t="s">
        <v>215</v>
      </c>
      <c r="Y12" t="s">
        <v>216</v>
      </c>
      <c r="Z12" t="s">
        <v>215</v>
      </c>
      <c r="AA12" t="s">
        <v>216</v>
      </c>
      <c r="AB12" t="s">
        <v>215</v>
      </c>
      <c r="AC12" t="s">
        <v>216</v>
      </c>
    </row>
    <row r="13" spans="2:32" ht="15.75" thickBot="1">
      <c r="G13" t="s">
        <v>198</v>
      </c>
      <c r="H13" t="str">
        <f ca="1">_xlfn.FORMULATEXT(G14)</f>
        <v>=X^2+Y^2+Z^2</v>
      </c>
      <c r="V13" cm="1">
        <f t="array" aca="1" ref="V13:V112" ca="1">_xlfn.MAP(_xlfn.SEQUENCE($C$5), _xlfn.LAMBDA(_xlpm.k, V9+_xlpm.k*V10))</f>
        <v>-3.7688161147720729</v>
      </c>
      <c r="W13" cm="1">
        <f t="array" aca="1" ref="W13:W113" ca="1">FREQUENCY(X,BINS_X)</f>
        <v>1</v>
      </c>
      <c r="X13" cm="1">
        <f t="array" aca="1" ref="X13:X112" ca="1">_xlfn.MAP(_xlfn.SEQUENCE($C$5), _xlfn.LAMBDA(_xlpm.k, X9+_xlpm.k*X10))</f>
        <v>-3.5902303206023976</v>
      </c>
      <c r="Y13" cm="1">
        <f t="array" aca="1" ref="Y13:Y113" ca="1">FREQUENCY(Y,BINS_Y)</f>
        <v>1</v>
      </c>
      <c r="Z13" cm="1">
        <f t="array" aca="1" ref="Z13:Z112" ca="1">_xlfn.MAP(_xlfn.SEQUENCE($C$5), _xlfn.LAMBDA(_xlpm.k, Z9+_xlpm.k*Z10))</f>
        <v>-3.2534991090631942</v>
      </c>
      <c r="AA13" cm="1">
        <f t="array" aca="1" ref="AA13:AA113" ca="1">FREQUENCY(Z,BINS_Z)</f>
        <v>2</v>
      </c>
      <c r="AB13" cm="1">
        <f t="array" aca="1" ref="AB13:AB112" ca="1">_xlfn.MAP(_xlfn.SEQUENCE($C$5), _xlfn.LAMBDA(_xlpm.k, AB9+_xlpm.k*AB10))</f>
        <v>0.21083497534164078</v>
      </c>
      <c r="AC13" cm="1">
        <f t="array" aca="1" ref="AC13:AC113" ca="1">FREQUENCY(F,BINS_F)</f>
        <v>120</v>
      </c>
    </row>
    <row r="14" spans="2:32" ht="15.75" thickBot="1">
      <c r="C14" cm="1">
        <f t="array" aca="1" ref="C14:C5013" ca="1">RAND_SAMPLES(C$9, C$10, C$11, $C$4)</f>
        <v>1.0694353057462926</v>
      </c>
      <c r="D14" cm="1">
        <f t="array" aca="1" ref="D14:D5013" ca="1">RAND_SAMPLES(D$9, D$10, D$11, $C$4)</f>
        <v>-0.61508722556747553</v>
      </c>
      <c r="E14" cm="1">
        <f t="array" aca="1" ref="E14:E5013" ca="1">RAND_SAMPLES(E$9, E$10, E$11, $C$4)</f>
        <v>0.54068207823085157</v>
      </c>
      <c r="G14" s="193" cm="1">
        <f t="array" aca="1" ref="G14:G5013" ca="1">X^2+Y^2+Z^2</f>
        <v>1.8143612779529936</v>
      </c>
      <c r="H14" s="194" t="s">
        <v>217</v>
      </c>
      <c r="V14">
        <f ca="1"/>
        <v>-3.6929651343371752</v>
      </c>
      <c r="W14">
        <f ca="1"/>
        <v>0</v>
      </c>
      <c r="X14">
        <f ca="1"/>
        <v>-3.5118722969941185</v>
      </c>
      <c r="Y14">
        <f ca="1"/>
        <v>0</v>
      </c>
      <c r="Z14">
        <f ca="1"/>
        <v>-3.1840482809410156</v>
      </c>
      <c r="AA14">
        <f ca="1"/>
        <v>0</v>
      </c>
      <c r="AB14">
        <f ca="1"/>
        <v>0.41299251522419289</v>
      </c>
      <c r="AC14">
        <f ca="1"/>
        <v>192</v>
      </c>
    </row>
    <row r="15" spans="2:32">
      <c r="C15">
        <f ca="1"/>
        <v>-0.77536571838311308</v>
      </c>
      <c r="D15">
        <f ca="1"/>
        <v>3.1057354910415533</v>
      </c>
      <c r="E15">
        <f ca="1"/>
        <v>0.70944081677057524</v>
      </c>
      <c r="G15">
        <f ca="1"/>
        <v>10.750091210058981</v>
      </c>
      <c r="V15">
        <f ca="1"/>
        <v>-3.6171141539022771</v>
      </c>
      <c r="W15">
        <f ca="1"/>
        <v>0</v>
      </c>
      <c r="X15">
        <f ca="1"/>
        <v>-3.433514273385839</v>
      </c>
      <c r="Y15">
        <f ca="1"/>
        <v>0</v>
      </c>
      <c r="Z15">
        <f ca="1"/>
        <v>-3.1145974528188365</v>
      </c>
      <c r="AA15">
        <f ca="1"/>
        <v>0</v>
      </c>
      <c r="AB15">
        <f ca="1"/>
        <v>0.61515005510674503</v>
      </c>
      <c r="AC15">
        <f ca="1"/>
        <v>231</v>
      </c>
    </row>
    <row r="16" spans="2:32">
      <c r="C16">
        <f ca="1"/>
        <v>0.61102446031782864</v>
      </c>
      <c r="D16">
        <f ca="1"/>
        <v>0.83127983731744726</v>
      </c>
      <c r="E16">
        <f ca="1"/>
        <v>1.369481579618846</v>
      </c>
      <c r="G16">
        <f ca="1"/>
        <v>2.9398568559525451</v>
      </c>
      <c r="V16">
        <f ca="1"/>
        <v>-3.5412631734673794</v>
      </c>
      <c r="W16">
        <f ca="1"/>
        <v>0</v>
      </c>
      <c r="X16">
        <f ca="1"/>
        <v>-3.3551562497775596</v>
      </c>
      <c r="Y16">
        <f ca="1"/>
        <v>1</v>
      </c>
      <c r="Z16">
        <f ca="1"/>
        <v>-3.0451466246966579</v>
      </c>
      <c r="AA16">
        <f ca="1"/>
        <v>1</v>
      </c>
      <c r="AB16">
        <f ca="1"/>
        <v>0.81730759498929717</v>
      </c>
      <c r="AC16">
        <f ca="1"/>
        <v>277</v>
      </c>
    </row>
    <row r="17" spans="3:29">
      <c r="C17">
        <f ca="1"/>
        <v>0.53697430806715873</v>
      </c>
      <c r="D17">
        <f ca="1"/>
        <v>-0.44053793572428679</v>
      </c>
      <c r="E17">
        <f ca="1"/>
        <v>0.97774640469791196</v>
      </c>
      <c r="G17">
        <f ca="1"/>
        <v>1.4384031122361127</v>
      </c>
      <c r="V17">
        <f ca="1"/>
        <v>-3.4654121930324813</v>
      </c>
      <c r="W17">
        <f ca="1"/>
        <v>0</v>
      </c>
      <c r="X17">
        <f ca="1"/>
        <v>-3.2767982261692801</v>
      </c>
      <c r="Y17">
        <f ca="1"/>
        <v>1</v>
      </c>
      <c r="Z17">
        <f ca="1"/>
        <v>-2.9756957965744788</v>
      </c>
      <c r="AA17">
        <f ca="1"/>
        <v>1</v>
      </c>
      <c r="AB17">
        <f ca="1"/>
        <v>1.0194651348718491</v>
      </c>
      <c r="AC17">
        <f ca="1"/>
        <v>245</v>
      </c>
    </row>
    <row r="18" spans="3:29">
      <c r="C18">
        <f ca="1"/>
        <v>5.4475073254437525E-3</v>
      </c>
      <c r="D18">
        <f ca="1"/>
        <v>2.0326386888655943</v>
      </c>
      <c r="E18">
        <f ca="1"/>
        <v>0.64870295655578436</v>
      </c>
      <c r="G18">
        <f ca="1"/>
        <v>4.5524652406535182</v>
      </c>
      <c r="V18">
        <f ca="1"/>
        <v>-3.3895612125975836</v>
      </c>
      <c r="W18">
        <f ca="1"/>
        <v>0</v>
      </c>
      <c r="X18">
        <f ca="1"/>
        <v>-3.1984402025610006</v>
      </c>
      <c r="Y18">
        <f ca="1"/>
        <v>2</v>
      </c>
      <c r="Z18">
        <f ca="1"/>
        <v>-2.9062449684523002</v>
      </c>
      <c r="AA18">
        <f ca="1"/>
        <v>2</v>
      </c>
      <c r="AB18">
        <f ca="1"/>
        <v>1.2216226747544012</v>
      </c>
      <c r="AC18">
        <f ca="1"/>
        <v>257</v>
      </c>
    </row>
    <row r="19" spans="3:29">
      <c r="C19">
        <f ca="1"/>
        <v>-7.4878628850303733E-2</v>
      </c>
      <c r="D19">
        <f ca="1"/>
        <v>4.1375276009091549E-2</v>
      </c>
      <c r="E19">
        <f ca="1"/>
        <v>0.65428054402365055</v>
      </c>
      <c r="G19">
        <f ca="1"/>
        <v>0.43540175281121418</v>
      </c>
      <c r="V19">
        <f ca="1"/>
        <v>-3.3137102321626855</v>
      </c>
      <c r="W19">
        <f ca="1"/>
        <v>1</v>
      </c>
      <c r="X19">
        <f ca="1"/>
        <v>-3.1200821789527216</v>
      </c>
      <c r="Y19">
        <f ca="1"/>
        <v>1</v>
      </c>
      <c r="Z19">
        <f ca="1"/>
        <v>-2.8367941403301211</v>
      </c>
      <c r="AA19">
        <f ca="1"/>
        <v>2</v>
      </c>
      <c r="AB19">
        <f ca="1"/>
        <v>1.4237802146369534</v>
      </c>
      <c r="AC19">
        <f ca="1"/>
        <v>222</v>
      </c>
    </row>
    <row r="20" spans="3:29">
      <c r="C20">
        <f ca="1"/>
        <v>-0.24525142466873789</v>
      </c>
      <c r="D20">
        <f ca="1"/>
        <v>0.25086359354268661</v>
      </c>
      <c r="E20">
        <f ca="1"/>
        <v>2.0963908563988038</v>
      </c>
      <c r="G20">
        <f ca="1"/>
        <v>4.5179354266597063</v>
      </c>
      <c r="V20">
        <f ca="1"/>
        <v>-3.2378592517277873</v>
      </c>
      <c r="W20">
        <f ca="1"/>
        <v>1</v>
      </c>
      <c r="X20">
        <f ca="1"/>
        <v>-3.0417241553444421</v>
      </c>
      <c r="Y20">
        <f ca="1"/>
        <v>2</v>
      </c>
      <c r="Z20">
        <f ca="1"/>
        <v>-2.7673433122079425</v>
      </c>
      <c r="AA20">
        <f ca="1"/>
        <v>4</v>
      </c>
      <c r="AB20">
        <f ca="1"/>
        <v>1.6259377545195055</v>
      </c>
      <c r="AC20">
        <f ca="1"/>
        <v>252</v>
      </c>
    </row>
    <row r="21" spans="3:29">
      <c r="C21">
        <f ca="1"/>
        <v>0.43120465990273449</v>
      </c>
      <c r="D21">
        <f ca="1"/>
        <v>-0.67399801304318319</v>
      </c>
      <c r="E21">
        <f ca="1"/>
        <v>-0.58099931399835802</v>
      </c>
      <c r="G21">
        <f ca="1"/>
        <v>0.97777098317455446</v>
      </c>
      <c r="V21">
        <f ca="1"/>
        <v>-3.1620082712928896</v>
      </c>
      <c r="W21">
        <f ca="1"/>
        <v>0</v>
      </c>
      <c r="X21">
        <f ca="1"/>
        <v>-2.9633661317361626</v>
      </c>
      <c r="Y21">
        <f ca="1"/>
        <v>1</v>
      </c>
      <c r="Z21">
        <f ca="1"/>
        <v>-2.6978924840857634</v>
      </c>
      <c r="AA21">
        <f ca="1"/>
        <v>3</v>
      </c>
      <c r="AB21">
        <f ca="1"/>
        <v>1.8280952944020576</v>
      </c>
      <c r="AC21">
        <f ca="1"/>
        <v>186</v>
      </c>
    </row>
    <row r="22" spans="3:29">
      <c r="C22">
        <f ca="1"/>
        <v>0.84550416226122471</v>
      </c>
      <c r="D22">
        <f ca="1"/>
        <v>-0.14240221712645332</v>
      </c>
      <c r="E22">
        <f ca="1"/>
        <v>0.6268274401802304</v>
      </c>
      <c r="G22">
        <f ca="1"/>
        <v>1.1280683196064851</v>
      </c>
      <c r="V22">
        <f ca="1"/>
        <v>-3.086157290857992</v>
      </c>
      <c r="W22">
        <f ca="1"/>
        <v>1</v>
      </c>
      <c r="X22">
        <f ca="1"/>
        <v>-2.8850081081278836</v>
      </c>
      <c r="Y22">
        <f ca="1"/>
        <v>1</v>
      </c>
      <c r="Z22">
        <f ca="1"/>
        <v>-2.6284416559635848</v>
      </c>
      <c r="AA22">
        <f ca="1"/>
        <v>3</v>
      </c>
      <c r="AB22">
        <f ca="1"/>
        <v>2.0302528342846098</v>
      </c>
      <c r="AC22">
        <f ca="1"/>
        <v>206</v>
      </c>
    </row>
    <row r="23" spans="3:29">
      <c r="C23">
        <f ca="1"/>
        <v>0.14008799348331177</v>
      </c>
      <c r="D23">
        <f ca="1"/>
        <v>-0.15111600276545756</v>
      </c>
      <c r="E23">
        <f ca="1"/>
        <v>0.33807461525993976</v>
      </c>
      <c r="G23">
        <f ca="1"/>
        <v>0.15675513769314647</v>
      </c>
      <c r="V23">
        <f ca="1"/>
        <v>-3.0103063104230938</v>
      </c>
      <c r="W23">
        <f ca="1"/>
        <v>1</v>
      </c>
      <c r="X23">
        <f ca="1"/>
        <v>-2.8066500845196041</v>
      </c>
      <c r="Y23">
        <f ca="1"/>
        <v>2</v>
      </c>
      <c r="Z23">
        <f ca="1"/>
        <v>-2.5589908278414057</v>
      </c>
      <c r="AA23">
        <f ca="1"/>
        <v>8</v>
      </c>
      <c r="AB23">
        <f ca="1"/>
        <v>2.2324103741671619</v>
      </c>
      <c r="AC23">
        <f ca="1"/>
        <v>200</v>
      </c>
    </row>
    <row r="24" spans="3:29">
      <c r="C24">
        <f ca="1"/>
        <v>-0.43060114632314767</v>
      </c>
      <c r="D24">
        <f ca="1"/>
        <v>0.79384677658024416</v>
      </c>
      <c r="E24">
        <f ca="1"/>
        <v>0.77862325454120429</v>
      </c>
      <c r="G24">
        <f ca="1"/>
        <v>1.4218642244139899</v>
      </c>
      <c r="V24">
        <f ca="1"/>
        <v>-2.9344553299881957</v>
      </c>
      <c r="W24">
        <f ca="1"/>
        <v>2</v>
      </c>
      <c r="X24">
        <f ca="1"/>
        <v>-2.7282920609113246</v>
      </c>
      <c r="Y24">
        <f ca="1"/>
        <v>1</v>
      </c>
      <c r="Z24">
        <f ca="1"/>
        <v>-2.4895399997192271</v>
      </c>
      <c r="AA24">
        <f ca="1"/>
        <v>3</v>
      </c>
      <c r="AB24">
        <f ca="1"/>
        <v>2.4345679140497141</v>
      </c>
      <c r="AC24">
        <f ca="1"/>
        <v>207</v>
      </c>
    </row>
    <row r="25" spans="3:29">
      <c r="C25">
        <f ca="1"/>
        <v>0.70885308684320214</v>
      </c>
      <c r="D25">
        <f ca="1"/>
        <v>-0.29246361327560033</v>
      </c>
      <c r="E25">
        <f ca="1"/>
        <v>-2.1425236282925458E-2</v>
      </c>
      <c r="G25">
        <f ca="1"/>
        <v>0.58846670456713535</v>
      </c>
      <c r="V25">
        <f ca="1"/>
        <v>-2.858604349553298</v>
      </c>
      <c r="W25">
        <f ca="1"/>
        <v>1</v>
      </c>
      <c r="X25">
        <f ca="1"/>
        <v>-2.6499340373030451</v>
      </c>
      <c r="Y25">
        <f ca="1"/>
        <v>4</v>
      </c>
      <c r="Z25">
        <f ca="1"/>
        <v>-2.4200891715970481</v>
      </c>
      <c r="AA25">
        <f ca="1"/>
        <v>3</v>
      </c>
      <c r="AB25">
        <f ca="1"/>
        <v>2.6367254539322662</v>
      </c>
      <c r="AC25">
        <f ca="1"/>
        <v>178</v>
      </c>
    </row>
    <row r="26" spans="3:29">
      <c r="C26">
        <f ca="1"/>
        <v>-0.7310506635477777</v>
      </c>
      <c r="D26">
        <f ca="1"/>
        <v>0.33218996398177164</v>
      </c>
      <c r="E26">
        <f ca="1"/>
        <v>-0.55169545197261027</v>
      </c>
      <c r="G26">
        <f ca="1"/>
        <v>0.94915311657111956</v>
      </c>
      <c r="V26">
        <f ca="1"/>
        <v>-2.7827533691183999</v>
      </c>
      <c r="W26">
        <f ca="1"/>
        <v>4</v>
      </c>
      <c r="X26">
        <f ca="1"/>
        <v>-2.5715760136947656</v>
      </c>
      <c r="Y26">
        <f ca="1"/>
        <v>3</v>
      </c>
      <c r="Z26">
        <f ca="1"/>
        <v>-2.350638343474869</v>
      </c>
      <c r="AA26">
        <f ca="1"/>
        <v>9</v>
      </c>
      <c r="AB26">
        <f ca="1"/>
        <v>2.8388829938148183</v>
      </c>
      <c r="AC26">
        <f ca="1"/>
        <v>174</v>
      </c>
    </row>
    <row r="27" spans="3:29">
      <c r="C27">
        <f ca="1"/>
        <v>-0.34533852502053491</v>
      </c>
      <c r="D27">
        <f ca="1"/>
        <v>-0.50200802089343499</v>
      </c>
      <c r="E27">
        <f ca="1"/>
        <v>8.9122163514901986E-2</v>
      </c>
      <c r="G27">
        <f ca="1"/>
        <v>0.37921350993427899</v>
      </c>
      <c r="V27">
        <f ca="1"/>
        <v>-2.7069023886835017</v>
      </c>
      <c r="W27">
        <f ca="1"/>
        <v>2</v>
      </c>
      <c r="X27">
        <f ca="1"/>
        <v>-2.4932179900864866</v>
      </c>
      <c r="Y27">
        <f ca="1"/>
        <v>8</v>
      </c>
      <c r="Z27">
        <f ca="1"/>
        <v>-2.2811875153526904</v>
      </c>
      <c r="AA27">
        <f ca="1"/>
        <v>10</v>
      </c>
      <c r="AB27">
        <f ca="1"/>
        <v>3.0410405336973705</v>
      </c>
      <c r="AC27">
        <f ca="1"/>
        <v>131</v>
      </c>
    </row>
    <row r="28" spans="3:29">
      <c r="C28">
        <f ca="1"/>
        <v>-0.20666196678139051</v>
      </c>
      <c r="D28">
        <f ca="1"/>
        <v>-1.4649588006232048</v>
      </c>
      <c r="E28">
        <f ca="1"/>
        <v>-9.6583963869924308E-2</v>
      </c>
      <c r="G28">
        <f ca="1"/>
        <v>2.1981419181141582</v>
      </c>
      <c r="V28">
        <f ca="1"/>
        <v>-2.6310514082486041</v>
      </c>
      <c r="W28">
        <f ca="1"/>
        <v>3</v>
      </c>
      <c r="X28">
        <f ca="1"/>
        <v>-2.4148599664782071</v>
      </c>
      <c r="Y28">
        <f ca="1"/>
        <v>3</v>
      </c>
      <c r="Z28">
        <f ca="1"/>
        <v>-2.2117366872305118</v>
      </c>
      <c r="AA28">
        <f ca="1"/>
        <v>10</v>
      </c>
      <c r="AB28">
        <f ca="1"/>
        <v>3.2431980735799226</v>
      </c>
      <c r="AC28">
        <f ca="1"/>
        <v>135</v>
      </c>
    </row>
    <row r="29" spans="3:29">
      <c r="C29">
        <f ca="1"/>
        <v>-0.61099126449974317</v>
      </c>
      <c r="D29">
        <f ca="1"/>
        <v>0.96468226042227267</v>
      </c>
      <c r="E29">
        <f ca="1"/>
        <v>-0.23790544494502053</v>
      </c>
      <c r="G29">
        <f ca="1"/>
        <v>1.3605211896029088</v>
      </c>
      <c r="V29">
        <f ca="1"/>
        <v>-2.5552004278137064</v>
      </c>
      <c r="W29">
        <f ca="1"/>
        <v>5</v>
      </c>
      <c r="X29">
        <f ca="1"/>
        <v>-2.3365019428699276</v>
      </c>
      <c r="Y29">
        <f ca="1"/>
        <v>4</v>
      </c>
      <c r="Z29">
        <f ca="1"/>
        <v>-2.1422858591083327</v>
      </c>
      <c r="AA29">
        <f ca="1"/>
        <v>11</v>
      </c>
      <c r="AB29">
        <f ca="1"/>
        <v>3.4453556134624748</v>
      </c>
      <c r="AC29">
        <f ca="1"/>
        <v>137</v>
      </c>
    </row>
    <row r="30" spans="3:29">
      <c r="C30">
        <f ca="1"/>
        <v>-0.87042461373176827</v>
      </c>
      <c r="D30">
        <f ca="1"/>
        <v>-0.42601963599870757</v>
      </c>
      <c r="E30">
        <f ca="1"/>
        <v>1.3077512123242185</v>
      </c>
      <c r="G30">
        <f ca="1"/>
        <v>2.6493449717820328</v>
      </c>
      <c r="V30">
        <f ca="1"/>
        <v>-2.4793494473788082</v>
      </c>
      <c r="W30">
        <f ca="1"/>
        <v>5</v>
      </c>
      <c r="X30">
        <f ca="1"/>
        <v>-2.2581439192616486</v>
      </c>
      <c r="Y30">
        <f ca="1"/>
        <v>19</v>
      </c>
      <c r="Z30">
        <f ca="1"/>
        <v>-2.0728350309861536</v>
      </c>
      <c r="AA30">
        <f ca="1"/>
        <v>18</v>
      </c>
      <c r="AB30">
        <f ca="1"/>
        <v>3.6475131533450269</v>
      </c>
      <c r="AC30">
        <f ca="1"/>
        <v>135</v>
      </c>
    </row>
    <row r="31" spans="3:29">
      <c r="C31">
        <f ca="1"/>
        <v>-1.1024036313506149</v>
      </c>
      <c r="D31">
        <f ca="1"/>
        <v>-0.46311838688583923</v>
      </c>
      <c r="E31">
        <f ca="1"/>
        <v>1.1233991768019542</v>
      </c>
      <c r="G31">
        <f ca="1"/>
        <v>2.6917981171260728</v>
      </c>
      <c r="V31">
        <f ca="1"/>
        <v>-2.4034984669439101</v>
      </c>
      <c r="W31">
        <f ca="1"/>
        <v>10</v>
      </c>
      <c r="X31">
        <f ca="1"/>
        <v>-2.1797858956533691</v>
      </c>
      <c r="Y31">
        <f ca="1"/>
        <v>8</v>
      </c>
      <c r="Z31">
        <f ca="1"/>
        <v>-2.003384202863975</v>
      </c>
      <c r="AA31">
        <f ca="1"/>
        <v>24</v>
      </c>
      <c r="AB31">
        <f ca="1"/>
        <v>3.849670693227579</v>
      </c>
      <c r="AC31">
        <f ca="1"/>
        <v>128</v>
      </c>
    </row>
    <row r="32" spans="3:29">
      <c r="C32">
        <f ca="1"/>
        <v>3.4220668250902052E-2</v>
      </c>
      <c r="D32">
        <f ca="1"/>
        <v>1.6773942857577111</v>
      </c>
      <c r="E32">
        <f ca="1"/>
        <v>5.8623149623144383E-2</v>
      </c>
      <c r="G32">
        <f ca="1"/>
        <v>2.8182593176998978</v>
      </c>
      <c r="V32">
        <f ca="1"/>
        <v>-2.3276474865090124</v>
      </c>
      <c r="W32">
        <f ca="1"/>
        <v>8</v>
      </c>
      <c r="X32">
        <f ca="1"/>
        <v>-2.1014278720450896</v>
      </c>
      <c r="Y32">
        <f ca="1"/>
        <v>14</v>
      </c>
      <c r="Z32">
        <f ca="1"/>
        <v>-1.9339333747417962</v>
      </c>
      <c r="AA32">
        <f ca="1"/>
        <v>19</v>
      </c>
      <c r="AB32">
        <f ca="1"/>
        <v>4.0518282331101307</v>
      </c>
      <c r="AC32">
        <f ca="1"/>
        <v>109</v>
      </c>
    </row>
    <row r="33" spans="3:29">
      <c r="C33">
        <f ca="1"/>
        <v>-1.2158961086260005</v>
      </c>
      <c r="D33">
        <f ca="1"/>
        <v>0.61646382024259339</v>
      </c>
      <c r="E33">
        <f ca="1"/>
        <v>0.21744588175341539</v>
      </c>
      <c r="G33">
        <f ca="1"/>
        <v>1.9057137001314637</v>
      </c>
      <c r="V33">
        <f ca="1"/>
        <v>-2.2517965060741143</v>
      </c>
      <c r="W33">
        <f ca="1"/>
        <v>8</v>
      </c>
      <c r="X33">
        <f ca="1"/>
        <v>-2.0230698484368101</v>
      </c>
      <c r="Y33">
        <f ca="1"/>
        <v>17</v>
      </c>
      <c r="Z33">
        <f ca="1"/>
        <v>-1.8644825466196173</v>
      </c>
      <c r="AA33">
        <f ca="1"/>
        <v>27</v>
      </c>
      <c r="AB33">
        <f ca="1"/>
        <v>4.2539857729926833</v>
      </c>
      <c r="AC33">
        <f ca="1"/>
        <v>111</v>
      </c>
    </row>
    <row r="34" spans="3:29">
      <c r="C34">
        <f ca="1"/>
        <v>1.2634411529742489</v>
      </c>
      <c r="D34">
        <f ca="1"/>
        <v>-1.4418026532022914</v>
      </c>
      <c r="E34">
        <f ca="1"/>
        <v>1.8232563925681031</v>
      </c>
      <c r="G34">
        <f ca="1"/>
        <v>6.9993423108505191</v>
      </c>
      <c r="V34">
        <f ca="1"/>
        <v>-2.1759455256392162</v>
      </c>
      <c r="W34">
        <f ca="1"/>
        <v>17</v>
      </c>
      <c r="X34">
        <f ca="1"/>
        <v>-1.9447118248285309</v>
      </c>
      <c r="Y34">
        <f ca="1"/>
        <v>17</v>
      </c>
      <c r="Z34">
        <f ca="1"/>
        <v>-1.7950317184974385</v>
      </c>
      <c r="AA34">
        <f ca="1"/>
        <v>17</v>
      </c>
      <c r="AB34">
        <f ca="1"/>
        <v>4.456143312875235</v>
      </c>
      <c r="AC34">
        <f ca="1"/>
        <v>113</v>
      </c>
    </row>
    <row r="35" spans="3:29">
      <c r="C35">
        <f ca="1"/>
        <v>-8.3840118961380633E-2</v>
      </c>
      <c r="D35">
        <f ca="1"/>
        <v>-0.8278576366603797</v>
      </c>
      <c r="E35">
        <f ca="1"/>
        <v>0.8167029328983787</v>
      </c>
      <c r="G35">
        <f ca="1"/>
        <v>1.3593811127291815</v>
      </c>
      <c r="V35">
        <f ca="1"/>
        <v>-2.1000945452043185</v>
      </c>
      <c r="W35">
        <f ca="1"/>
        <v>14</v>
      </c>
      <c r="X35">
        <f ca="1"/>
        <v>-1.8663538012202516</v>
      </c>
      <c r="Y35">
        <f ca="1"/>
        <v>20</v>
      </c>
      <c r="Z35">
        <f ca="1"/>
        <v>-1.7255808903752596</v>
      </c>
      <c r="AA35">
        <f ca="1"/>
        <v>29</v>
      </c>
      <c r="AB35">
        <f ca="1"/>
        <v>4.6583008527577876</v>
      </c>
      <c r="AC35">
        <f ca="1"/>
        <v>85</v>
      </c>
    </row>
    <row r="36" spans="3:29">
      <c r="C36">
        <f ca="1"/>
        <v>1.2596855980571016</v>
      </c>
      <c r="D36">
        <f ca="1"/>
        <v>-2.243977077021222</v>
      </c>
      <c r="E36">
        <f ca="1"/>
        <v>1.472434735667542</v>
      </c>
      <c r="G36">
        <f ca="1"/>
        <v>8.7903049789495284</v>
      </c>
      <c r="V36">
        <f ca="1"/>
        <v>-2.0242435647694208</v>
      </c>
      <c r="W36">
        <f ca="1"/>
        <v>28</v>
      </c>
      <c r="X36">
        <f ca="1"/>
        <v>-1.7879957776119721</v>
      </c>
      <c r="Y36">
        <f ca="1"/>
        <v>29</v>
      </c>
      <c r="Z36">
        <f ca="1"/>
        <v>-1.6561300622530806</v>
      </c>
      <c r="AA36">
        <f ca="1"/>
        <v>20</v>
      </c>
      <c r="AB36">
        <f ca="1"/>
        <v>4.8604583926403393</v>
      </c>
      <c r="AC36">
        <f ca="1"/>
        <v>84</v>
      </c>
    </row>
    <row r="37" spans="3:29">
      <c r="C37">
        <f ca="1"/>
        <v>-2.4344623656017657</v>
      </c>
      <c r="D37">
        <f ca="1"/>
        <v>-0.35748506754129689</v>
      </c>
      <c r="E37">
        <f ca="1"/>
        <v>0.62258156844316992</v>
      </c>
      <c r="G37">
        <f ca="1"/>
        <v>6.4420103924115075</v>
      </c>
      <c r="V37">
        <f ca="1"/>
        <v>-1.9483925843345227</v>
      </c>
      <c r="W37">
        <f ca="1"/>
        <v>25</v>
      </c>
      <c r="X37">
        <f ca="1"/>
        <v>-1.7096377540036927</v>
      </c>
      <c r="Y37">
        <f ca="1"/>
        <v>38</v>
      </c>
      <c r="Z37">
        <f ca="1"/>
        <v>-1.5866792341309017</v>
      </c>
      <c r="AA37">
        <f ca="1"/>
        <v>39</v>
      </c>
      <c r="AB37">
        <f ca="1"/>
        <v>5.0626159325228919</v>
      </c>
      <c r="AC37">
        <f ca="1"/>
        <v>76</v>
      </c>
    </row>
    <row r="38" spans="3:29">
      <c r="C38">
        <f ca="1"/>
        <v>0.75772122049368473</v>
      </c>
      <c r="D38">
        <f ca="1"/>
        <v>1.5970773250533197</v>
      </c>
      <c r="E38">
        <f ca="1"/>
        <v>0.5088988859393152</v>
      </c>
      <c r="G38">
        <f ca="1"/>
        <v>3.3837755062961823</v>
      </c>
      <c r="V38">
        <f ca="1"/>
        <v>-1.8725416038996248</v>
      </c>
      <c r="W38">
        <f ca="1"/>
        <v>30</v>
      </c>
      <c r="X38">
        <f ca="1"/>
        <v>-1.6312797303954132</v>
      </c>
      <c r="Y38">
        <f ca="1"/>
        <v>35</v>
      </c>
      <c r="Z38">
        <f ca="1"/>
        <v>-1.5172284060087229</v>
      </c>
      <c r="AA38">
        <f ca="1"/>
        <v>44</v>
      </c>
      <c r="AB38">
        <f ca="1"/>
        <v>5.2647734724054436</v>
      </c>
      <c r="AC38">
        <f ca="1"/>
        <v>68</v>
      </c>
    </row>
    <row r="39" spans="3:29">
      <c r="C39">
        <f ca="1"/>
        <v>0.19849924506963976</v>
      </c>
      <c r="D39">
        <f ca="1"/>
        <v>2.94521655905901</v>
      </c>
      <c r="E39">
        <f ca="1"/>
        <v>-0.18803907439957246</v>
      </c>
      <c r="G39">
        <f ca="1"/>
        <v>8.7490612235496581</v>
      </c>
      <c r="V39">
        <f ca="1"/>
        <v>-1.7966906234647269</v>
      </c>
      <c r="W39">
        <f ca="1"/>
        <v>34</v>
      </c>
      <c r="X39">
        <f ca="1"/>
        <v>-1.5529217067871341</v>
      </c>
      <c r="Y39">
        <f ca="1"/>
        <v>40</v>
      </c>
      <c r="Z39">
        <f ca="1"/>
        <v>-1.447777577886544</v>
      </c>
      <c r="AA39">
        <f ca="1"/>
        <v>32</v>
      </c>
      <c r="AB39">
        <f ca="1"/>
        <v>5.4669310122879962</v>
      </c>
      <c r="AC39">
        <f ca="1"/>
        <v>62</v>
      </c>
    </row>
    <row r="40" spans="3:29">
      <c r="C40">
        <f ca="1"/>
        <v>0.69547244265546748</v>
      </c>
      <c r="D40">
        <f ca="1"/>
        <v>0.82283040637261007</v>
      </c>
      <c r="E40">
        <f ca="1"/>
        <v>-0.13725524053257468</v>
      </c>
      <c r="G40">
        <f ca="1"/>
        <v>1.1795707971981322</v>
      </c>
      <c r="V40">
        <f ca="1"/>
        <v>-1.7208396430298287</v>
      </c>
      <c r="W40">
        <f ca="1"/>
        <v>27</v>
      </c>
      <c r="X40">
        <f ca="1"/>
        <v>-1.4745636831788547</v>
      </c>
      <c r="Y40">
        <f ca="1"/>
        <v>55</v>
      </c>
      <c r="Z40">
        <f ca="1"/>
        <v>-1.3783267497643652</v>
      </c>
      <c r="AA40">
        <f ca="1"/>
        <v>52</v>
      </c>
      <c r="AB40">
        <f ca="1"/>
        <v>5.6690885521705479</v>
      </c>
      <c r="AC40">
        <f ca="1"/>
        <v>60</v>
      </c>
    </row>
    <row r="41" spans="3:29">
      <c r="C41">
        <f ca="1"/>
        <v>-0.21971280397101611</v>
      </c>
      <c r="D41">
        <f ca="1"/>
        <v>-0.44762566585583513</v>
      </c>
      <c r="E41">
        <f ca="1"/>
        <v>-1.4482009532111668</v>
      </c>
      <c r="G41">
        <f ca="1"/>
        <v>2.3459284538434177</v>
      </c>
      <c r="V41">
        <f ca="1"/>
        <v>-1.644988662594931</v>
      </c>
      <c r="W41">
        <f ca="1"/>
        <v>22</v>
      </c>
      <c r="X41">
        <f ca="1"/>
        <v>-1.3962056595705752</v>
      </c>
      <c r="Y41">
        <f ca="1"/>
        <v>49</v>
      </c>
      <c r="Z41">
        <f ca="1"/>
        <v>-1.3088759216421866</v>
      </c>
      <c r="AA41">
        <f ca="1"/>
        <v>51</v>
      </c>
      <c r="AB41">
        <f ca="1"/>
        <v>5.8712460920531004</v>
      </c>
      <c r="AC41">
        <f ca="1"/>
        <v>67</v>
      </c>
    </row>
    <row r="42" spans="3:29">
      <c r="C42">
        <f ca="1"/>
        <v>-0.42860850631163017</v>
      </c>
      <c r="D42">
        <f ca="1"/>
        <v>-0.33354301570795863</v>
      </c>
      <c r="E42">
        <f ca="1"/>
        <v>1.4552159675810132</v>
      </c>
      <c r="G42">
        <f ca="1"/>
        <v>2.4126097073129906</v>
      </c>
      <c r="V42">
        <f ca="1"/>
        <v>-1.5691376821600329</v>
      </c>
      <c r="W42">
        <f ca="1"/>
        <v>41</v>
      </c>
      <c r="X42">
        <f ca="1"/>
        <v>-1.3178476359622961</v>
      </c>
      <c r="Y42">
        <f ca="1"/>
        <v>76</v>
      </c>
      <c r="Z42">
        <f ca="1"/>
        <v>-1.2394250935200075</v>
      </c>
      <c r="AA42">
        <f ca="1"/>
        <v>64</v>
      </c>
      <c r="AB42">
        <f ca="1"/>
        <v>6.0734036319356521</v>
      </c>
      <c r="AC42">
        <f ca="1"/>
        <v>54</v>
      </c>
    </row>
    <row r="43" spans="3:29">
      <c r="C43">
        <f ca="1"/>
        <v>0.84734916237247671</v>
      </c>
      <c r="D43">
        <f ca="1"/>
        <v>0.59241303476119256</v>
      </c>
      <c r="E43">
        <f ca="1"/>
        <v>0.38429437437326042</v>
      </c>
      <c r="G43">
        <f ca="1"/>
        <v>1.2166359729032394</v>
      </c>
      <c r="V43">
        <f ca="1"/>
        <v>-1.4932867017251352</v>
      </c>
      <c r="W43">
        <f ca="1"/>
        <v>39</v>
      </c>
      <c r="X43">
        <f ca="1"/>
        <v>-1.2394896123540167</v>
      </c>
      <c r="Y43">
        <f ca="1"/>
        <v>77</v>
      </c>
      <c r="Z43">
        <f ca="1"/>
        <v>-1.1699742653978289</v>
      </c>
      <c r="AA43">
        <f ca="1"/>
        <v>63</v>
      </c>
      <c r="AB43">
        <f ca="1"/>
        <v>6.2755611718182047</v>
      </c>
      <c r="AC43">
        <f ca="1"/>
        <v>40</v>
      </c>
    </row>
    <row r="44" spans="3:29">
      <c r="C44">
        <f ca="1"/>
        <v>-0.50492294671296267</v>
      </c>
      <c r="D44">
        <f ca="1"/>
        <v>0.53425764556431454</v>
      </c>
      <c r="E44">
        <f ca="1"/>
        <v>0.23716481152255231</v>
      </c>
      <c r="G44">
        <f ca="1"/>
        <v>0.59662556178575377</v>
      </c>
      <c r="V44">
        <f ca="1"/>
        <v>-1.4174357212902371</v>
      </c>
      <c r="W44">
        <f ca="1"/>
        <v>53</v>
      </c>
      <c r="X44">
        <f ca="1"/>
        <v>-1.1611315887457372</v>
      </c>
      <c r="Y44">
        <f ca="1"/>
        <v>71</v>
      </c>
      <c r="Z44">
        <f ca="1"/>
        <v>-1.1005234372756498</v>
      </c>
      <c r="AA44">
        <f ca="1"/>
        <v>71</v>
      </c>
      <c r="AB44">
        <f ca="1"/>
        <v>6.4777187117007564</v>
      </c>
      <c r="AC44">
        <f ca="1"/>
        <v>46</v>
      </c>
    </row>
    <row r="45" spans="3:29">
      <c r="C45">
        <f ca="1"/>
        <v>0.11841955409533744</v>
      </c>
      <c r="D45">
        <f ca="1"/>
        <v>-1.2046175307654206</v>
      </c>
      <c r="E45">
        <f ca="1"/>
        <v>-1.0162950058232216</v>
      </c>
      <c r="G45">
        <f ca="1"/>
        <v>2.4979821250807399</v>
      </c>
      <c r="V45">
        <f ca="1"/>
        <v>-1.341584740855339</v>
      </c>
      <c r="W45">
        <f ca="1"/>
        <v>64</v>
      </c>
      <c r="X45">
        <f ca="1"/>
        <v>-1.0827735651374577</v>
      </c>
      <c r="Y45">
        <f ca="1"/>
        <v>74</v>
      </c>
      <c r="Z45">
        <f ca="1"/>
        <v>-1.0310726091534708</v>
      </c>
      <c r="AA45">
        <f ca="1"/>
        <v>73</v>
      </c>
      <c r="AB45">
        <f ca="1"/>
        <v>6.6798762515833081</v>
      </c>
      <c r="AC45">
        <f ca="1"/>
        <v>41</v>
      </c>
    </row>
    <row r="46" spans="3:29">
      <c r="C46">
        <f ca="1"/>
        <v>1.8596447683761625</v>
      </c>
      <c r="D46">
        <f ca="1"/>
        <v>0.30905308480611038</v>
      </c>
      <c r="E46">
        <f ca="1"/>
        <v>0.11552305357672636</v>
      </c>
      <c r="G46">
        <f ca="1"/>
        <v>3.5671380496846949</v>
      </c>
      <c r="V46">
        <f ca="1"/>
        <v>-1.2657337604204413</v>
      </c>
      <c r="W46">
        <f ca="1"/>
        <v>67</v>
      </c>
      <c r="X46">
        <f ca="1"/>
        <v>-1.0044155415291782</v>
      </c>
      <c r="Y46">
        <f ca="1"/>
        <v>71</v>
      </c>
      <c r="Z46">
        <f ca="1"/>
        <v>-0.96162178103129214</v>
      </c>
      <c r="AA46">
        <f ca="1"/>
        <v>75</v>
      </c>
      <c r="AB46">
        <f ca="1"/>
        <v>6.8820337914658607</v>
      </c>
      <c r="AC46">
        <f ca="1"/>
        <v>38</v>
      </c>
    </row>
    <row r="47" spans="3:29">
      <c r="C47">
        <f ca="1"/>
        <v>-0.48536040562137639</v>
      </c>
      <c r="D47">
        <f ca="1"/>
        <v>0.46993098297988251</v>
      </c>
      <c r="E47">
        <f ca="1"/>
        <v>-0.20596755337151168</v>
      </c>
      <c r="G47">
        <f ca="1"/>
        <v>0.49883248515123219</v>
      </c>
      <c r="V47">
        <f ca="1"/>
        <v>-1.1898827799855431</v>
      </c>
      <c r="W47">
        <f ca="1"/>
        <v>70</v>
      </c>
      <c r="X47">
        <f ca="1"/>
        <v>-0.92605751792089919</v>
      </c>
      <c r="Y47">
        <f ca="1"/>
        <v>92</v>
      </c>
      <c r="Z47">
        <f ca="1"/>
        <v>-0.89217095290911308</v>
      </c>
      <c r="AA47">
        <f ca="1"/>
        <v>87</v>
      </c>
      <c r="AB47">
        <f ca="1"/>
        <v>7.0841913313484124</v>
      </c>
      <c r="AC47">
        <f ca="1"/>
        <v>29</v>
      </c>
    </row>
    <row r="48" spans="3:29">
      <c r="C48">
        <f ca="1"/>
        <v>-0.23288503477329542</v>
      </c>
      <c r="D48">
        <f ca="1"/>
        <v>0.66902339854968096</v>
      </c>
      <c r="E48">
        <f ca="1"/>
        <v>-0.45317102045898328</v>
      </c>
      <c r="G48">
        <f ca="1"/>
        <v>0.70719172101216055</v>
      </c>
      <c r="V48">
        <f ca="1"/>
        <v>-1.1140317995506455</v>
      </c>
      <c r="W48">
        <f ca="1"/>
        <v>65</v>
      </c>
      <c r="X48">
        <f ca="1"/>
        <v>-0.84769949431261971</v>
      </c>
      <c r="Y48">
        <f ca="1"/>
        <v>119</v>
      </c>
      <c r="Z48">
        <f ca="1"/>
        <v>-0.82272012478693446</v>
      </c>
      <c r="AA48">
        <f ca="1"/>
        <v>90</v>
      </c>
      <c r="AB48">
        <f ca="1"/>
        <v>7.286348871230965</v>
      </c>
      <c r="AC48">
        <f ca="1"/>
        <v>31</v>
      </c>
    </row>
    <row r="49" spans="3:29">
      <c r="C49">
        <f ca="1"/>
        <v>0.5628308177012461</v>
      </c>
      <c r="D49">
        <f ca="1"/>
        <v>1.7173941126659507E-2</v>
      </c>
      <c r="E49">
        <f ca="1"/>
        <v>0.37052519115768906</v>
      </c>
      <c r="G49">
        <f ca="1"/>
        <v>0.45436239089051733</v>
      </c>
      <c r="V49">
        <f ca="1"/>
        <v>-1.0381808191157473</v>
      </c>
      <c r="W49">
        <f ca="1"/>
        <v>80</v>
      </c>
      <c r="X49">
        <f ca="1"/>
        <v>-0.76934147070434022</v>
      </c>
      <c r="Y49">
        <f ca="1"/>
        <v>120</v>
      </c>
      <c r="Z49">
        <f ca="1"/>
        <v>-0.75326929666475539</v>
      </c>
      <c r="AA49">
        <f ca="1"/>
        <v>103</v>
      </c>
      <c r="AB49">
        <f ca="1"/>
        <v>7.4885064111135167</v>
      </c>
      <c r="AC49">
        <f ca="1"/>
        <v>15</v>
      </c>
    </row>
    <row r="50" spans="3:29">
      <c r="C50">
        <f ca="1"/>
        <v>-1.5395037936909037</v>
      </c>
      <c r="D50">
        <f ca="1"/>
        <v>0.60116848557003966</v>
      </c>
      <c r="E50">
        <f ca="1"/>
        <v>-1.8726426704245343</v>
      </c>
      <c r="G50">
        <f ca="1"/>
        <v>6.2382660499259899</v>
      </c>
      <c r="V50">
        <f ca="1"/>
        <v>-0.96232983868084965</v>
      </c>
      <c r="W50">
        <f ca="1"/>
        <v>82</v>
      </c>
      <c r="X50">
        <f ca="1"/>
        <v>-0.69098344709606119</v>
      </c>
      <c r="Y50">
        <f ca="1"/>
        <v>100</v>
      </c>
      <c r="Z50">
        <f ca="1"/>
        <v>-0.68381846854257677</v>
      </c>
      <c r="AA50">
        <f ca="1"/>
        <v>101</v>
      </c>
      <c r="AB50">
        <f ca="1"/>
        <v>7.6906639509960693</v>
      </c>
      <c r="AC50">
        <f ca="1"/>
        <v>24</v>
      </c>
    </row>
    <row r="51" spans="3:29">
      <c r="C51">
        <f ca="1"/>
        <v>-0.85045082440120212</v>
      </c>
      <c r="D51">
        <f ca="1"/>
        <v>4.0839190796158921E-2</v>
      </c>
      <c r="E51">
        <f ca="1"/>
        <v>-0.77950845558442117</v>
      </c>
      <c r="G51">
        <f ca="1"/>
        <v>1.3325678765571789</v>
      </c>
      <c r="V51">
        <f ca="1"/>
        <v>-0.88647885824595152</v>
      </c>
      <c r="W51">
        <f ca="1"/>
        <v>107</v>
      </c>
      <c r="X51">
        <f ca="1"/>
        <v>-0.61262542348778171</v>
      </c>
      <c r="Y51">
        <f ca="1"/>
        <v>143</v>
      </c>
      <c r="Z51">
        <f ca="1"/>
        <v>-0.61436764042039771</v>
      </c>
      <c r="AA51">
        <f ca="1"/>
        <v>98</v>
      </c>
      <c r="AB51">
        <f ca="1"/>
        <v>7.8928214908786209</v>
      </c>
      <c r="AC51">
        <f ca="1"/>
        <v>19</v>
      </c>
    </row>
    <row r="52" spans="3:29">
      <c r="C52">
        <f ca="1"/>
        <v>-0.3996827663927936</v>
      </c>
      <c r="D52">
        <f ca="1"/>
        <v>-0.71507235515412138</v>
      </c>
      <c r="E52">
        <f ca="1"/>
        <v>-0.52849740158514158</v>
      </c>
      <c r="G52">
        <f ca="1"/>
        <v>0.95038429033930472</v>
      </c>
      <c r="V52">
        <f ca="1"/>
        <v>-0.81062787781105383</v>
      </c>
      <c r="W52">
        <f ca="1"/>
        <v>121</v>
      </c>
      <c r="X52">
        <f ca="1"/>
        <v>-0.53426739987950222</v>
      </c>
      <c r="Y52">
        <f ca="1"/>
        <v>122</v>
      </c>
      <c r="Z52">
        <f ca="1"/>
        <v>-0.54491681229821909</v>
      </c>
      <c r="AA52">
        <f ca="1"/>
        <v>116</v>
      </c>
      <c r="AB52">
        <f ca="1"/>
        <v>8.0949790307611718</v>
      </c>
      <c r="AC52">
        <f ca="1"/>
        <v>18</v>
      </c>
    </row>
    <row r="53" spans="3:29">
      <c r="C53">
        <f ca="1"/>
        <v>-0.67069061378350037</v>
      </c>
      <c r="D53">
        <f ca="1"/>
        <v>-0.95559440595906542</v>
      </c>
      <c r="E53">
        <f ca="1"/>
        <v>-0.78550434302355265</v>
      </c>
      <c r="G53">
        <f ca="1"/>
        <v>1.9800036410264106</v>
      </c>
      <c r="V53">
        <f ca="1"/>
        <v>-0.7347768973761557</v>
      </c>
      <c r="W53">
        <f ca="1"/>
        <v>101</v>
      </c>
      <c r="X53">
        <f ca="1"/>
        <v>-0.45590937627122274</v>
      </c>
      <c r="Y53">
        <f ca="1"/>
        <v>142</v>
      </c>
      <c r="Z53">
        <f ca="1"/>
        <v>-0.47546598417604002</v>
      </c>
      <c r="AA53">
        <f ca="1"/>
        <v>144</v>
      </c>
      <c r="AB53">
        <f ca="1"/>
        <v>8.2971365706437243</v>
      </c>
      <c r="AC53">
        <f ca="1"/>
        <v>13</v>
      </c>
    </row>
    <row r="54" spans="3:29">
      <c r="C54">
        <f ca="1"/>
        <v>-0.85880568435769145</v>
      </c>
      <c r="D54">
        <f ca="1"/>
        <v>0.83220103291048086</v>
      </c>
      <c r="E54">
        <f ca="1"/>
        <v>-0.10340878708147298</v>
      </c>
      <c r="G54">
        <f ca="1"/>
        <v>1.4407991399080153</v>
      </c>
      <c r="V54">
        <f ca="1"/>
        <v>-0.65892591694125757</v>
      </c>
      <c r="W54">
        <f ca="1"/>
        <v>116</v>
      </c>
      <c r="X54">
        <f ca="1"/>
        <v>-0.37755135266294326</v>
      </c>
      <c r="Y54">
        <f ca="1"/>
        <v>156</v>
      </c>
      <c r="Z54">
        <f ca="1"/>
        <v>-0.4060151560538614</v>
      </c>
      <c r="AA54">
        <f ca="1"/>
        <v>134</v>
      </c>
      <c r="AB54">
        <f ca="1"/>
        <v>8.4992941105262769</v>
      </c>
      <c r="AC54">
        <f ca="1"/>
        <v>17</v>
      </c>
    </row>
    <row r="55" spans="3:29">
      <c r="C55">
        <f ca="1"/>
        <v>9.6939049888535217E-2</v>
      </c>
      <c r="D55">
        <f ca="1"/>
        <v>1.329869019173751</v>
      </c>
      <c r="E55">
        <f ca="1"/>
        <v>1.7491441567805295</v>
      </c>
      <c r="G55">
        <f ca="1"/>
        <v>4.8374540687509162</v>
      </c>
      <c r="V55">
        <f ca="1"/>
        <v>-0.58307493650635989</v>
      </c>
      <c r="W55">
        <f ca="1"/>
        <v>132</v>
      </c>
      <c r="X55">
        <f ca="1"/>
        <v>-0.29919332905466423</v>
      </c>
      <c r="Y55">
        <f ca="1"/>
        <v>133</v>
      </c>
      <c r="Z55">
        <f ca="1"/>
        <v>-0.33656432793168234</v>
      </c>
      <c r="AA55">
        <f ca="1"/>
        <v>118</v>
      </c>
      <c r="AB55">
        <f ca="1"/>
        <v>8.7014516504088295</v>
      </c>
      <c r="AC55">
        <f ca="1"/>
        <v>15</v>
      </c>
    </row>
    <row r="56" spans="3:29">
      <c r="C56">
        <f ca="1"/>
        <v>0.56901776107209368</v>
      </c>
      <c r="D56">
        <f ca="1"/>
        <v>1.4569101364204139E-3</v>
      </c>
      <c r="E56">
        <f ca="1"/>
        <v>-0.75931671300450954</v>
      </c>
      <c r="G56">
        <f ca="1"/>
        <v>0.9003452056506166</v>
      </c>
      <c r="V56">
        <f ca="1"/>
        <v>-0.50722395607146176</v>
      </c>
      <c r="W56">
        <f ca="1"/>
        <v>123</v>
      </c>
      <c r="X56">
        <f ca="1"/>
        <v>-0.22083530544638474</v>
      </c>
      <c r="Y56">
        <f ca="1"/>
        <v>143</v>
      </c>
      <c r="Z56">
        <f ca="1"/>
        <v>-0.26711349980950372</v>
      </c>
      <c r="AA56">
        <f ca="1"/>
        <v>109</v>
      </c>
      <c r="AB56">
        <f ca="1"/>
        <v>8.9036091902913803</v>
      </c>
      <c r="AC56">
        <f ca="1"/>
        <v>13</v>
      </c>
    </row>
    <row r="57" spans="3:29">
      <c r="C57">
        <f ca="1"/>
        <v>-0.47702949929443855</v>
      </c>
      <c r="D57">
        <f ca="1"/>
        <v>0.36684335986066491</v>
      </c>
      <c r="E57">
        <f ca="1"/>
        <v>-0.55978914051894912</v>
      </c>
      <c r="G57">
        <f ca="1"/>
        <v>0.67549507571390777</v>
      </c>
      <c r="V57">
        <f ca="1"/>
        <v>-0.43137297563656407</v>
      </c>
      <c r="W57">
        <f ca="1"/>
        <v>122</v>
      </c>
      <c r="X57">
        <f ca="1"/>
        <v>-0.14247728183810526</v>
      </c>
      <c r="Y57">
        <f ca="1"/>
        <v>160</v>
      </c>
      <c r="Z57">
        <f ca="1"/>
        <v>-0.19766267168732465</v>
      </c>
      <c r="AA57">
        <f ca="1"/>
        <v>138</v>
      </c>
      <c r="AB57">
        <f ca="1"/>
        <v>9.1057667301739329</v>
      </c>
      <c r="AC57">
        <f ca="1"/>
        <v>15</v>
      </c>
    </row>
    <row r="58" spans="3:29">
      <c r="C58">
        <f ca="1"/>
        <v>-2.0809884109704018</v>
      </c>
      <c r="D58">
        <f ca="1"/>
        <v>0.21144009191368721</v>
      </c>
      <c r="E58">
        <f ca="1"/>
        <v>-0.17422597191453457</v>
      </c>
      <c r="G58">
        <f ca="1"/>
        <v>4.4055743683511501</v>
      </c>
      <c r="V58">
        <f ca="1"/>
        <v>-0.35552199520166594</v>
      </c>
      <c r="W58">
        <f ca="1"/>
        <v>123</v>
      </c>
      <c r="X58">
        <f ca="1"/>
        <v>-6.4119258229826226E-2</v>
      </c>
      <c r="Y58">
        <f ca="1"/>
        <v>146</v>
      </c>
      <c r="Z58">
        <f ca="1"/>
        <v>-0.12821184356514603</v>
      </c>
      <c r="AA58">
        <f ca="1"/>
        <v>130</v>
      </c>
      <c r="AB58">
        <f ca="1"/>
        <v>9.3079242700564855</v>
      </c>
      <c r="AC58">
        <f ca="1"/>
        <v>11</v>
      </c>
    </row>
    <row r="59" spans="3:29">
      <c r="C59">
        <f ca="1"/>
        <v>-0.53377986148674461</v>
      </c>
      <c r="D59">
        <f ca="1"/>
        <v>0.56654276532724024</v>
      </c>
      <c r="E59">
        <f ca="1"/>
        <v>-0.16680658800818135</v>
      </c>
      <c r="G59">
        <f ca="1"/>
        <v>0.63371608327637585</v>
      </c>
      <c r="V59">
        <f ca="1"/>
        <v>-0.27967101476676826</v>
      </c>
      <c r="W59">
        <f ca="1"/>
        <v>167</v>
      </c>
      <c r="X59">
        <f ca="1"/>
        <v>1.4238765378453255E-2</v>
      </c>
      <c r="Y59">
        <f ca="1"/>
        <v>136</v>
      </c>
      <c r="Z59">
        <f ca="1"/>
        <v>-5.8761015442966968E-2</v>
      </c>
      <c r="AA59">
        <f ca="1"/>
        <v>146</v>
      </c>
      <c r="AB59">
        <f ca="1"/>
        <v>9.5100818099390381</v>
      </c>
      <c r="AC59">
        <f ca="1"/>
        <v>9</v>
      </c>
    </row>
    <row r="60" spans="3:29">
      <c r="C60">
        <f ca="1"/>
        <v>1.2935580340197279</v>
      </c>
      <c r="D60">
        <f ca="1"/>
        <v>0.67654629311935077</v>
      </c>
      <c r="E60">
        <f ca="1"/>
        <v>0.19136039460142079</v>
      </c>
      <c r="G60">
        <f ca="1"/>
        <v>2.1676260747325298</v>
      </c>
      <c r="V60">
        <f ca="1"/>
        <v>-0.20382003433187013</v>
      </c>
      <c r="W60">
        <f ca="1"/>
        <v>129</v>
      </c>
      <c r="X60">
        <f ca="1"/>
        <v>9.2596788986732737E-2</v>
      </c>
      <c r="Y60">
        <f ca="1"/>
        <v>150</v>
      </c>
      <c r="Z60">
        <f ca="1"/>
        <v>1.0689812679212096E-2</v>
      </c>
      <c r="AA60">
        <f ca="1"/>
        <v>146</v>
      </c>
      <c r="AB60">
        <f ca="1"/>
        <v>9.7122393498215889</v>
      </c>
      <c r="AC60">
        <f ca="1"/>
        <v>9</v>
      </c>
    </row>
    <row r="61" spans="3:29">
      <c r="C61">
        <f ca="1"/>
        <v>1.7152688507819269</v>
      </c>
      <c r="D61">
        <f ca="1"/>
        <v>-1.5230499581847028</v>
      </c>
      <c r="E61">
        <f ca="1"/>
        <v>0.46301457267433022</v>
      </c>
      <c r="G61">
        <f ca="1"/>
        <v>5.4762109000979704</v>
      </c>
      <c r="V61">
        <f ca="1"/>
        <v>-0.127969053896972</v>
      </c>
      <c r="W61">
        <f ca="1"/>
        <v>154</v>
      </c>
      <c r="X61">
        <f ca="1"/>
        <v>0.17095481259501222</v>
      </c>
      <c r="Y61">
        <f ca="1"/>
        <v>152</v>
      </c>
      <c r="Z61">
        <f ca="1"/>
        <v>8.0140640801390717E-2</v>
      </c>
      <c r="AA61">
        <f ca="1"/>
        <v>161</v>
      </c>
      <c r="AB61">
        <f ca="1"/>
        <v>9.9143968897041415</v>
      </c>
      <c r="AC61">
        <f ca="1"/>
        <v>10</v>
      </c>
    </row>
    <row r="62" spans="3:29">
      <c r="C62">
        <f ca="1"/>
        <v>0.11525336415766313</v>
      </c>
      <c r="D62">
        <f ca="1"/>
        <v>-1.0498538243281869E-2</v>
      </c>
      <c r="E62">
        <f ca="1"/>
        <v>-1.241772072209824</v>
      </c>
      <c r="G62">
        <f ca="1"/>
        <v>1.5553914365751851</v>
      </c>
      <c r="V62">
        <f ca="1"/>
        <v>-5.211807346207431E-2</v>
      </c>
      <c r="W62">
        <f ca="1"/>
        <v>149</v>
      </c>
      <c r="X62">
        <f ca="1"/>
        <v>0.2493128362032917</v>
      </c>
      <c r="Y62">
        <f ca="1"/>
        <v>156</v>
      </c>
      <c r="Z62">
        <f ca="1"/>
        <v>0.14959146892356978</v>
      </c>
      <c r="AA62">
        <f ca="1"/>
        <v>153</v>
      </c>
      <c r="AB62">
        <f ca="1"/>
        <v>10.116554429586694</v>
      </c>
      <c r="AC62">
        <f ca="1"/>
        <v>8</v>
      </c>
    </row>
    <row r="63" spans="3:29">
      <c r="C63">
        <f ca="1"/>
        <v>0.21691018227778372</v>
      </c>
      <c r="D63">
        <f ca="1"/>
        <v>0.33701343302362718</v>
      </c>
      <c r="E63">
        <f ca="1"/>
        <v>-0.29664472942270492</v>
      </c>
      <c r="G63">
        <f ca="1"/>
        <v>0.24862617670842202</v>
      </c>
      <c r="V63">
        <f ca="1"/>
        <v>2.373290697282382E-2</v>
      </c>
      <c r="W63">
        <f ca="1"/>
        <v>142</v>
      </c>
      <c r="X63">
        <f ca="1"/>
        <v>0.32767085981157074</v>
      </c>
      <c r="Y63">
        <f ca="1"/>
        <v>140</v>
      </c>
      <c r="Z63">
        <f ca="1"/>
        <v>0.2190422970457484</v>
      </c>
      <c r="AA63">
        <f ca="1"/>
        <v>126</v>
      </c>
      <c r="AB63">
        <f ca="1"/>
        <v>10.318711969469245</v>
      </c>
      <c r="AC63">
        <f ca="1"/>
        <v>6</v>
      </c>
    </row>
    <row r="64" spans="3:29">
      <c r="C64">
        <f ca="1"/>
        <v>1.3948192769799393E-2</v>
      </c>
      <c r="D64">
        <f ca="1"/>
        <v>-1.4341830730348859</v>
      </c>
      <c r="E64">
        <f ca="1"/>
        <v>-0.77680029927947425</v>
      </c>
      <c r="G64">
        <f ca="1"/>
        <v>2.6604943440220135</v>
      </c>
      <c r="V64">
        <f ca="1"/>
        <v>9.9583887407721505E-2</v>
      </c>
      <c r="W64">
        <f ca="1"/>
        <v>136</v>
      </c>
      <c r="X64">
        <f ca="1"/>
        <v>0.40602888341985066</v>
      </c>
      <c r="Y64">
        <f ca="1"/>
        <v>182</v>
      </c>
      <c r="Z64">
        <f ca="1"/>
        <v>0.28849312516792747</v>
      </c>
      <c r="AA64">
        <f ca="1"/>
        <v>154</v>
      </c>
      <c r="AB64">
        <f ca="1"/>
        <v>10.520869509351797</v>
      </c>
      <c r="AC64">
        <f ca="1"/>
        <v>12</v>
      </c>
    </row>
    <row r="65" spans="3:29">
      <c r="C65">
        <f ca="1"/>
        <v>-1.7082924935221173</v>
      </c>
      <c r="D65">
        <f ca="1"/>
        <v>-5.675571523123301E-2</v>
      </c>
      <c r="E65">
        <f ca="1"/>
        <v>1.7611904618823369</v>
      </c>
      <c r="G65">
        <f ca="1"/>
        <v>6.0232762976607415</v>
      </c>
      <c r="V65">
        <f ca="1"/>
        <v>0.17543486784261964</v>
      </c>
      <c r="W65">
        <f ca="1"/>
        <v>158</v>
      </c>
      <c r="X65">
        <f ca="1"/>
        <v>0.48438690702812925</v>
      </c>
      <c r="Y65">
        <f ca="1"/>
        <v>146</v>
      </c>
      <c r="Z65">
        <f ca="1"/>
        <v>0.35794395329010609</v>
      </c>
      <c r="AA65">
        <f ca="1"/>
        <v>128</v>
      </c>
      <c r="AB65">
        <f ca="1"/>
        <v>10.72302704923435</v>
      </c>
      <c r="AC65">
        <f ca="1"/>
        <v>6</v>
      </c>
    </row>
    <row r="66" spans="3:29">
      <c r="C66">
        <f ca="1"/>
        <v>-0.62508142640243669</v>
      </c>
      <c r="D66">
        <f ca="1"/>
        <v>-0.51557384035904619</v>
      </c>
      <c r="E66">
        <f ca="1"/>
        <v>0.11221345385901987</v>
      </c>
      <c r="G66">
        <f ca="1"/>
        <v>0.66913503372285044</v>
      </c>
      <c r="V66">
        <f ca="1"/>
        <v>0.25128584827751732</v>
      </c>
      <c r="W66">
        <f ca="1"/>
        <v>165</v>
      </c>
      <c r="X66">
        <f ca="1"/>
        <v>0.56274493063640874</v>
      </c>
      <c r="Y66">
        <f ca="1"/>
        <v>169</v>
      </c>
      <c r="Z66">
        <f ca="1"/>
        <v>0.42739478141228515</v>
      </c>
      <c r="AA66">
        <f ca="1"/>
        <v>136</v>
      </c>
      <c r="AB66">
        <f ca="1"/>
        <v>10.925184589116903</v>
      </c>
      <c r="AC66">
        <f ca="1"/>
        <v>8</v>
      </c>
    </row>
    <row r="67" spans="3:29">
      <c r="C67">
        <f ca="1"/>
        <v>-0.90012404795819179</v>
      </c>
      <c r="D67">
        <f ca="1"/>
        <v>0.99201587952946346</v>
      </c>
      <c r="E67">
        <f ca="1"/>
        <v>-2.7963920868645071</v>
      </c>
      <c r="G67">
        <f ca="1"/>
        <v>9.6141275104296895</v>
      </c>
      <c r="V67">
        <f ca="1"/>
        <v>0.32713682871241501</v>
      </c>
      <c r="W67">
        <f ca="1"/>
        <v>147</v>
      </c>
      <c r="X67">
        <f ca="1"/>
        <v>0.64110295424468822</v>
      </c>
      <c r="Y67">
        <f ca="1"/>
        <v>132</v>
      </c>
      <c r="Z67">
        <f ca="1"/>
        <v>0.49684560953446377</v>
      </c>
      <c r="AA67">
        <f ca="1"/>
        <v>118</v>
      </c>
      <c r="AB67">
        <f ca="1"/>
        <v>11.127342128999453</v>
      </c>
      <c r="AC67">
        <f ca="1"/>
        <v>5</v>
      </c>
    </row>
    <row r="68" spans="3:29">
      <c r="C68">
        <f ca="1"/>
        <v>2.0494031233444097</v>
      </c>
      <c r="D68">
        <f ca="1"/>
        <v>-0.55674171393513205</v>
      </c>
      <c r="E68">
        <f ca="1"/>
        <v>-0.13997928110370056</v>
      </c>
      <c r="G68">
        <f ca="1"/>
        <v>4.5296086971475589</v>
      </c>
      <c r="V68">
        <f ca="1"/>
        <v>0.40298780914731358</v>
      </c>
      <c r="W68">
        <f ca="1"/>
        <v>135</v>
      </c>
      <c r="X68">
        <f ca="1"/>
        <v>0.7194609778529677</v>
      </c>
      <c r="Y68">
        <f ca="1"/>
        <v>133</v>
      </c>
      <c r="Z68">
        <f ca="1"/>
        <v>0.56629643765664284</v>
      </c>
      <c r="AA68">
        <f ca="1"/>
        <v>128</v>
      </c>
      <c r="AB68">
        <f ca="1"/>
        <v>11.329499668882006</v>
      </c>
      <c r="AC68">
        <f ca="1"/>
        <v>2</v>
      </c>
    </row>
    <row r="69" spans="3:29">
      <c r="C69">
        <f ca="1"/>
        <v>-0.96423961416631743</v>
      </c>
      <c r="D69">
        <f ca="1"/>
        <v>-0.93656349742573053</v>
      </c>
      <c r="E69">
        <f ca="1"/>
        <v>-8.11712352020873E-2</v>
      </c>
      <c r="G69">
        <f ca="1"/>
        <v>1.8134979876621578</v>
      </c>
      <c r="V69">
        <f ca="1"/>
        <v>0.47883878958221127</v>
      </c>
      <c r="W69">
        <f ca="1"/>
        <v>134</v>
      </c>
      <c r="X69">
        <f ca="1"/>
        <v>0.79781900146124718</v>
      </c>
      <c r="Y69">
        <f ca="1"/>
        <v>138</v>
      </c>
      <c r="Z69">
        <f ca="1"/>
        <v>0.63574726577882146</v>
      </c>
      <c r="AA69">
        <f ca="1"/>
        <v>123</v>
      </c>
      <c r="AB69">
        <f ca="1"/>
        <v>11.531657208764559</v>
      </c>
      <c r="AC69">
        <f ca="1"/>
        <v>4</v>
      </c>
    </row>
    <row r="70" spans="3:29">
      <c r="C70">
        <f ca="1"/>
        <v>-0.69725279318743183</v>
      </c>
      <c r="D70">
        <f ca="1"/>
        <v>0.17537114372547091</v>
      </c>
      <c r="E70">
        <f ca="1"/>
        <v>1.5483854709788032</v>
      </c>
      <c r="G70">
        <f ca="1"/>
        <v>2.9144140623975057</v>
      </c>
      <c r="V70">
        <f ca="1"/>
        <v>0.55468977001710895</v>
      </c>
      <c r="W70">
        <f ca="1"/>
        <v>144</v>
      </c>
      <c r="X70">
        <f ca="1"/>
        <v>0.87617702506952666</v>
      </c>
      <c r="Y70">
        <f ca="1"/>
        <v>122</v>
      </c>
      <c r="Z70">
        <f ca="1"/>
        <v>0.70519809390100008</v>
      </c>
      <c r="AA70">
        <f ca="1"/>
        <v>105</v>
      </c>
      <c r="AB70">
        <f ca="1"/>
        <v>11.733814748647111</v>
      </c>
      <c r="AC70">
        <f ca="1"/>
        <v>5</v>
      </c>
    </row>
    <row r="71" spans="3:29">
      <c r="C71">
        <f ca="1"/>
        <v>-0.1589872382316076</v>
      </c>
      <c r="D71">
        <f ca="1"/>
        <v>-0.30882839725410277</v>
      </c>
      <c r="E71">
        <f ca="1"/>
        <v>0.31725687689847371</v>
      </c>
      <c r="G71">
        <f ca="1"/>
        <v>0.22130384681042517</v>
      </c>
      <c r="V71">
        <f ca="1"/>
        <v>0.63054075045200753</v>
      </c>
      <c r="W71">
        <f ca="1"/>
        <v>148</v>
      </c>
      <c r="X71">
        <f ca="1"/>
        <v>0.95453504867780614</v>
      </c>
      <c r="Y71">
        <f ca="1"/>
        <v>120</v>
      </c>
      <c r="Z71">
        <f ca="1"/>
        <v>0.77464892202317959</v>
      </c>
      <c r="AA71">
        <f ca="1"/>
        <v>120</v>
      </c>
      <c r="AB71">
        <f ca="1"/>
        <v>11.935972288529662</v>
      </c>
      <c r="AC71">
        <f ca="1"/>
        <v>2</v>
      </c>
    </row>
    <row r="72" spans="3:29">
      <c r="C72">
        <f ca="1"/>
        <v>0.59788205562324626</v>
      </c>
      <c r="D72">
        <f ca="1"/>
        <v>9.8639103637527134E-2</v>
      </c>
      <c r="E72">
        <f ca="1"/>
        <v>0.29141749682309159</v>
      </c>
      <c r="G72">
        <f ca="1"/>
        <v>0.45211678265732996</v>
      </c>
      <c r="V72">
        <f ca="1"/>
        <v>0.70639173088690521</v>
      </c>
      <c r="W72">
        <f ca="1"/>
        <v>121</v>
      </c>
      <c r="X72">
        <f ca="1"/>
        <v>1.0328930722860847</v>
      </c>
      <c r="Y72">
        <f ca="1"/>
        <v>75</v>
      </c>
      <c r="Z72">
        <f ca="1"/>
        <v>0.84409975014535821</v>
      </c>
      <c r="AA72">
        <f ca="1"/>
        <v>106</v>
      </c>
      <c r="AB72">
        <f ca="1"/>
        <v>12.138129828412215</v>
      </c>
      <c r="AC72">
        <f ca="1"/>
        <v>3</v>
      </c>
    </row>
    <row r="73" spans="3:29">
      <c r="C73">
        <f ca="1"/>
        <v>0.27318438400142714</v>
      </c>
      <c r="D73">
        <f ca="1"/>
        <v>1.7744625229832318</v>
      </c>
      <c r="E73">
        <f ca="1"/>
        <v>-0.67200446657022517</v>
      </c>
      <c r="G73">
        <f ca="1"/>
        <v>3.6749369562245886</v>
      </c>
      <c r="V73">
        <f ca="1"/>
        <v>0.7822427113218029</v>
      </c>
      <c r="W73">
        <f ca="1"/>
        <v>116</v>
      </c>
      <c r="X73">
        <f ca="1"/>
        <v>1.1112510958943642</v>
      </c>
      <c r="Y73">
        <f ca="1"/>
        <v>91</v>
      </c>
      <c r="Z73">
        <f ca="1"/>
        <v>0.91355057826753683</v>
      </c>
      <c r="AA73">
        <f ca="1"/>
        <v>80</v>
      </c>
      <c r="AB73">
        <f ca="1"/>
        <v>12.340287368294767</v>
      </c>
      <c r="AC73">
        <f ca="1"/>
        <v>1</v>
      </c>
    </row>
    <row r="74" spans="3:29">
      <c r="C74">
        <f ca="1"/>
        <v>-2.4707154252357935</v>
      </c>
      <c r="D74">
        <f ca="1"/>
        <v>-0.53957270015704928</v>
      </c>
      <c r="E74">
        <f ca="1"/>
        <v>-9.6304626899219675E-2</v>
      </c>
      <c r="G74">
        <f ca="1"/>
        <v>6.4048479924150543</v>
      </c>
      <c r="V74">
        <f ca="1"/>
        <v>0.85809369175670058</v>
      </c>
      <c r="W74">
        <f ca="1"/>
        <v>111</v>
      </c>
      <c r="X74">
        <f ca="1"/>
        <v>1.1896091195026437</v>
      </c>
      <c r="Y74">
        <f ca="1"/>
        <v>78</v>
      </c>
      <c r="Z74">
        <f ca="1"/>
        <v>0.98300140638971545</v>
      </c>
      <c r="AA74">
        <f ca="1"/>
        <v>76</v>
      </c>
      <c r="AB74">
        <f ca="1"/>
        <v>12.54244490817732</v>
      </c>
      <c r="AC74">
        <f ca="1"/>
        <v>0</v>
      </c>
    </row>
    <row r="75" spans="3:29">
      <c r="C75">
        <f ca="1"/>
        <v>0.63059758532211962</v>
      </c>
      <c r="D75">
        <f ca="1"/>
        <v>-0.1367695681683869</v>
      </c>
      <c r="E75">
        <f ca="1"/>
        <v>5.2421097913253827E-2</v>
      </c>
      <c r="G75">
        <f ca="1"/>
        <v>0.41910720089748593</v>
      </c>
      <c r="V75">
        <f ca="1"/>
        <v>0.93394467219159916</v>
      </c>
      <c r="W75">
        <f ca="1"/>
        <v>116</v>
      </c>
      <c r="X75">
        <f ca="1"/>
        <v>1.2679671431109232</v>
      </c>
      <c r="Y75">
        <f ca="1"/>
        <v>73</v>
      </c>
      <c r="Z75">
        <f ca="1"/>
        <v>1.052452234511895</v>
      </c>
      <c r="AA75">
        <f ca="1"/>
        <v>71</v>
      </c>
      <c r="AB75">
        <f ca="1"/>
        <v>12.744602448059871</v>
      </c>
      <c r="AC75">
        <f ca="1"/>
        <v>0</v>
      </c>
    </row>
    <row r="76" spans="3:29">
      <c r="C76">
        <f ca="1"/>
        <v>1.5700730560485758</v>
      </c>
      <c r="D76">
        <f ca="1"/>
        <v>0.6669266288795781</v>
      </c>
      <c r="E76">
        <f ca="1"/>
        <v>-0.26370043881481459</v>
      </c>
      <c r="G76">
        <f ca="1"/>
        <v>2.9794584510695188</v>
      </c>
      <c r="V76">
        <f ca="1"/>
        <v>1.0097956526264968</v>
      </c>
      <c r="W76">
        <f ca="1"/>
        <v>79</v>
      </c>
      <c r="X76">
        <f ca="1"/>
        <v>1.3463251667192027</v>
      </c>
      <c r="Y76">
        <f ca="1"/>
        <v>60</v>
      </c>
      <c r="Z76">
        <f ca="1"/>
        <v>1.1219030626340736</v>
      </c>
      <c r="AA76">
        <f ca="1"/>
        <v>75</v>
      </c>
      <c r="AB76">
        <f ca="1"/>
        <v>12.946759987942423</v>
      </c>
      <c r="AC76">
        <f ca="1"/>
        <v>3</v>
      </c>
    </row>
    <row r="77" spans="3:29">
      <c r="C77">
        <f ca="1"/>
        <v>-0.6271232941698871</v>
      </c>
      <c r="D77">
        <f ca="1"/>
        <v>-0.17365696779397655</v>
      </c>
      <c r="E77">
        <f ca="1"/>
        <v>0.2321145443147212</v>
      </c>
      <c r="G77">
        <f ca="1"/>
        <v>0.47731753023631968</v>
      </c>
      <c r="V77">
        <f ca="1"/>
        <v>1.0856466330613945</v>
      </c>
      <c r="W77">
        <f ca="1"/>
        <v>90</v>
      </c>
      <c r="X77">
        <f ca="1"/>
        <v>1.4246831903274821</v>
      </c>
      <c r="Y77">
        <f ca="1"/>
        <v>57</v>
      </c>
      <c r="Z77">
        <f ca="1"/>
        <v>1.1913538907562522</v>
      </c>
      <c r="AA77">
        <f ca="1"/>
        <v>61</v>
      </c>
      <c r="AB77">
        <f ca="1"/>
        <v>13.148917527824976</v>
      </c>
      <c r="AC77">
        <f ca="1"/>
        <v>2</v>
      </c>
    </row>
    <row r="78" spans="3:29">
      <c r="C78">
        <f ca="1"/>
        <v>-1.0098113491868861</v>
      </c>
      <c r="D78">
        <f ca="1"/>
        <v>-0.21470746495543094</v>
      </c>
      <c r="E78">
        <f ca="1"/>
        <v>0.60446311395339392</v>
      </c>
      <c r="G78">
        <f ca="1"/>
        <v>1.4311939125844606</v>
      </c>
      <c r="V78">
        <f ca="1"/>
        <v>1.1614976134962931</v>
      </c>
      <c r="W78">
        <f ca="1"/>
        <v>92</v>
      </c>
      <c r="X78">
        <f ca="1"/>
        <v>1.5030412139357616</v>
      </c>
      <c r="Y78">
        <f ca="1"/>
        <v>58</v>
      </c>
      <c r="Z78">
        <f ca="1"/>
        <v>1.2608047188784317</v>
      </c>
      <c r="AA78">
        <f ca="1"/>
        <v>68</v>
      </c>
      <c r="AB78">
        <f ca="1"/>
        <v>13.351075067707527</v>
      </c>
      <c r="AC78">
        <f ca="1"/>
        <v>0</v>
      </c>
    </row>
    <row r="79" spans="3:29">
      <c r="C79">
        <f ca="1"/>
        <v>0.84720670456483849</v>
      </c>
      <c r="D79">
        <f ca="1"/>
        <v>-0.19662735151655125</v>
      </c>
      <c r="E79">
        <f ca="1"/>
        <v>-0.23156507277482402</v>
      </c>
      <c r="G79">
        <f ca="1"/>
        <v>0.81004389855323644</v>
      </c>
      <c r="V79">
        <f ca="1"/>
        <v>1.2373485939311908</v>
      </c>
      <c r="W79">
        <f ca="1"/>
        <v>71</v>
      </c>
      <c r="X79">
        <f ca="1"/>
        <v>1.5813992375440411</v>
      </c>
      <c r="Y79">
        <f ca="1"/>
        <v>43</v>
      </c>
      <c r="Z79">
        <f ca="1"/>
        <v>1.3302555470006103</v>
      </c>
      <c r="AA79">
        <f ca="1"/>
        <v>70</v>
      </c>
      <c r="AB79">
        <f ca="1"/>
        <v>13.553232607590079</v>
      </c>
      <c r="AC79">
        <f ca="1"/>
        <v>1</v>
      </c>
    </row>
    <row r="80" spans="3:29">
      <c r="C80">
        <f ca="1"/>
        <v>-0.95728166598807662</v>
      </c>
      <c r="D80">
        <f ca="1"/>
        <v>0.30887921471626401</v>
      </c>
      <c r="E80">
        <f ca="1"/>
        <v>-0.68509383253705691</v>
      </c>
      <c r="G80">
        <f ca="1"/>
        <v>1.4811481167009566</v>
      </c>
      <c r="V80">
        <f ca="1"/>
        <v>1.3131995743660885</v>
      </c>
      <c r="W80">
        <f ca="1"/>
        <v>70</v>
      </c>
      <c r="X80">
        <f ca="1"/>
        <v>1.6597572611523206</v>
      </c>
      <c r="Y80">
        <f ca="1"/>
        <v>26</v>
      </c>
      <c r="Z80">
        <f ca="1"/>
        <v>1.3997063751227889</v>
      </c>
      <c r="AA80">
        <f ca="1"/>
        <v>66</v>
      </c>
      <c r="AB80">
        <f ca="1"/>
        <v>13.755390147472632</v>
      </c>
      <c r="AC80">
        <f ca="1"/>
        <v>1</v>
      </c>
    </row>
    <row r="81" spans="3:29">
      <c r="C81">
        <f ca="1"/>
        <v>-1.446104121973653</v>
      </c>
      <c r="D81">
        <f ca="1"/>
        <v>-1.0727343526657693</v>
      </c>
      <c r="E81">
        <f ca="1"/>
        <v>0.52125675474690314</v>
      </c>
      <c r="G81">
        <f ca="1"/>
        <v>3.5136847273477105</v>
      </c>
      <c r="V81">
        <f ca="1"/>
        <v>1.3890505548009862</v>
      </c>
      <c r="W81">
        <f ca="1"/>
        <v>70</v>
      </c>
      <c r="X81">
        <f ca="1"/>
        <v>1.7381152847605992</v>
      </c>
      <c r="Y81">
        <f ca="1"/>
        <v>33</v>
      </c>
      <c r="Z81">
        <f ca="1"/>
        <v>1.4691572032449676</v>
      </c>
      <c r="AA81">
        <f ca="1"/>
        <v>56</v>
      </c>
      <c r="AB81">
        <f ca="1"/>
        <v>13.957547687355184</v>
      </c>
      <c r="AC81">
        <f ca="1"/>
        <v>1</v>
      </c>
    </row>
    <row r="82" spans="3:29">
      <c r="C82">
        <f ca="1"/>
        <v>-0.66096206795676304</v>
      </c>
      <c r="D82">
        <f ca="1"/>
        <v>-1.3289592298079163</v>
      </c>
      <c r="E82">
        <f ca="1"/>
        <v>-7.7842552809877091E-2</v>
      </c>
      <c r="G82">
        <f ca="1"/>
        <v>2.2090629527972894</v>
      </c>
      <c r="V82">
        <f ca="1"/>
        <v>1.4649015352358847</v>
      </c>
      <c r="W82">
        <f ca="1"/>
        <v>51</v>
      </c>
      <c r="X82">
        <f ca="1"/>
        <v>1.8164733083688787</v>
      </c>
      <c r="Y82">
        <f ca="1"/>
        <v>37</v>
      </c>
      <c r="Z82">
        <f ca="1"/>
        <v>1.5386080313671471</v>
      </c>
      <c r="AA82">
        <f ca="1"/>
        <v>52</v>
      </c>
      <c r="AB82">
        <f ca="1"/>
        <v>14.159705227237735</v>
      </c>
      <c r="AC82">
        <f ca="1"/>
        <v>0</v>
      </c>
    </row>
    <row r="83" spans="3:29">
      <c r="C83">
        <f ca="1"/>
        <v>0.40067964674962159</v>
      </c>
      <c r="D83">
        <f ca="1"/>
        <v>0.16875248750751179</v>
      </c>
      <c r="E83">
        <f ca="1"/>
        <v>2.0075020070857637</v>
      </c>
      <c r="G83">
        <f ca="1"/>
        <v>4.2190858898127441</v>
      </c>
      <c r="V83">
        <f ca="1"/>
        <v>1.5407525156707824</v>
      </c>
      <c r="W83">
        <f ca="1"/>
        <v>48</v>
      </c>
      <c r="X83">
        <f ca="1"/>
        <v>1.8948313319771581</v>
      </c>
      <c r="Y83">
        <f ca="1"/>
        <v>38</v>
      </c>
      <c r="Z83">
        <f ca="1"/>
        <v>1.6080588594893257</v>
      </c>
      <c r="AA83">
        <f ca="1"/>
        <v>27</v>
      </c>
      <c r="AB83">
        <f ca="1"/>
        <v>14.361862767120288</v>
      </c>
      <c r="AC83">
        <f ca="1"/>
        <v>3</v>
      </c>
    </row>
    <row r="84" spans="3:29">
      <c r="C84">
        <f ca="1"/>
        <v>0.4987165841576523</v>
      </c>
      <c r="D84">
        <f ca="1"/>
        <v>-0.26660402375930642</v>
      </c>
      <c r="E84">
        <f ca="1"/>
        <v>0.17507881649844481</v>
      </c>
      <c r="G84">
        <f ca="1"/>
        <v>0.35044852878502564</v>
      </c>
      <c r="V84">
        <f ca="1"/>
        <v>1.6166034961056801</v>
      </c>
      <c r="W84">
        <f ca="1"/>
        <v>40</v>
      </c>
      <c r="X84">
        <f ca="1"/>
        <v>1.9731893555854376</v>
      </c>
      <c r="Y84">
        <f ca="1"/>
        <v>22</v>
      </c>
      <c r="Z84">
        <f ca="1"/>
        <v>1.6775096876115043</v>
      </c>
      <c r="AA84">
        <f ca="1"/>
        <v>32</v>
      </c>
      <c r="AB84">
        <f ca="1"/>
        <v>14.56402030700284</v>
      </c>
      <c r="AC84">
        <f ca="1"/>
        <v>3</v>
      </c>
    </row>
    <row r="85" spans="3:29">
      <c r="C85">
        <f ca="1"/>
        <v>0.53834456476072623</v>
      </c>
      <c r="D85">
        <f ca="1"/>
        <v>-1.6877335098614508</v>
      </c>
      <c r="E85">
        <f ca="1"/>
        <v>0.97745136458180426</v>
      </c>
      <c r="G85">
        <f ca="1"/>
        <v>4.0936704408394986</v>
      </c>
      <c r="V85">
        <f ca="1"/>
        <v>1.6924544765405787</v>
      </c>
      <c r="W85">
        <f ca="1"/>
        <v>41</v>
      </c>
      <c r="X85">
        <f ca="1"/>
        <v>2.0515473791937171</v>
      </c>
      <c r="Y85">
        <f ca="1"/>
        <v>16</v>
      </c>
      <c r="Z85">
        <f ca="1"/>
        <v>1.7469605157336829</v>
      </c>
      <c r="AA85">
        <f ca="1"/>
        <v>32</v>
      </c>
      <c r="AB85">
        <f ca="1"/>
        <v>14.766177846885393</v>
      </c>
      <c r="AC85">
        <f ca="1"/>
        <v>1</v>
      </c>
    </row>
    <row r="86" spans="3:29">
      <c r="C86">
        <f ca="1"/>
        <v>0.18807733617766811</v>
      </c>
      <c r="D86">
        <f ca="1"/>
        <v>0.8381377612060692</v>
      </c>
      <c r="E86">
        <f ca="1"/>
        <v>0.15515593554388257</v>
      </c>
      <c r="G86">
        <f ca="1"/>
        <v>0.7619213554777069</v>
      </c>
      <c r="V86">
        <f ca="1"/>
        <v>1.7683054569754764</v>
      </c>
      <c r="W86">
        <f ca="1"/>
        <v>41</v>
      </c>
      <c r="X86">
        <f ca="1"/>
        <v>2.1299054028019966</v>
      </c>
      <c r="Y86">
        <f ca="1"/>
        <v>18</v>
      </c>
      <c r="Z86">
        <f ca="1"/>
        <v>1.8164113438558624</v>
      </c>
      <c r="AA86">
        <f ca="1"/>
        <v>34</v>
      </c>
      <c r="AB86">
        <f ca="1"/>
        <v>14.968335386767944</v>
      </c>
      <c r="AC86">
        <f ca="1"/>
        <v>1</v>
      </c>
    </row>
    <row r="87" spans="3:29">
      <c r="C87">
        <f ca="1"/>
        <v>0.43061477923650643</v>
      </c>
      <c r="D87">
        <f ca="1"/>
        <v>-0.75302117253163436</v>
      </c>
      <c r="E87">
        <f ca="1"/>
        <v>0.64533015923863513</v>
      </c>
      <c r="G87">
        <f ca="1"/>
        <v>1.1689209888007848</v>
      </c>
      <c r="V87">
        <f ca="1"/>
        <v>1.844156437410374</v>
      </c>
      <c r="W87">
        <f ca="1"/>
        <v>26</v>
      </c>
      <c r="X87">
        <f ca="1"/>
        <v>2.2082634264102761</v>
      </c>
      <c r="Y87">
        <f ca="1"/>
        <v>8</v>
      </c>
      <c r="Z87">
        <f ca="1"/>
        <v>1.8858621719780411</v>
      </c>
      <c r="AA87">
        <f ca="1"/>
        <v>31</v>
      </c>
      <c r="AB87">
        <f ca="1"/>
        <v>15.170492926650496</v>
      </c>
      <c r="AC87">
        <f ca="1"/>
        <v>1</v>
      </c>
    </row>
    <row r="88" spans="3:29">
      <c r="C88">
        <f ca="1"/>
        <v>-0.2658257624657448</v>
      </c>
      <c r="D88">
        <f ca="1"/>
        <v>-0.47971653483337573</v>
      </c>
      <c r="E88">
        <f ca="1"/>
        <v>-0.57896285715711582</v>
      </c>
      <c r="G88">
        <f ca="1"/>
        <v>0.63598927975056685</v>
      </c>
      <c r="V88">
        <f ca="1"/>
        <v>1.9200074178452717</v>
      </c>
      <c r="W88">
        <f ca="1"/>
        <v>29</v>
      </c>
      <c r="X88">
        <f ca="1"/>
        <v>2.2866214500185547</v>
      </c>
      <c r="Y88">
        <f ca="1"/>
        <v>17</v>
      </c>
      <c r="Z88">
        <f ca="1"/>
        <v>1.9553130001002197</v>
      </c>
      <c r="AA88">
        <f ca="1"/>
        <v>24</v>
      </c>
      <c r="AB88">
        <f ca="1"/>
        <v>15.372650466533049</v>
      </c>
      <c r="AC88">
        <f ca="1"/>
        <v>1</v>
      </c>
    </row>
    <row r="89" spans="3:29">
      <c r="C89">
        <f ca="1"/>
        <v>0.62649833029174495</v>
      </c>
      <c r="D89">
        <f ca="1"/>
        <v>0.51788283510996536</v>
      </c>
      <c r="E89">
        <f ca="1"/>
        <v>-0.19421239367946061</v>
      </c>
      <c r="G89">
        <f ca="1"/>
        <v>0.69842124261858574</v>
      </c>
      <c r="V89">
        <f ca="1"/>
        <v>1.9958583982801703</v>
      </c>
      <c r="W89">
        <f ca="1"/>
        <v>25</v>
      </c>
      <c r="X89">
        <f ca="1"/>
        <v>2.3649794736268341</v>
      </c>
      <c r="Y89">
        <f ca="1"/>
        <v>9</v>
      </c>
      <c r="Z89">
        <f ca="1"/>
        <v>2.0247638282223983</v>
      </c>
      <c r="AA89">
        <f ca="1"/>
        <v>19</v>
      </c>
      <c r="AB89">
        <f ca="1"/>
        <v>15.574808006415601</v>
      </c>
      <c r="AC89">
        <f ca="1"/>
        <v>0</v>
      </c>
    </row>
    <row r="90" spans="3:29">
      <c r="C90">
        <f ca="1"/>
        <v>-0.77777820614925086</v>
      </c>
      <c r="D90">
        <f ca="1"/>
        <v>-0.51236421729793047</v>
      </c>
      <c r="E90">
        <f ca="1"/>
        <v>1.0781326277928431</v>
      </c>
      <c r="G90">
        <f ca="1"/>
        <v>2.0298259922395685</v>
      </c>
      <c r="V90">
        <f ca="1"/>
        <v>2.071709378715068</v>
      </c>
      <c r="W90">
        <f ca="1"/>
        <v>12</v>
      </c>
      <c r="X90">
        <f ca="1"/>
        <v>2.4433374972351136</v>
      </c>
      <c r="Y90">
        <f ca="1"/>
        <v>10</v>
      </c>
      <c r="Z90">
        <f ca="1"/>
        <v>2.0942146563445778</v>
      </c>
      <c r="AA90">
        <f ca="1"/>
        <v>23</v>
      </c>
      <c r="AB90">
        <f ca="1"/>
        <v>15.776965546298152</v>
      </c>
      <c r="AC90">
        <f ca="1"/>
        <v>0</v>
      </c>
    </row>
    <row r="91" spans="3:29">
      <c r="C91">
        <f ca="1"/>
        <v>-0.67777874673200289</v>
      </c>
      <c r="D91">
        <f ca="1"/>
        <v>-1.9670848609500891</v>
      </c>
      <c r="E91">
        <f ca="1"/>
        <v>-1.2019551727617399</v>
      </c>
      <c r="G91">
        <f ca="1"/>
        <v>5.7735031170293398</v>
      </c>
      <c r="V91">
        <f ca="1"/>
        <v>2.1475603591499657</v>
      </c>
      <c r="W91">
        <f ca="1"/>
        <v>13</v>
      </c>
      <c r="X91">
        <f ca="1"/>
        <v>2.5216955208433931</v>
      </c>
      <c r="Y91">
        <f ca="1"/>
        <v>7</v>
      </c>
      <c r="Z91">
        <f ca="1"/>
        <v>2.1636654844667564</v>
      </c>
      <c r="AA91">
        <f ca="1"/>
        <v>18</v>
      </c>
      <c r="AB91">
        <f ca="1"/>
        <v>15.979123086180705</v>
      </c>
      <c r="AC91">
        <f ca="1"/>
        <v>0</v>
      </c>
    </row>
    <row r="92" spans="3:29">
      <c r="C92">
        <f ca="1"/>
        <v>1.9804546163685603</v>
      </c>
      <c r="D92">
        <f ca="1"/>
        <v>-0.48945868990587965</v>
      </c>
      <c r="E92">
        <f ca="1"/>
        <v>0.20858014470490008</v>
      </c>
      <c r="G92">
        <f ca="1"/>
        <v>4.2052759733850387</v>
      </c>
      <c r="V92">
        <f ca="1"/>
        <v>2.2234113395848634</v>
      </c>
      <c r="W92">
        <f ca="1"/>
        <v>8</v>
      </c>
      <c r="X92">
        <f ca="1"/>
        <v>2.6000535444516726</v>
      </c>
      <c r="Y92">
        <f ca="1"/>
        <v>5</v>
      </c>
      <c r="Z92">
        <f ca="1"/>
        <v>2.2331163125889351</v>
      </c>
      <c r="AA92">
        <f ca="1"/>
        <v>12</v>
      </c>
      <c r="AB92">
        <f ca="1"/>
        <v>16.181280626063256</v>
      </c>
      <c r="AC92">
        <f ca="1"/>
        <v>0</v>
      </c>
    </row>
    <row r="93" spans="3:29">
      <c r="C93">
        <f ca="1"/>
        <v>-0.54076054912113736</v>
      </c>
      <c r="D93">
        <f ca="1"/>
        <v>-0.24410585890483197</v>
      </c>
      <c r="E93">
        <f ca="1"/>
        <v>0.48766621545568717</v>
      </c>
      <c r="G93">
        <f ca="1"/>
        <v>0.58982797953433241</v>
      </c>
      <c r="V93">
        <f ca="1"/>
        <v>2.2992623200197619</v>
      </c>
      <c r="W93">
        <f ca="1"/>
        <v>12</v>
      </c>
      <c r="X93">
        <f ca="1"/>
        <v>2.6784115680599521</v>
      </c>
      <c r="Y93">
        <f ca="1"/>
        <v>5</v>
      </c>
      <c r="Z93">
        <f ca="1"/>
        <v>2.3025671407111146</v>
      </c>
      <c r="AA93">
        <f ca="1"/>
        <v>15</v>
      </c>
      <c r="AB93">
        <f ca="1"/>
        <v>16.383438165945808</v>
      </c>
      <c r="AC93">
        <f ca="1"/>
        <v>0</v>
      </c>
    </row>
    <row r="94" spans="3:29">
      <c r="C94">
        <f ca="1"/>
        <v>-0.57082105495905866</v>
      </c>
      <c r="D94">
        <f ca="1"/>
        <v>-0.62251175388802771</v>
      </c>
      <c r="E94">
        <f ca="1"/>
        <v>-0.75192200549483312</v>
      </c>
      <c r="G94">
        <f ca="1"/>
        <v>1.2787442628606929</v>
      </c>
      <c r="V94">
        <f ca="1"/>
        <v>2.3751133004546596</v>
      </c>
      <c r="W94">
        <f ca="1"/>
        <v>11</v>
      </c>
      <c r="X94">
        <f ca="1"/>
        <v>2.7567695916682315</v>
      </c>
      <c r="Y94">
        <f ca="1"/>
        <v>2</v>
      </c>
      <c r="Z94">
        <f ca="1"/>
        <v>2.3720179688332932</v>
      </c>
      <c r="AA94">
        <f ca="1"/>
        <v>15</v>
      </c>
      <c r="AB94">
        <f ca="1"/>
        <v>16.585595705828361</v>
      </c>
      <c r="AC94">
        <f ca="1"/>
        <v>0</v>
      </c>
    </row>
    <row r="95" spans="3:29">
      <c r="C95">
        <f ca="1"/>
        <v>1.2838711351898937</v>
      </c>
      <c r="D95">
        <f ca="1"/>
        <v>-8.7399915826278998E-2</v>
      </c>
      <c r="E95">
        <f ca="1"/>
        <v>0.24093669153037722</v>
      </c>
      <c r="G95">
        <f ca="1"/>
        <v>1.7140143263858312</v>
      </c>
      <c r="V95">
        <f ca="1"/>
        <v>2.4509642808895573</v>
      </c>
      <c r="W95">
        <f ca="1"/>
        <v>9</v>
      </c>
      <c r="X95">
        <f ca="1"/>
        <v>2.835127615276511</v>
      </c>
      <c r="Y95">
        <f ca="1"/>
        <v>4</v>
      </c>
      <c r="Z95">
        <f ca="1"/>
        <v>2.4414687969554718</v>
      </c>
      <c r="AA95">
        <f ca="1"/>
        <v>1</v>
      </c>
      <c r="AB95">
        <f ca="1"/>
        <v>16.787753245710913</v>
      </c>
      <c r="AC95">
        <f ca="1"/>
        <v>1</v>
      </c>
    </row>
    <row r="96" spans="3:29">
      <c r="C96">
        <f ca="1"/>
        <v>0.43507774371217195</v>
      </c>
      <c r="D96">
        <f ca="1"/>
        <v>-0.43938717940383393</v>
      </c>
      <c r="E96">
        <f ca="1"/>
        <v>1.7509649036372956</v>
      </c>
      <c r="G96">
        <f ca="1"/>
        <v>3.4482318302676953</v>
      </c>
      <c r="V96">
        <f ca="1"/>
        <v>2.5268152613244559</v>
      </c>
      <c r="W96">
        <f ca="1"/>
        <v>5</v>
      </c>
      <c r="X96">
        <f ca="1"/>
        <v>2.9134856388847905</v>
      </c>
      <c r="Y96">
        <f ca="1"/>
        <v>4</v>
      </c>
      <c r="Z96">
        <f ca="1"/>
        <v>2.5109196250776504</v>
      </c>
      <c r="AA96">
        <f ca="1"/>
        <v>7</v>
      </c>
      <c r="AB96">
        <f ca="1"/>
        <v>16.989910785593466</v>
      </c>
      <c r="AC96">
        <f ca="1"/>
        <v>0</v>
      </c>
    </row>
    <row r="97" spans="3:29">
      <c r="C97">
        <f ca="1"/>
        <v>0.27644692325331077</v>
      </c>
      <c r="D97">
        <f ca="1"/>
        <v>-0.92167672284668078</v>
      </c>
      <c r="E97">
        <f ca="1"/>
        <v>0.57505337371022114</v>
      </c>
      <c r="G97">
        <f ca="1"/>
        <v>1.2565972654291264</v>
      </c>
      <c r="V97">
        <f ca="1"/>
        <v>2.6026662417593536</v>
      </c>
      <c r="W97">
        <f ca="1"/>
        <v>5</v>
      </c>
      <c r="X97">
        <f ca="1"/>
        <v>2.9918436624930691</v>
      </c>
      <c r="Y97">
        <f ca="1"/>
        <v>1</v>
      </c>
      <c r="Z97">
        <f ca="1"/>
        <v>2.5803704531998299</v>
      </c>
      <c r="AA97">
        <f ca="1"/>
        <v>5</v>
      </c>
      <c r="AB97">
        <f ca="1"/>
        <v>17.192068325476018</v>
      </c>
      <c r="AC97">
        <f ca="1"/>
        <v>0</v>
      </c>
    </row>
    <row r="98" spans="3:29">
      <c r="C98">
        <f ca="1"/>
        <v>-1.3657624904337076</v>
      </c>
      <c r="D98">
        <f ca="1"/>
        <v>-0.11562385687305805</v>
      </c>
      <c r="E98">
        <f ca="1"/>
        <v>0.40686523234911776</v>
      </c>
      <c r="G98">
        <f ca="1"/>
        <v>2.0442153738483859</v>
      </c>
      <c r="V98">
        <f ca="1"/>
        <v>2.6785172221942513</v>
      </c>
      <c r="W98">
        <f ca="1"/>
        <v>7</v>
      </c>
      <c r="X98">
        <f ca="1"/>
        <v>3.0702016861013486</v>
      </c>
      <c r="Y98">
        <f ca="1"/>
        <v>2</v>
      </c>
      <c r="Z98">
        <f ca="1"/>
        <v>2.6498212813220086</v>
      </c>
      <c r="AA98">
        <f ca="1"/>
        <v>3</v>
      </c>
      <c r="AB98">
        <f ca="1"/>
        <v>17.394225865358571</v>
      </c>
      <c r="AC98">
        <f ca="1"/>
        <v>0</v>
      </c>
    </row>
    <row r="99" spans="3:29">
      <c r="C99">
        <f ca="1"/>
        <v>-0.20953852802517992</v>
      </c>
      <c r="D99">
        <f ca="1"/>
        <v>0.51075804771169453</v>
      </c>
      <c r="E99">
        <f ca="1"/>
        <v>-0.40589967623547091</v>
      </c>
      <c r="G99">
        <f ca="1"/>
        <v>0.46953472519728084</v>
      </c>
      <c r="V99">
        <f ca="1"/>
        <v>2.7543682026291489</v>
      </c>
      <c r="W99">
        <f ca="1"/>
        <v>2</v>
      </c>
      <c r="X99">
        <f ca="1"/>
        <v>3.1485597097096281</v>
      </c>
      <c r="Y99">
        <f ca="1"/>
        <v>1</v>
      </c>
      <c r="Z99">
        <f ca="1"/>
        <v>2.7192721094441872</v>
      </c>
      <c r="AA99">
        <f ca="1"/>
        <v>3</v>
      </c>
      <c r="AB99">
        <f ca="1"/>
        <v>17.59638340524112</v>
      </c>
      <c r="AC99">
        <f ca="1"/>
        <v>0</v>
      </c>
    </row>
    <row r="100" spans="3:29">
      <c r="C100">
        <f ca="1"/>
        <v>0.25702382600433388</v>
      </c>
      <c r="D100">
        <f ca="1"/>
        <v>-0.24046671740603831</v>
      </c>
      <c r="E100">
        <f ca="1"/>
        <v>-0.97547679742986504</v>
      </c>
      <c r="G100">
        <f ca="1"/>
        <v>1.0754404716379675</v>
      </c>
      <c r="V100">
        <f ca="1"/>
        <v>2.8302191830640475</v>
      </c>
      <c r="W100">
        <f ca="1"/>
        <v>4</v>
      </c>
      <c r="X100">
        <f ca="1"/>
        <v>3.2269177333179075</v>
      </c>
      <c r="Y100">
        <f ca="1"/>
        <v>0</v>
      </c>
      <c r="Z100">
        <f ca="1"/>
        <v>2.7887229375663658</v>
      </c>
      <c r="AA100">
        <f ca="1"/>
        <v>5</v>
      </c>
      <c r="AB100">
        <f ca="1"/>
        <v>17.798540945123673</v>
      </c>
      <c r="AC100">
        <f ca="1"/>
        <v>0</v>
      </c>
    </row>
    <row r="101" spans="3:29">
      <c r="C101">
        <f ca="1"/>
        <v>2.1764803780916413</v>
      </c>
      <c r="D101">
        <f ca="1"/>
        <v>0.27259482036947885</v>
      </c>
      <c r="E101">
        <f ca="1"/>
        <v>0.47979234530955206</v>
      </c>
      <c r="G101">
        <f ca="1"/>
        <v>5.041575466927843</v>
      </c>
      <c r="V101">
        <f ca="1"/>
        <v>2.9060701634989452</v>
      </c>
      <c r="W101">
        <f ca="1"/>
        <v>2</v>
      </c>
      <c r="X101">
        <f ca="1"/>
        <v>3.305275756926187</v>
      </c>
      <c r="Y101">
        <f ca="1"/>
        <v>1</v>
      </c>
      <c r="Z101">
        <f ca="1"/>
        <v>2.8581737656885453</v>
      </c>
      <c r="AA101">
        <f ca="1"/>
        <v>2</v>
      </c>
      <c r="AB101">
        <f ca="1"/>
        <v>18.000698485006225</v>
      </c>
      <c r="AC101">
        <f ca="1"/>
        <v>0</v>
      </c>
    </row>
    <row r="102" spans="3:29">
      <c r="C102">
        <f ca="1"/>
        <v>4.0065859097839468E-2</v>
      </c>
      <c r="D102">
        <f ca="1"/>
        <v>0.46675414476849986</v>
      </c>
      <c r="E102">
        <f ca="1"/>
        <v>0.11922101248257727</v>
      </c>
      <c r="G102">
        <f ca="1"/>
        <v>0.23367835454119248</v>
      </c>
      <c r="V102">
        <f ca="1"/>
        <v>2.9819211439338429</v>
      </c>
      <c r="W102">
        <f ca="1"/>
        <v>1</v>
      </c>
      <c r="X102">
        <f ca="1"/>
        <v>3.3836337805344665</v>
      </c>
      <c r="Y102">
        <f ca="1"/>
        <v>0</v>
      </c>
      <c r="Z102">
        <f ca="1"/>
        <v>2.9276245938107239</v>
      </c>
      <c r="AA102">
        <f ca="1"/>
        <v>2</v>
      </c>
      <c r="AB102">
        <f ca="1"/>
        <v>18.202856024888778</v>
      </c>
      <c r="AC102">
        <f ca="1"/>
        <v>0</v>
      </c>
    </row>
    <row r="103" spans="3:29">
      <c r="C103">
        <f ca="1"/>
        <v>-0.38024103934745584</v>
      </c>
      <c r="D103">
        <f ca="1"/>
        <v>-1.0228971641418012</v>
      </c>
      <c r="E103">
        <f ca="1"/>
        <v>0.27526190319873539</v>
      </c>
      <c r="G103">
        <f ca="1"/>
        <v>1.2666709717659623</v>
      </c>
      <c r="V103">
        <f ca="1"/>
        <v>3.0577721243687415</v>
      </c>
      <c r="W103">
        <f ca="1"/>
        <v>2</v>
      </c>
      <c r="X103">
        <f ca="1"/>
        <v>3.461991804142746</v>
      </c>
      <c r="Y103">
        <f ca="1"/>
        <v>0</v>
      </c>
      <c r="Z103">
        <f ca="1"/>
        <v>2.9970754219329026</v>
      </c>
      <c r="AA103">
        <f ca="1"/>
        <v>1</v>
      </c>
      <c r="AB103">
        <f ca="1"/>
        <v>18.40501356477133</v>
      </c>
      <c r="AC103">
        <f ca="1"/>
        <v>0</v>
      </c>
    </row>
    <row r="104" spans="3:29">
      <c r="C104">
        <f ca="1"/>
        <v>-0.87628876223082852</v>
      </c>
      <c r="D104">
        <f ca="1"/>
        <v>-1.5740245097130972</v>
      </c>
      <c r="E104">
        <f ca="1"/>
        <v>-1.2333952761540792</v>
      </c>
      <c r="G104">
        <f ca="1"/>
        <v>4.7666990592287908</v>
      </c>
      <c r="V104">
        <f ca="1"/>
        <v>3.1336231048036391</v>
      </c>
      <c r="W104">
        <f ca="1"/>
        <v>1</v>
      </c>
      <c r="X104">
        <f ca="1"/>
        <v>3.5403498277510246</v>
      </c>
      <c r="Y104">
        <f ca="1"/>
        <v>0</v>
      </c>
      <c r="Z104">
        <f ca="1"/>
        <v>3.0665262500550812</v>
      </c>
      <c r="AA104">
        <f ca="1"/>
        <v>0</v>
      </c>
      <c r="AB104">
        <f ca="1"/>
        <v>18.607171104653883</v>
      </c>
      <c r="AC104">
        <f ca="1"/>
        <v>0</v>
      </c>
    </row>
    <row r="105" spans="3:29">
      <c r="C105">
        <f ca="1"/>
        <v>0.88798612492365425</v>
      </c>
      <c r="D105">
        <f ca="1"/>
        <v>-0.30294945090790587</v>
      </c>
      <c r="E105">
        <f ca="1"/>
        <v>0.53495951182063239</v>
      </c>
      <c r="G105">
        <f ca="1"/>
        <v>1.1664794071496987</v>
      </c>
      <c r="V105">
        <f ca="1"/>
        <v>3.2094740852385368</v>
      </c>
      <c r="W105">
        <f ca="1"/>
        <v>1</v>
      </c>
      <c r="X105">
        <f ca="1"/>
        <v>3.6187078513593041</v>
      </c>
      <c r="Y105">
        <f ca="1"/>
        <v>0</v>
      </c>
      <c r="Z105">
        <f ca="1"/>
        <v>3.1359770781772607</v>
      </c>
      <c r="AA105">
        <f ca="1"/>
        <v>3</v>
      </c>
      <c r="AB105">
        <f ca="1"/>
        <v>18.809328644536436</v>
      </c>
      <c r="AC105">
        <f ca="1"/>
        <v>0</v>
      </c>
    </row>
    <row r="106" spans="3:29">
      <c r="C106">
        <f ca="1"/>
        <v>-1.9621870613319536</v>
      </c>
      <c r="D106">
        <f ca="1"/>
        <v>1.2356182889135847</v>
      </c>
      <c r="E106">
        <f ca="1"/>
        <v>0.75584454874603413</v>
      </c>
      <c r="G106">
        <f ca="1"/>
        <v>5.9482316014253591</v>
      </c>
      <c r="V106">
        <f ca="1"/>
        <v>3.2853250656734345</v>
      </c>
      <c r="W106">
        <f ca="1"/>
        <v>1</v>
      </c>
      <c r="X106">
        <f ca="1"/>
        <v>3.6970658749675835</v>
      </c>
      <c r="Y106">
        <f ca="1"/>
        <v>0</v>
      </c>
      <c r="Z106">
        <f ca="1"/>
        <v>3.2054279062994393</v>
      </c>
      <c r="AA106">
        <f ca="1"/>
        <v>0</v>
      </c>
      <c r="AB106">
        <f ca="1"/>
        <v>19.011486184418988</v>
      </c>
      <c r="AC106">
        <f ca="1"/>
        <v>1</v>
      </c>
    </row>
    <row r="107" spans="3:29">
      <c r="C107">
        <f ca="1"/>
        <v>0.25127397970494481</v>
      </c>
      <c r="D107">
        <f ca="1"/>
        <v>-0.62994144681458175</v>
      </c>
      <c r="E107">
        <f ca="1"/>
        <v>0.59850823116921958</v>
      </c>
      <c r="G107">
        <f ca="1"/>
        <v>0.81817694206891756</v>
      </c>
      <c r="V107">
        <f ca="1"/>
        <v>3.3611760461083331</v>
      </c>
      <c r="W107">
        <f ca="1"/>
        <v>0</v>
      </c>
      <c r="X107">
        <f ca="1"/>
        <v>3.775423898575863</v>
      </c>
      <c r="Y107">
        <f ca="1"/>
        <v>0</v>
      </c>
      <c r="Z107">
        <f ca="1"/>
        <v>3.2748787344216179</v>
      </c>
      <c r="AA107">
        <f ca="1"/>
        <v>0</v>
      </c>
      <c r="AB107">
        <f ca="1"/>
        <v>19.213643724301537</v>
      </c>
      <c r="AC107">
        <f ca="1"/>
        <v>0</v>
      </c>
    </row>
    <row r="108" spans="3:29">
      <c r="C108">
        <f ca="1"/>
        <v>-0.87238619614142909</v>
      </c>
      <c r="D108">
        <f ca="1"/>
        <v>0.33016768469954877</v>
      </c>
      <c r="E108">
        <f ca="1"/>
        <v>0.50339333234743822</v>
      </c>
      <c r="G108">
        <f ca="1"/>
        <v>1.1234732222898312</v>
      </c>
      <c r="V108">
        <f ca="1"/>
        <v>3.4370270265432308</v>
      </c>
      <c r="W108">
        <f ca="1"/>
        <v>0</v>
      </c>
      <c r="X108">
        <f ca="1"/>
        <v>3.8537819221841425</v>
      </c>
      <c r="Y108">
        <f ca="1"/>
        <v>1</v>
      </c>
      <c r="Z108">
        <f ca="1"/>
        <v>3.3443295625437974</v>
      </c>
      <c r="AA108">
        <f ca="1"/>
        <v>0</v>
      </c>
      <c r="AB108">
        <f ca="1"/>
        <v>19.41580126418409</v>
      </c>
      <c r="AC108">
        <f ca="1"/>
        <v>0</v>
      </c>
    </row>
    <row r="109" spans="3:29">
      <c r="C109">
        <f ca="1"/>
        <v>0.25062636681070943</v>
      </c>
      <c r="D109">
        <f ca="1"/>
        <v>-0.2424236150163189</v>
      </c>
      <c r="E109">
        <f ca="1"/>
        <v>-2.0206626375916779</v>
      </c>
      <c r="G109">
        <f ca="1"/>
        <v>4.2046602798172739</v>
      </c>
      <c r="V109">
        <f ca="1"/>
        <v>3.5128780069781285</v>
      </c>
      <c r="W109">
        <f ca="1"/>
        <v>0</v>
      </c>
      <c r="X109">
        <f ca="1"/>
        <v>3.932139945792422</v>
      </c>
      <c r="Y109">
        <f ca="1"/>
        <v>0</v>
      </c>
      <c r="Z109">
        <f ca="1"/>
        <v>3.4137803906659761</v>
      </c>
      <c r="AA109">
        <f ca="1"/>
        <v>1</v>
      </c>
      <c r="AB109">
        <f ca="1"/>
        <v>19.617958804066642</v>
      </c>
      <c r="AC109">
        <f ca="1"/>
        <v>1</v>
      </c>
    </row>
    <row r="110" spans="3:29">
      <c r="C110">
        <f ca="1"/>
        <v>0.6845944289173076</v>
      </c>
      <c r="D110">
        <f ca="1"/>
        <v>-1.3791901007831695</v>
      </c>
      <c r="E110">
        <f ca="1"/>
        <v>0.80110137957873229</v>
      </c>
      <c r="G110">
        <f ca="1"/>
        <v>3.012598286565852</v>
      </c>
      <c r="V110">
        <f ca="1"/>
        <v>3.588728987413027</v>
      </c>
      <c r="W110">
        <f ca="1"/>
        <v>0</v>
      </c>
      <c r="X110">
        <f ca="1"/>
        <v>4.010497969400701</v>
      </c>
      <c r="Y110">
        <f ca="1"/>
        <v>0</v>
      </c>
      <c r="Z110">
        <f ca="1"/>
        <v>3.4832312187881547</v>
      </c>
      <c r="AA110">
        <f ca="1"/>
        <v>1</v>
      </c>
      <c r="AB110">
        <f ca="1"/>
        <v>19.820116343949195</v>
      </c>
      <c r="AC110">
        <f ca="1"/>
        <v>1</v>
      </c>
    </row>
    <row r="111" spans="3:29">
      <c r="C111">
        <f ca="1"/>
        <v>-0.40832166220009758</v>
      </c>
      <c r="D111">
        <f ca="1"/>
        <v>-4.1953712780625048E-2</v>
      </c>
      <c r="E111">
        <f ca="1"/>
        <v>-0.47900296397625242</v>
      </c>
      <c r="G111">
        <f ca="1"/>
        <v>0.39793053333596473</v>
      </c>
      <c r="V111">
        <f ca="1"/>
        <v>3.6645799678479247</v>
      </c>
      <c r="W111">
        <f ca="1"/>
        <v>2</v>
      </c>
      <c r="X111">
        <f ca="1"/>
        <v>4.0888559930089805</v>
      </c>
      <c r="Y111">
        <f ca="1"/>
        <v>0</v>
      </c>
      <c r="Z111">
        <f ca="1"/>
        <v>3.5526820469103333</v>
      </c>
      <c r="AA111">
        <f ca="1"/>
        <v>0</v>
      </c>
      <c r="AB111">
        <f ca="1"/>
        <v>20.022273883831748</v>
      </c>
      <c r="AC111">
        <f ca="1"/>
        <v>0</v>
      </c>
    </row>
    <row r="112" spans="3:29">
      <c r="C112">
        <f ca="1"/>
        <v>-1.7708341015323873E-2</v>
      </c>
      <c r="D112">
        <f ca="1"/>
        <v>0.51065942036165068</v>
      </c>
      <c r="E112">
        <f ca="1"/>
        <v>0.7270365780571223</v>
      </c>
      <c r="G112">
        <f ca="1"/>
        <v>0.78966881477862216</v>
      </c>
      <c r="V112">
        <f ca="1"/>
        <v>3.7404309482828224</v>
      </c>
      <c r="W112">
        <f ca="1"/>
        <v>0</v>
      </c>
      <c r="X112">
        <f ca="1"/>
        <v>4.16721401661726</v>
      </c>
      <c r="Y112">
        <f ca="1"/>
        <v>1</v>
      </c>
      <c r="Z112">
        <f ca="1"/>
        <v>3.6221328750325128</v>
      </c>
      <c r="AA112">
        <f ca="1"/>
        <v>1</v>
      </c>
      <c r="AB112">
        <f ca="1"/>
        <v>20.2244314237143</v>
      </c>
      <c r="AC112">
        <f ca="1"/>
        <v>1</v>
      </c>
    </row>
    <row r="113" spans="3:29">
      <c r="C113">
        <f ca="1"/>
        <v>-0.41816712814969992</v>
      </c>
      <c r="D113">
        <f ca="1"/>
        <v>0.39720726692590302</v>
      </c>
      <c r="E113">
        <f ca="1"/>
        <v>3.7335742972729173E-2</v>
      </c>
      <c r="G113">
        <f ca="1"/>
        <v>0.33403131766703881</v>
      </c>
      <c r="W113">
        <f ca="1"/>
        <v>1</v>
      </c>
      <c r="Y113">
        <f ca="1"/>
        <v>0</v>
      </c>
      <c r="AA113">
        <f ca="1"/>
        <v>0</v>
      </c>
      <c r="AC113">
        <f ca="1"/>
        <v>0</v>
      </c>
    </row>
    <row r="114" spans="3:29">
      <c r="C114">
        <f ca="1"/>
        <v>-5.963566241283369E-2</v>
      </c>
      <c r="D114">
        <f ca="1"/>
        <v>-0.1010863855427266</v>
      </c>
      <c r="E114">
        <f ca="1"/>
        <v>0.65082458438640722</v>
      </c>
      <c r="G114">
        <f ca="1"/>
        <v>0.4373475092152499</v>
      </c>
    </row>
    <row r="115" spans="3:29">
      <c r="C115">
        <f ca="1"/>
        <v>-0.1528394671423487</v>
      </c>
      <c r="D115">
        <f ca="1"/>
        <v>0.21616562119963179</v>
      </c>
      <c r="E115">
        <f ca="1"/>
        <v>-0.48577509813544595</v>
      </c>
      <c r="G115">
        <f ca="1"/>
        <v>0.30606492447348194</v>
      </c>
    </row>
    <row r="116" spans="3:29">
      <c r="C116">
        <f ca="1"/>
        <v>-1.4327474256496431</v>
      </c>
      <c r="D116">
        <f ca="1"/>
        <v>-0.10192153644274465</v>
      </c>
      <c r="E116">
        <f ca="1"/>
        <v>0.56690388886897547</v>
      </c>
      <c r="G116">
        <f ca="1"/>
        <v>2.384533204511297</v>
      </c>
    </row>
    <row r="117" spans="3:29">
      <c r="C117">
        <f ca="1"/>
        <v>0.51695032952482256</v>
      </c>
      <c r="D117">
        <f ca="1"/>
        <v>0.14715140792772508</v>
      </c>
      <c r="E117">
        <f ca="1"/>
        <v>-2.2038715772512169E-2</v>
      </c>
      <c r="G117">
        <f ca="1"/>
        <v>0.28937688504383591</v>
      </c>
    </row>
    <row r="118" spans="3:29">
      <c r="C118">
        <f ca="1"/>
        <v>0.30769652386786084</v>
      </c>
      <c r="D118">
        <f ca="1"/>
        <v>-1.5908902468194195</v>
      </c>
      <c r="E118">
        <f ca="1"/>
        <v>0.89590904105883562</v>
      </c>
      <c r="G118">
        <f ca="1"/>
        <v>3.4282619380764809</v>
      </c>
    </row>
    <row r="119" spans="3:29">
      <c r="C119">
        <f ca="1"/>
        <v>3.8648730716689388E-2</v>
      </c>
      <c r="D119">
        <f ca="1"/>
        <v>1.6682857816892445</v>
      </c>
      <c r="E119">
        <f ca="1"/>
        <v>1.1446280665975244</v>
      </c>
      <c r="G119">
        <f ca="1"/>
        <v>4.0948445846152914</v>
      </c>
    </row>
    <row r="120" spans="3:29">
      <c r="C120">
        <f ca="1"/>
        <v>1.0945813298369746</v>
      </c>
      <c r="D120">
        <f ca="1"/>
        <v>0.14471271420134632</v>
      </c>
      <c r="E120">
        <f ca="1"/>
        <v>-0.51913386372219295</v>
      </c>
      <c r="G120">
        <f ca="1"/>
        <v>1.4885500257423327</v>
      </c>
    </row>
    <row r="121" spans="3:29">
      <c r="C121">
        <f ca="1"/>
        <v>-0.31672472508639521</v>
      </c>
      <c r="D121">
        <f ca="1"/>
        <v>1.8014992313149174</v>
      </c>
      <c r="E121">
        <f ca="1"/>
        <v>0.36628767800054379</v>
      </c>
      <c r="G121">
        <f ca="1"/>
        <v>3.4798806949643213</v>
      </c>
    </row>
    <row r="122" spans="3:29">
      <c r="C122">
        <f ca="1"/>
        <v>-2.0954969961257017</v>
      </c>
      <c r="D122">
        <f ca="1"/>
        <v>0.41386477780522124</v>
      </c>
      <c r="E122">
        <f ca="1"/>
        <v>-0.99728509788008268</v>
      </c>
      <c r="G122">
        <f ca="1"/>
        <v>5.5569692815332905</v>
      </c>
    </row>
    <row r="123" spans="3:29">
      <c r="C123">
        <f ca="1"/>
        <v>1.639702551242834</v>
      </c>
      <c r="D123">
        <f ca="1"/>
        <v>0.43442272081082561</v>
      </c>
      <c r="E123">
        <f ca="1"/>
        <v>-1.5818809756232877</v>
      </c>
      <c r="G123">
        <f ca="1"/>
        <v>5.3796949779478238</v>
      </c>
    </row>
    <row r="124" spans="3:29">
      <c r="C124">
        <f ca="1"/>
        <v>-0.53838077418552466</v>
      </c>
      <c r="D124">
        <f ca="1"/>
        <v>-1.0180678962112606</v>
      </c>
      <c r="E124">
        <f ca="1"/>
        <v>0.22646783884790458</v>
      </c>
      <c r="G124">
        <f ca="1"/>
        <v>1.3776037813410673</v>
      </c>
    </row>
    <row r="125" spans="3:29">
      <c r="C125">
        <f ca="1"/>
        <v>-1.0139877207488657</v>
      </c>
      <c r="D125">
        <f ca="1"/>
        <v>1.8209898058158269</v>
      </c>
      <c r="E125">
        <f ca="1"/>
        <v>5.3711805052179498E-2</v>
      </c>
      <c r="G125">
        <f ca="1"/>
        <v>4.3470599287166056</v>
      </c>
    </row>
    <row r="126" spans="3:29">
      <c r="C126">
        <f ca="1"/>
        <v>-1.8221871744522595</v>
      </c>
      <c r="D126">
        <f ca="1"/>
        <v>-0.88469401252077262</v>
      </c>
      <c r="E126">
        <f ca="1"/>
        <v>-0.33305202457719785</v>
      </c>
      <c r="G126">
        <f ca="1"/>
        <v>4.2139732456033849</v>
      </c>
    </row>
    <row r="127" spans="3:29">
      <c r="C127">
        <f ca="1"/>
        <v>-1.192199153588301</v>
      </c>
      <c r="D127">
        <f ca="1"/>
        <v>-3.772288849298714E-2</v>
      </c>
      <c r="E127">
        <f ca="1"/>
        <v>-1.01627890280019</v>
      </c>
      <c r="G127">
        <f ca="1"/>
        <v>2.4555846464096733</v>
      </c>
    </row>
    <row r="128" spans="3:29">
      <c r="C128">
        <f ca="1"/>
        <v>-1.1721845295221973</v>
      </c>
      <c r="D128">
        <f ca="1"/>
        <v>-0.12744963650806182</v>
      </c>
      <c r="E128">
        <f ca="1"/>
        <v>0.91626364785427461</v>
      </c>
      <c r="G128">
        <f ca="1"/>
        <v>2.2297990534764343</v>
      </c>
    </row>
    <row r="129" spans="3:7">
      <c r="C129">
        <f ca="1"/>
        <v>1.5459158449436663</v>
      </c>
      <c r="D129">
        <f ca="1"/>
        <v>-0.59986401491730523</v>
      </c>
      <c r="E129">
        <f ca="1"/>
        <v>-2.0419171600142638</v>
      </c>
      <c r="G129">
        <f ca="1"/>
        <v>6.9191183244013148</v>
      </c>
    </row>
    <row r="130" spans="3:7">
      <c r="C130">
        <f ca="1"/>
        <v>0.58003772173028534</v>
      </c>
      <c r="D130">
        <f ca="1"/>
        <v>1.0826933371912333</v>
      </c>
      <c r="E130">
        <f ca="1"/>
        <v>-1.1767704138214394</v>
      </c>
      <c r="G130">
        <f ca="1"/>
        <v>2.8934572278738315</v>
      </c>
    </row>
    <row r="131" spans="3:7">
      <c r="C131">
        <f ca="1"/>
        <v>1.6631455344740416</v>
      </c>
      <c r="D131">
        <f ca="1"/>
        <v>0.49691541305890524</v>
      </c>
      <c r="E131">
        <f ca="1"/>
        <v>-0.11991406534454917</v>
      </c>
      <c r="G131">
        <f ca="1"/>
        <v>3.0273573796439046</v>
      </c>
    </row>
    <row r="132" spans="3:7">
      <c r="C132">
        <f ca="1"/>
        <v>-0.74111559150046802</v>
      </c>
      <c r="D132">
        <f ca="1"/>
        <v>0.79608072411162234</v>
      </c>
      <c r="E132">
        <f ca="1"/>
        <v>1.0756463335881825</v>
      </c>
      <c r="G132">
        <f ca="1"/>
        <v>2.3400118742288734</v>
      </c>
    </row>
    <row r="133" spans="3:7">
      <c r="C133">
        <f ca="1"/>
        <v>0.3212879795920901</v>
      </c>
      <c r="D133">
        <f ca="1"/>
        <v>0.80693468872060869</v>
      </c>
      <c r="E133">
        <f ca="1"/>
        <v>1.2272537198663811</v>
      </c>
      <c r="G133">
        <f ca="1"/>
        <v>2.260521250616863</v>
      </c>
    </row>
    <row r="134" spans="3:7">
      <c r="C134">
        <f ca="1"/>
        <v>0.71302243586682312</v>
      </c>
      <c r="D134">
        <f ca="1"/>
        <v>-1.137026263469755</v>
      </c>
      <c r="E134">
        <f ca="1"/>
        <v>1.1430126246615973</v>
      </c>
      <c r="G134">
        <f ca="1"/>
        <v>3.1077075780052441</v>
      </c>
    </row>
    <row r="135" spans="3:7">
      <c r="C135">
        <f ca="1"/>
        <v>-0.15100707903446012</v>
      </c>
      <c r="D135">
        <f ca="1"/>
        <v>0.75702806616265395</v>
      </c>
      <c r="E135">
        <f ca="1"/>
        <v>-1.4010126792372877</v>
      </c>
      <c r="G135">
        <f ca="1"/>
        <v>2.5587311582601306</v>
      </c>
    </row>
    <row r="136" spans="3:7">
      <c r="C136">
        <f ca="1"/>
        <v>-0.53072524490479767</v>
      </c>
      <c r="D136">
        <f ca="1"/>
        <v>0.39094255146259266</v>
      </c>
      <c r="E136">
        <f ca="1"/>
        <v>8.1460526409492029E-2</v>
      </c>
      <c r="G136">
        <f ca="1"/>
        <v>0.44114118148625092</v>
      </c>
    </row>
    <row r="137" spans="3:7">
      <c r="C137">
        <f ca="1"/>
        <v>1.186657404620731</v>
      </c>
      <c r="D137">
        <f ca="1"/>
        <v>-1.1092823911197294</v>
      </c>
      <c r="E137">
        <f ca="1"/>
        <v>-0.16596389386902094</v>
      </c>
      <c r="G137">
        <f ca="1"/>
        <v>2.6662072332576812</v>
      </c>
    </row>
    <row r="138" spans="3:7">
      <c r="C138">
        <f ca="1"/>
        <v>-1.4495650008153116</v>
      </c>
      <c r="D138">
        <f ca="1"/>
        <v>-0.2609066853716584</v>
      </c>
      <c r="E138">
        <f ca="1"/>
        <v>3.5503419419450719E-2</v>
      </c>
      <c r="G138">
        <f ca="1"/>
        <v>2.1705714828507934</v>
      </c>
    </row>
    <row r="139" spans="3:7">
      <c r="C139">
        <f ca="1"/>
        <v>-2.0268149501677311</v>
      </c>
      <c r="D139">
        <f ca="1"/>
        <v>0.45200248137364596</v>
      </c>
      <c r="E139">
        <f ca="1"/>
        <v>-0.93364551765952686</v>
      </c>
      <c r="G139">
        <f ca="1"/>
        <v>5.18397903803708</v>
      </c>
    </row>
    <row r="140" spans="3:7">
      <c r="C140">
        <f ca="1"/>
        <v>-0.9927051916561237</v>
      </c>
      <c r="D140">
        <f ca="1"/>
        <v>0.79877948042567393</v>
      </c>
      <c r="E140">
        <f ca="1"/>
        <v>-0.95248842630659536</v>
      </c>
      <c r="G140">
        <f ca="1"/>
        <v>2.5307464581381454</v>
      </c>
    </row>
    <row r="141" spans="3:7">
      <c r="C141">
        <f ca="1"/>
        <v>1.7312743599849283</v>
      </c>
      <c r="D141">
        <f ca="1"/>
        <v>0.69656153836025136</v>
      </c>
      <c r="E141">
        <f ca="1"/>
        <v>-0.10076051110487151</v>
      </c>
      <c r="G141">
        <f ca="1"/>
        <v>3.4926615668621377</v>
      </c>
    </row>
    <row r="142" spans="3:7">
      <c r="C142">
        <f ca="1"/>
        <v>-4.8697481137159195E-2</v>
      </c>
      <c r="D142">
        <f ca="1"/>
        <v>0.74110937766826357</v>
      </c>
      <c r="E142">
        <f ca="1"/>
        <v>1.3850042693193285</v>
      </c>
      <c r="G142">
        <f ca="1"/>
        <v>2.469851380369712</v>
      </c>
    </row>
    <row r="143" spans="3:7">
      <c r="C143">
        <f ca="1"/>
        <v>1.7024556670790889</v>
      </c>
      <c r="D143">
        <f ca="1"/>
        <v>-0.34433053153473336</v>
      </c>
      <c r="E143">
        <f ca="1"/>
        <v>1.2041330386358917</v>
      </c>
      <c r="G143">
        <f ca="1"/>
        <v>4.4668551880512037</v>
      </c>
    </row>
    <row r="144" spans="3:7">
      <c r="C144">
        <f ca="1"/>
        <v>-1.8455268425916158</v>
      </c>
      <c r="D144">
        <f ca="1"/>
        <v>1.8879459851281892</v>
      </c>
      <c r="E144">
        <f ca="1"/>
        <v>0.38416331569435713</v>
      </c>
      <c r="G144">
        <f ca="1"/>
        <v>7.1178908226131092</v>
      </c>
    </row>
    <row r="145" spans="3:7">
      <c r="C145">
        <f ca="1"/>
        <v>0.29496308311288594</v>
      </c>
      <c r="D145">
        <f ca="1"/>
        <v>-1.4875481594068454</v>
      </c>
      <c r="E145">
        <f ca="1"/>
        <v>-5.1066485632706715E-3</v>
      </c>
      <c r="G145">
        <f ca="1"/>
        <v>2.2998288248137015</v>
      </c>
    </row>
    <row r="146" spans="3:7">
      <c r="C146">
        <f ca="1"/>
        <v>0.18475613717866551</v>
      </c>
      <c r="D146">
        <f ca="1"/>
        <v>-0.43346260939360187</v>
      </c>
      <c r="E146">
        <f ca="1"/>
        <v>0.38269735407891708</v>
      </c>
      <c r="G146">
        <f ca="1"/>
        <v>0.36848192878649622</v>
      </c>
    </row>
    <row r="147" spans="3:7">
      <c r="C147">
        <f ca="1"/>
        <v>0.16067185114650398</v>
      </c>
      <c r="D147">
        <f ca="1"/>
        <v>8.653212764179645E-2</v>
      </c>
      <c r="E147">
        <f ca="1"/>
        <v>0.46219702940853352</v>
      </c>
      <c r="G147">
        <f ca="1"/>
        <v>0.24692934685913331</v>
      </c>
    </row>
    <row r="148" spans="3:7">
      <c r="C148">
        <f ca="1"/>
        <v>0.60873734141909441</v>
      </c>
      <c r="D148">
        <f ca="1"/>
        <v>0.17233598222676177</v>
      </c>
      <c r="E148">
        <f ca="1"/>
        <v>-0.63668235748671242</v>
      </c>
      <c r="G148">
        <f ca="1"/>
        <v>0.80562526594288775</v>
      </c>
    </row>
    <row r="149" spans="3:7">
      <c r="C149">
        <f ca="1"/>
        <v>-0.49552977044280938</v>
      </c>
      <c r="D149">
        <f ca="1"/>
        <v>0.12015635605252209</v>
      </c>
      <c r="E149">
        <f ca="1"/>
        <v>-1.278995347831472</v>
      </c>
      <c r="G149">
        <f ca="1"/>
        <v>1.8958164030694717</v>
      </c>
    </row>
    <row r="150" spans="3:7">
      <c r="C150">
        <f ca="1"/>
        <v>-0.30576264573883766</v>
      </c>
      <c r="D150">
        <f ca="1"/>
        <v>-0.3647621736432492</v>
      </c>
      <c r="E150">
        <f ca="1"/>
        <v>-0.20654201523086876</v>
      </c>
      <c r="G150">
        <f ca="1"/>
        <v>0.26920184290579025</v>
      </c>
    </row>
    <row r="151" spans="3:7">
      <c r="C151">
        <f ca="1"/>
        <v>-0.35009583740118666</v>
      </c>
      <c r="D151">
        <f ca="1"/>
        <v>0.49792956596403548</v>
      </c>
      <c r="E151">
        <f ca="1"/>
        <v>0.70811850996328396</v>
      </c>
      <c r="G151">
        <f ca="1"/>
        <v>0.87193277217939236</v>
      </c>
    </row>
    <row r="152" spans="3:7">
      <c r="C152">
        <f ca="1"/>
        <v>-0.33508416274233843</v>
      </c>
      <c r="D152">
        <f ca="1"/>
        <v>0.30835615484350981</v>
      </c>
      <c r="E152">
        <f ca="1"/>
        <v>-1.4612753938293008</v>
      </c>
      <c r="G152">
        <f ca="1"/>
        <v>2.3426906909615868</v>
      </c>
    </row>
    <row r="153" spans="3:7">
      <c r="C153">
        <f ca="1"/>
        <v>-0.70458543136290652</v>
      </c>
      <c r="D153">
        <f ca="1"/>
        <v>9.1463231878014833E-2</v>
      </c>
      <c r="E153">
        <f ca="1"/>
        <v>0.36002343315442004</v>
      </c>
      <c r="G153">
        <f ca="1"/>
        <v>0.63442302529471972</v>
      </c>
    </row>
    <row r="154" spans="3:7">
      <c r="C154">
        <f ca="1"/>
        <v>1.2075941978679301</v>
      </c>
      <c r="D154">
        <f ca="1"/>
        <v>0.60630604517013675</v>
      </c>
      <c r="E154">
        <f ca="1"/>
        <v>-0.65430920324157926</v>
      </c>
      <c r="G154">
        <f ca="1"/>
        <v>2.2540113005807716</v>
      </c>
    </row>
    <row r="155" spans="3:7">
      <c r="C155">
        <f ca="1"/>
        <v>-1.5475715144395785</v>
      </c>
      <c r="D155">
        <f ca="1"/>
        <v>2.0351184037045287</v>
      </c>
      <c r="E155">
        <f ca="1"/>
        <v>-0.55049496620686722</v>
      </c>
      <c r="G155">
        <f ca="1"/>
        <v>6.8397292172207793</v>
      </c>
    </row>
    <row r="156" spans="3:7">
      <c r="C156">
        <f ca="1"/>
        <v>0.46296665939189785</v>
      </c>
      <c r="D156">
        <f ca="1"/>
        <v>-1.6483681668566983</v>
      </c>
      <c r="E156">
        <f ca="1"/>
        <v>-0.27089629567968093</v>
      </c>
      <c r="G156">
        <f ca="1"/>
        <v>3.0048405442279789</v>
      </c>
    </row>
    <row r="157" spans="3:7">
      <c r="C157">
        <f ca="1"/>
        <v>-0.21973739151488547</v>
      </c>
      <c r="D157">
        <f ca="1"/>
        <v>0.19121959519985876</v>
      </c>
      <c r="E157">
        <f ca="1"/>
        <v>0.72004880392917991</v>
      </c>
      <c r="G157">
        <f ca="1"/>
        <v>0.60331973485800661</v>
      </c>
    </row>
    <row r="158" spans="3:7">
      <c r="C158">
        <f ca="1"/>
        <v>0.97918112401265534</v>
      </c>
      <c r="D158">
        <f ca="1"/>
        <v>0.3715117302674989</v>
      </c>
      <c r="E158">
        <f ca="1"/>
        <v>0.91669631996510192</v>
      </c>
      <c r="G158">
        <f ca="1"/>
        <v>1.9371487823865985</v>
      </c>
    </row>
    <row r="159" spans="3:7">
      <c r="C159">
        <f ca="1"/>
        <v>0.3509535988781407</v>
      </c>
      <c r="D159">
        <f ca="1"/>
        <v>-0.20706185241091138</v>
      </c>
      <c r="E159">
        <f ca="1"/>
        <v>-0.37307553376100583</v>
      </c>
      <c r="G159">
        <f ca="1"/>
        <v>0.30522839318041634</v>
      </c>
    </row>
    <row r="160" spans="3:7">
      <c r="C160">
        <f ca="1"/>
        <v>-1.2132419211228211</v>
      </c>
      <c r="D160">
        <f ca="1"/>
        <v>-1.2777679038053171</v>
      </c>
      <c r="E160">
        <f ca="1"/>
        <v>2.4504991909003113</v>
      </c>
      <c r="G160">
        <f ca="1"/>
        <v>9.1095930597679082</v>
      </c>
    </row>
    <row r="161" spans="3:7">
      <c r="C161">
        <f ca="1"/>
        <v>-0.77661751527823042</v>
      </c>
      <c r="D161">
        <f ca="1"/>
        <v>6.3766114172216823E-2</v>
      </c>
      <c r="E161">
        <f ca="1"/>
        <v>-0.75487239731576117</v>
      </c>
      <c r="G161">
        <f ca="1"/>
        <v>1.177033218582801</v>
      </c>
    </row>
    <row r="162" spans="3:7">
      <c r="C162">
        <f ca="1"/>
        <v>0.84789195600888256</v>
      </c>
      <c r="D162">
        <f ca="1"/>
        <v>0.32827016994902142</v>
      </c>
      <c r="E162">
        <f ca="1"/>
        <v>-1.4339679151399618</v>
      </c>
      <c r="G162">
        <f ca="1"/>
        <v>2.8829460551937767</v>
      </c>
    </row>
    <row r="163" spans="3:7">
      <c r="C163">
        <f ca="1"/>
        <v>9.0461751685427999E-2</v>
      </c>
      <c r="D163">
        <f ca="1"/>
        <v>0.30781640086338435</v>
      </c>
      <c r="E163">
        <f ca="1"/>
        <v>-2.2995208561938369</v>
      </c>
      <c r="G163">
        <f ca="1"/>
        <v>5.3907304332289208</v>
      </c>
    </row>
    <row r="164" spans="3:7">
      <c r="C164">
        <f ca="1"/>
        <v>-0.79047165518745499</v>
      </c>
      <c r="D164">
        <f ca="1"/>
        <v>-1.5492958009338518</v>
      </c>
      <c r="E164">
        <f ca="1"/>
        <v>0.31562149224825042</v>
      </c>
      <c r="G164">
        <f ca="1"/>
        <v>3.1247798428150722</v>
      </c>
    </row>
    <row r="165" spans="3:7">
      <c r="C165">
        <f ca="1"/>
        <v>0.5671753464100312</v>
      </c>
      <c r="D165">
        <f ca="1"/>
        <v>-2.3234923781565127</v>
      </c>
      <c r="E165">
        <f ca="1"/>
        <v>0.75019290865454002</v>
      </c>
      <c r="G165">
        <f ca="1"/>
        <v>6.2830941051223048</v>
      </c>
    </row>
    <row r="166" spans="3:7">
      <c r="C166">
        <f ca="1"/>
        <v>0.38785166431103418</v>
      </c>
      <c r="D166">
        <f ca="1"/>
        <v>0.55609673153082484</v>
      </c>
      <c r="E166">
        <f ca="1"/>
        <v>0.26561003869830496</v>
      </c>
      <c r="G166">
        <f ca="1"/>
        <v>0.53022118098542048</v>
      </c>
    </row>
    <row r="167" spans="3:7">
      <c r="C167">
        <f ca="1"/>
        <v>-1.1485432410496692</v>
      </c>
      <c r="D167">
        <f ca="1"/>
        <v>0.3161631813611615</v>
      </c>
      <c r="E167">
        <f ca="1"/>
        <v>0.54221712338464734</v>
      </c>
      <c r="G167">
        <f ca="1"/>
        <v>1.7131101427008111</v>
      </c>
    </row>
    <row r="168" spans="3:7">
      <c r="C168">
        <f ca="1"/>
        <v>-0.3362071272920269</v>
      </c>
      <c r="D168">
        <f ca="1"/>
        <v>-1.5132984160866489</v>
      </c>
      <c r="E168">
        <f ca="1"/>
        <v>-1.4712831688840446</v>
      </c>
      <c r="G168">
        <f ca="1"/>
        <v>4.5677814916137933</v>
      </c>
    </row>
    <row r="169" spans="3:7">
      <c r="C169">
        <f ca="1"/>
        <v>-0.49550172562332817</v>
      </c>
      <c r="D169">
        <f ca="1"/>
        <v>-0.77955363790766796</v>
      </c>
      <c r="E169">
        <f ca="1"/>
        <v>6.5548377803929289E-2</v>
      </c>
      <c r="G169">
        <f ca="1"/>
        <v>0.85752242430350212</v>
      </c>
    </row>
    <row r="170" spans="3:7">
      <c r="C170">
        <f ca="1"/>
        <v>-1.3968596963300233</v>
      </c>
      <c r="D170">
        <f ca="1"/>
        <v>-1.3430976228274749</v>
      </c>
      <c r="E170">
        <f ca="1"/>
        <v>-0.62262933424256339</v>
      </c>
      <c r="G170">
        <f ca="1"/>
        <v>4.1427955235353568</v>
      </c>
    </row>
    <row r="171" spans="3:7">
      <c r="C171">
        <f ca="1"/>
        <v>0.92365126392291041</v>
      </c>
      <c r="D171">
        <f ca="1"/>
        <v>0.32143531720757318</v>
      </c>
      <c r="E171">
        <f ca="1"/>
        <v>0.23081956700572129</v>
      </c>
      <c r="G171">
        <f ca="1"/>
        <v>1.0097299930074319</v>
      </c>
    </row>
    <row r="172" spans="3:7">
      <c r="C172">
        <f ca="1"/>
        <v>-0.90351321425390096</v>
      </c>
      <c r="D172">
        <f ca="1"/>
        <v>1.3885489672112554</v>
      </c>
      <c r="E172">
        <f ca="1"/>
        <v>-0.30263271804558423</v>
      </c>
      <c r="G172">
        <f ca="1"/>
        <v>2.8359909247065178</v>
      </c>
    </row>
    <row r="173" spans="3:7">
      <c r="C173">
        <f ca="1"/>
        <v>-0.70901877071645281</v>
      </c>
      <c r="D173">
        <f ca="1"/>
        <v>-0.87756538780152493</v>
      </c>
      <c r="E173">
        <f ca="1"/>
        <v>0.82398278589348362</v>
      </c>
      <c r="G173">
        <f ca="1"/>
        <v>1.9517762585442973</v>
      </c>
    </row>
    <row r="174" spans="3:7">
      <c r="C174">
        <f ca="1"/>
        <v>0.11252498260038203</v>
      </c>
      <c r="D174">
        <f ca="1"/>
        <v>-0.92346857715353092</v>
      </c>
      <c r="E174">
        <f ca="1"/>
        <v>-9.5519540776153128E-2</v>
      </c>
      <c r="G174">
        <f ca="1"/>
        <v>0.87458006736927041</v>
      </c>
    </row>
    <row r="175" spans="3:7">
      <c r="C175">
        <f ca="1"/>
        <v>0.73678172552917243</v>
      </c>
      <c r="D175">
        <f ca="1"/>
        <v>-1.1714192812411481</v>
      </c>
      <c r="E175">
        <f ca="1"/>
        <v>2.0307781609071243</v>
      </c>
      <c r="G175">
        <f ca="1"/>
        <v>6.0391303823545943</v>
      </c>
    </row>
    <row r="176" spans="3:7">
      <c r="C176">
        <f ca="1"/>
        <v>0.49316586308917398</v>
      </c>
      <c r="D176">
        <f ca="1"/>
        <v>2.4520772750241777</v>
      </c>
      <c r="E176">
        <f ca="1"/>
        <v>9.2605164966893166E-2</v>
      </c>
      <c r="G176">
        <f ca="1"/>
        <v>6.2644712477850319</v>
      </c>
    </row>
    <row r="177" spans="3:7">
      <c r="C177">
        <f ca="1"/>
        <v>0.63473340210110407</v>
      </c>
      <c r="D177">
        <f ca="1"/>
        <v>0.59080309582978263</v>
      </c>
      <c r="E177">
        <f ca="1"/>
        <v>-1.2951483096425449</v>
      </c>
      <c r="G177">
        <f ca="1"/>
        <v>2.4293439337548386</v>
      </c>
    </row>
    <row r="178" spans="3:7">
      <c r="C178">
        <f ca="1"/>
        <v>1.1439650803155303</v>
      </c>
      <c r="D178">
        <f ca="1"/>
        <v>-0.46203694076888607</v>
      </c>
      <c r="E178">
        <f ca="1"/>
        <v>-1.0059209968226606</v>
      </c>
      <c r="G178">
        <f ca="1"/>
        <v>2.5340112914650841</v>
      </c>
    </row>
    <row r="179" spans="3:7">
      <c r="C179">
        <f ca="1"/>
        <v>0.40373893643903919</v>
      </c>
      <c r="D179">
        <f ca="1"/>
        <v>-0.30927719413673826</v>
      </c>
      <c r="E179">
        <f ca="1"/>
        <v>1.2789447939297667</v>
      </c>
      <c r="G179">
        <f ca="1"/>
        <v>1.8943572975300735</v>
      </c>
    </row>
    <row r="180" spans="3:7">
      <c r="C180">
        <f ca="1"/>
        <v>0.42797799610307546</v>
      </c>
      <c r="D180">
        <f ca="1"/>
        <v>0.57322756469426217</v>
      </c>
      <c r="E180">
        <f ca="1"/>
        <v>2.0501592834644327</v>
      </c>
      <c r="G180">
        <f ca="1"/>
        <v>4.7149080936491146</v>
      </c>
    </row>
    <row r="181" spans="3:7">
      <c r="C181">
        <f ca="1"/>
        <v>0.26637472507253612</v>
      </c>
      <c r="D181">
        <f ca="1"/>
        <v>-1.2883067947007962</v>
      </c>
      <c r="E181">
        <f ca="1"/>
        <v>-0.50183045344641797</v>
      </c>
      <c r="G181">
        <f ca="1"/>
        <v>1.9825236954359462</v>
      </c>
    </row>
    <row r="182" spans="3:7">
      <c r="C182">
        <f ca="1"/>
        <v>0.65195190872843811</v>
      </c>
      <c r="D182">
        <f ca="1"/>
        <v>2.4466071040203272</v>
      </c>
      <c r="E182">
        <f ca="1"/>
        <v>0.91061140113687622</v>
      </c>
      <c r="G182">
        <f ca="1"/>
        <v>7.2401407366178505</v>
      </c>
    </row>
    <row r="183" spans="3:7">
      <c r="C183">
        <f ca="1"/>
        <v>9.9611349796895204E-2</v>
      </c>
      <c r="D183">
        <f ca="1"/>
        <v>-0.40150839821823769</v>
      </c>
      <c r="E183">
        <f ca="1"/>
        <v>-0.82195452239465305</v>
      </c>
      <c r="G183">
        <f ca="1"/>
        <v>0.84674065173315649</v>
      </c>
    </row>
    <row r="184" spans="3:7">
      <c r="C184">
        <f ca="1"/>
        <v>-0.17076759120790508</v>
      </c>
      <c r="D184">
        <f ca="1"/>
        <v>-0.42984844162598235</v>
      </c>
      <c r="E184">
        <f ca="1"/>
        <v>0.53660046508572057</v>
      </c>
      <c r="G184">
        <f ca="1"/>
        <v>0.50187131210544744</v>
      </c>
    </row>
    <row r="185" spans="3:7">
      <c r="C185">
        <f ca="1"/>
        <v>-0.12927574099982864</v>
      </c>
      <c r="D185">
        <f ca="1"/>
        <v>-6.8227832673803446E-2</v>
      </c>
      <c r="E185">
        <f ca="1"/>
        <v>0.13038307826178194</v>
      </c>
      <c r="G185">
        <f ca="1"/>
        <v>3.836700145943725E-2</v>
      </c>
    </row>
    <row r="186" spans="3:7">
      <c r="C186">
        <f ca="1"/>
        <v>0.50442451363415919</v>
      </c>
      <c r="D186">
        <f ca="1"/>
        <v>-0.44118244961641279</v>
      </c>
      <c r="E186">
        <f ca="1"/>
        <v>1.1297735386441219</v>
      </c>
      <c r="G186">
        <f ca="1"/>
        <v>1.7254742924250579</v>
      </c>
    </row>
    <row r="187" spans="3:7">
      <c r="C187">
        <f ca="1"/>
        <v>0.93376117303297179</v>
      </c>
      <c r="D187">
        <f ca="1"/>
        <v>0.29289449720830779</v>
      </c>
      <c r="E187">
        <f ca="1"/>
        <v>1.2125768018032725</v>
      </c>
      <c r="G187">
        <f ca="1"/>
        <v>2.4280396150302721</v>
      </c>
    </row>
    <row r="188" spans="3:7">
      <c r="C188">
        <f ca="1"/>
        <v>2.2721184169028876E-2</v>
      </c>
      <c r="D188">
        <f ca="1"/>
        <v>1.2444719686496766</v>
      </c>
      <c r="E188">
        <f ca="1"/>
        <v>-1.5297838872780665</v>
      </c>
      <c r="G188">
        <f ca="1"/>
        <v>3.8894654747404367</v>
      </c>
    </row>
    <row r="189" spans="3:7">
      <c r="C189">
        <f ca="1"/>
        <v>1.6361789441970034</v>
      </c>
      <c r="D189">
        <f ca="1"/>
        <v>2.6628629263757584</v>
      </c>
      <c r="E189">
        <f ca="1"/>
        <v>1.2026451593800356</v>
      </c>
      <c r="G189">
        <f ca="1"/>
        <v>11.214275881480319</v>
      </c>
    </row>
    <row r="190" spans="3:7">
      <c r="C190">
        <f ca="1"/>
        <v>-1.8346932181379909</v>
      </c>
      <c r="D190">
        <f ca="1"/>
        <v>-0.55388601848637331</v>
      </c>
      <c r="E190">
        <f ca="1"/>
        <v>0.67083009565191387</v>
      </c>
      <c r="G190">
        <f ca="1"/>
        <v>4.1229019433885812</v>
      </c>
    </row>
    <row r="191" spans="3:7">
      <c r="C191">
        <f ca="1"/>
        <v>-0.43077229801431732</v>
      </c>
      <c r="D191">
        <f ca="1"/>
        <v>-0.93000711806596614</v>
      </c>
      <c r="E191">
        <f ca="1"/>
        <v>0.36321916149787203</v>
      </c>
      <c r="G191">
        <f ca="1"/>
        <v>1.182406171669117</v>
      </c>
    </row>
    <row r="192" spans="3:7">
      <c r="C192">
        <f ca="1"/>
        <v>-0.28098728921878502</v>
      </c>
      <c r="D192">
        <f ca="1"/>
        <v>0.69156081429333094</v>
      </c>
      <c r="E192">
        <f ca="1"/>
        <v>0.77702431939898198</v>
      </c>
      <c r="G192">
        <f ca="1"/>
        <v>1.1609770095060274</v>
      </c>
    </row>
    <row r="193" spans="3:7">
      <c r="C193">
        <f ca="1"/>
        <v>0.13844615765421733</v>
      </c>
      <c r="D193">
        <f ca="1"/>
        <v>0.93761458042692547</v>
      </c>
      <c r="E193">
        <f ca="1"/>
        <v>-0.60378841418507434</v>
      </c>
      <c r="G193">
        <f ca="1"/>
        <v>1.2628488891025027</v>
      </c>
    </row>
    <row r="194" spans="3:7">
      <c r="C194">
        <f ca="1"/>
        <v>-9.3831851997863841E-2</v>
      </c>
      <c r="D194">
        <f ca="1"/>
        <v>-1.9103322368882607</v>
      </c>
      <c r="E194">
        <f ca="1"/>
        <v>-1.030801699809011</v>
      </c>
      <c r="G194">
        <f ca="1"/>
        <v>4.720725816073001</v>
      </c>
    </row>
    <row r="195" spans="3:7">
      <c r="C195">
        <f ca="1"/>
        <v>-0.3448441370791358</v>
      </c>
      <c r="D195">
        <f ca="1"/>
        <v>-1.7365237574342047</v>
      </c>
      <c r="E195">
        <f ca="1"/>
        <v>0.70812547107492352</v>
      </c>
      <c r="G195">
        <f ca="1"/>
        <v>3.6358739217963452</v>
      </c>
    </row>
    <row r="196" spans="3:7">
      <c r="C196">
        <f ca="1"/>
        <v>-0.27993448844574131</v>
      </c>
      <c r="D196">
        <f ca="1"/>
        <v>0.63180212286546067</v>
      </c>
      <c r="E196">
        <f ca="1"/>
        <v>0.53102528090000345</v>
      </c>
      <c r="G196">
        <f ca="1"/>
        <v>0.75952508923360917</v>
      </c>
    </row>
    <row r="197" spans="3:7">
      <c r="C197">
        <f ca="1"/>
        <v>-0.61634160279333072</v>
      </c>
      <c r="D197">
        <f ca="1"/>
        <v>0.61119595429657625</v>
      </c>
      <c r="E197">
        <f ca="1"/>
        <v>0.78316821887033383</v>
      </c>
      <c r="G197">
        <f ca="1"/>
        <v>1.3667899249308855</v>
      </c>
    </row>
    <row r="198" spans="3:7">
      <c r="C198">
        <f ca="1"/>
        <v>0.58743662195621571</v>
      </c>
      <c r="D198">
        <f ca="1"/>
        <v>-0.19936167853906225</v>
      </c>
      <c r="E198">
        <f ca="1"/>
        <v>0.34448920428864394</v>
      </c>
      <c r="G198">
        <f ca="1"/>
        <v>0.50349967555666542</v>
      </c>
    </row>
    <row r="199" spans="3:7">
      <c r="C199">
        <f ca="1"/>
        <v>-0.64920692499247945</v>
      </c>
      <c r="D199">
        <f ca="1"/>
        <v>-1.8190337009461892</v>
      </c>
      <c r="E199">
        <f ca="1"/>
        <v>0.76787814715020375</v>
      </c>
      <c r="G199">
        <f ca="1"/>
        <v>4.319990085507011</v>
      </c>
    </row>
    <row r="200" spans="3:7">
      <c r="C200">
        <f ca="1"/>
        <v>-0.29308344644164086</v>
      </c>
      <c r="D200">
        <f ca="1"/>
        <v>-0.37907681671337695</v>
      </c>
      <c r="E200">
        <f ca="1"/>
        <v>-0.75239298916352315</v>
      </c>
      <c r="G200">
        <f ca="1"/>
        <v>0.79569234969007885</v>
      </c>
    </row>
    <row r="201" spans="3:7">
      <c r="C201">
        <f ca="1"/>
        <v>-8.28671453084876E-2</v>
      </c>
      <c r="D201">
        <f ca="1"/>
        <v>-0.68875088046997202</v>
      </c>
      <c r="E201">
        <f ca="1"/>
        <v>0.37692040348911637</v>
      </c>
      <c r="G201">
        <f ca="1"/>
        <v>0.62331372968613796</v>
      </c>
    </row>
    <row r="202" spans="3:7">
      <c r="C202">
        <f ca="1"/>
        <v>0.52217887285181919</v>
      </c>
      <c r="D202">
        <f ca="1"/>
        <v>0.29382890928645561</v>
      </c>
      <c r="E202">
        <f ca="1"/>
        <v>1.2861203410027666</v>
      </c>
      <c r="G202">
        <f ca="1"/>
        <v>2.013111734726337</v>
      </c>
    </row>
    <row r="203" spans="3:7">
      <c r="C203">
        <f ca="1"/>
        <v>-0.87681912911522375</v>
      </c>
      <c r="D203">
        <f ca="1"/>
        <v>-1.1918879257187636</v>
      </c>
      <c r="E203">
        <f ca="1"/>
        <v>0.63742140210011011</v>
      </c>
      <c r="G203">
        <f ca="1"/>
        <v>2.5957146565118268</v>
      </c>
    </row>
    <row r="204" spans="3:7">
      <c r="C204">
        <f ca="1"/>
        <v>-0.62271861630503444</v>
      </c>
      <c r="D204">
        <f ca="1"/>
        <v>-0.82150655818383977</v>
      </c>
      <c r="E204">
        <f ca="1"/>
        <v>0.90064889759749667</v>
      </c>
      <c r="G204">
        <f ca="1"/>
        <v>1.8738199369755013</v>
      </c>
    </row>
    <row r="205" spans="3:7">
      <c r="C205">
        <f ca="1"/>
        <v>-0.43545946976928585</v>
      </c>
      <c r="D205">
        <f ca="1"/>
        <v>-1.0535123562964741</v>
      </c>
      <c r="E205">
        <f ca="1"/>
        <v>1.4208437001022207</v>
      </c>
      <c r="G205">
        <f ca="1"/>
        <v>3.3183100548012656</v>
      </c>
    </row>
    <row r="206" spans="3:7">
      <c r="C206">
        <f ca="1"/>
        <v>-0.11376180148154148</v>
      </c>
      <c r="D206">
        <f ca="1"/>
        <v>0.15429271234188199</v>
      </c>
      <c r="E206">
        <f ca="1"/>
        <v>-1.5789418674056375</v>
      </c>
      <c r="G206">
        <f ca="1"/>
        <v>2.5298054092045419</v>
      </c>
    </row>
    <row r="207" spans="3:7">
      <c r="C207">
        <f ca="1"/>
        <v>0.10712544089405318</v>
      </c>
      <c r="D207">
        <f ca="1"/>
        <v>-0.83356680786678905</v>
      </c>
      <c r="E207">
        <f ca="1"/>
        <v>-1.1468547267124898</v>
      </c>
      <c r="G207">
        <f ca="1"/>
        <v>2.0215852474467533</v>
      </c>
    </row>
    <row r="208" spans="3:7">
      <c r="C208">
        <f ca="1"/>
        <v>1.9829355821023005</v>
      </c>
      <c r="D208">
        <f ca="1"/>
        <v>-1.2096171579032962</v>
      </c>
      <c r="E208">
        <f ca="1"/>
        <v>1.3593077621518239</v>
      </c>
      <c r="G208">
        <f ca="1"/>
        <v>7.242924783707636</v>
      </c>
    </row>
    <row r="209" spans="3:7">
      <c r="C209">
        <f ca="1"/>
        <v>-1.063628092681667</v>
      </c>
      <c r="D209">
        <f ca="1"/>
        <v>-0.93126397288977392</v>
      </c>
      <c r="E209">
        <f ca="1"/>
        <v>-2.3593230106523264</v>
      </c>
      <c r="G209">
        <f ca="1"/>
        <v>7.5649623753376432</v>
      </c>
    </row>
    <row r="210" spans="3:7">
      <c r="C210">
        <f ca="1"/>
        <v>-2.9681301153845374</v>
      </c>
      <c r="D210">
        <f ca="1"/>
        <v>-0.36030685412189517</v>
      </c>
      <c r="E210">
        <f ca="1"/>
        <v>-0.52327168911751221</v>
      </c>
      <c r="G210">
        <f ca="1"/>
        <v>9.2134306716117376</v>
      </c>
    </row>
    <row r="211" spans="3:7">
      <c r="C211">
        <f ca="1"/>
        <v>-0.55530284912009087</v>
      </c>
      <c r="D211">
        <f ca="1"/>
        <v>-0.60181965736221177</v>
      </c>
      <c r="E211">
        <f ca="1"/>
        <v>0.15367358678624557</v>
      </c>
      <c r="G211">
        <f ca="1"/>
        <v>0.69416372550421013</v>
      </c>
    </row>
    <row r="212" spans="3:7">
      <c r="C212">
        <f ca="1"/>
        <v>0.21185467895840376</v>
      </c>
      <c r="D212">
        <f ca="1"/>
        <v>-0.76035351983317645</v>
      </c>
      <c r="E212">
        <f ca="1"/>
        <v>2.7720713033247977</v>
      </c>
      <c r="G212">
        <f ca="1"/>
        <v>8.3073991908361116</v>
      </c>
    </row>
    <row r="213" spans="3:7">
      <c r="C213">
        <f ca="1"/>
        <v>1.5939274496081233</v>
      </c>
      <c r="D213">
        <f ca="1"/>
        <v>-0.75551227183142844</v>
      </c>
      <c r="E213">
        <f ca="1"/>
        <v>-0.89784897822655241</v>
      </c>
      <c r="G213">
        <f ca="1"/>
        <v>3.9175362952046067</v>
      </c>
    </row>
    <row r="214" spans="3:7">
      <c r="C214">
        <f ca="1"/>
        <v>-0.20389225059415617</v>
      </c>
      <c r="D214">
        <f ca="1"/>
        <v>-1.1036950332479458</v>
      </c>
      <c r="E214">
        <f ca="1"/>
        <v>1.6406863776165603</v>
      </c>
      <c r="G214">
        <f ca="1"/>
        <v>3.9515665659650852</v>
      </c>
    </row>
    <row r="215" spans="3:7">
      <c r="C215">
        <f ca="1"/>
        <v>-0.66764540533716232</v>
      </c>
      <c r="D215">
        <f ca="1"/>
        <v>-0.56049455291473216</v>
      </c>
      <c r="E215">
        <f ca="1"/>
        <v>0.32430827367056775</v>
      </c>
      <c r="G215">
        <f ca="1"/>
        <v>0.86508038748609317</v>
      </c>
    </row>
    <row r="216" spans="3:7">
      <c r="C216">
        <f ca="1"/>
        <v>-2.4232726981509427</v>
      </c>
      <c r="D216">
        <f ca="1"/>
        <v>-1.3723959054739112</v>
      </c>
      <c r="E216">
        <f ca="1"/>
        <v>0.15198023995020402</v>
      </c>
      <c r="G216">
        <f ca="1"/>
        <v>7.7788190843006282</v>
      </c>
    </row>
    <row r="217" spans="3:7">
      <c r="C217">
        <f ca="1"/>
        <v>-0.14346484513306942</v>
      </c>
      <c r="D217">
        <f ca="1"/>
        <v>0.35992406861590837</v>
      </c>
      <c r="E217">
        <f ca="1"/>
        <v>-0.82114931946281966</v>
      </c>
      <c r="G217">
        <f ca="1"/>
        <v>0.82441370181233653</v>
      </c>
    </row>
    <row r="218" spans="3:7">
      <c r="C218">
        <f ca="1"/>
        <v>0.59908429861265822</v>
      </c>
      <c r="D218">
        <f ca="1"/>
        <v>-0.10168615698125322</v>
      </c>
      <c r="E218">
        <f ca="1"/>
        <v>0.25443955236857385</v>
      </c>
      <c r="G218">
        <f ca="1"/>
        <v>0.43398155717535691</v>
      </c>
    </row>
    <row r="219" spans="3:7">
      <c r="C219">
        <f ca="1"/>
        <v>1.1139191233128902</v>
      </c>
      <c r="D219">
        <f ca="1"/>
        <v>-0.24325986451019074</v>
      </c>
      <c r="E219">
        <f ca="1"/>
        <v>0.53661653971000389</v>
      </c>
      <c r="G219">
        <f ca="1"/>
        <v>1.5879484856540123</v>
      </c>
    </row>
    <row r="220" spans="3:7">
      <c r="C220">
        <f ca="1"/>
        <v>-0.70646352371364252</v>
      </c>
      <c r="D220">
        <f ca="1"/>
        <v>-1.0649012560454594</v>
      </c>
      <c r="E220">
        <f ca="1"/>
        <v>-0.5608588356188513</v>
      </c>
      <c r="G220">
        <f ca="1"/>
        <v>1.9476680289568271</v>
      </c>
    </row>
    <row r="221" spans="3:7">
      <c r="C221">
        <f ca="1"/>
        <v>-0.51379325141787313</v>
      </c>
      <c r="D221">
        <f ca="1"/>
        <v>0.18462352147187783</v>
      </c>
      <c r="E221">
        <f ca="1"/>
        <v>0.32870738186422477</v>
      </c>
      <c r="G221">
        <f ca="1"/>
        <v>0.40611789277526</v>
      </c>
    </row>
    <row r="222" spans="3:7">
      <c r="C222">
        <f ca="1"/>
        <v>1.1343405892970271</v>
      </c>
      <c r="D222">
        <f ca="1"/>
        <v>9.6852022944117641E-2</v>
      </c>
      <c r="E222">
        <f ca="1"/>
        <v>-0.93107387576965372</v>
      </c>
      <c r="G222">
        <f ca="1"/>
        <v>2.1630074490158191</v>
      </c>
    </row>
    <row r="223" spans="3:7">
      <c r="C223">
        <f ca="1"/>
        <v>0.31767463619795877</v>
      </c>
      <c r="D223">
        <f ca="1"/>
        <v>0.69358331846892418</v>
      </c>
      <c r="E223">
        <f ca="1"/>
        <v>-1.2369498161449805E-2</v>
      </c>
      <c r="G223">
        <f ca="1"/>
        <v>0.58212799862663667</v>
      </c>
    </row>
    <row r="224" spans="3:7">
      <c r="C224">
        <f ca="1"/>
        <v>0.65765760340836676</v>
      </c>
      <c r="D224">
        <f ca="1"/>
        <v>-0.44702229023979445</v>
      </c>
      <c r="E224">
        <f ca="1"/>
        <v>-7.0061681205253121E-2</v>
      </c>
      <c r="G224">
        <f ca="1"/>
        <v>0.6372510904653742</v>
      </c>
    </row>
    <row r="225" spans="3:7">
      <c r="C225">
        <f ca="1"/>
        <v>-0.25153607221157442</v>
      </c>
      <c r="D225">
        <f ca="1"/>
        <v>0.44649886899220204</v>
      </c>
      <c r="E225">
        <f ca="1"/>
        <v>0.71079129838627952</v>
      </c>
      <c r="G225">
        <f ca="1"/>
        <v>0.76785590549659499</v>
      </c>
    </row>
    <row r="226" spans="3:7">
      <c r="C226">
        <f ca="1"/>
        <v>0.79354843250072149</v>
      </c>
      <c r="D226">
        <f ca="1"/>
        <v>0.36797356781309143</v>
      </c>
      <c r="E226">
        <f ca="1"/>
        <v>-0.64166453323340766</v>
      </c>
      <c r="G226">
        <f ca="1"/>
        <v>1.1768570345430949</v>
      </c>
    </row>
    <row r="227" spans="3:7">
      <c r="C227">
        <f ca="1"/>
        <v>-1.1025211585902899</v>
      </c>
      <c r="D227">
        <f ca="1"/>
        <v>-0.81973938108711986</v>
      </c>
      <c r="E227">
        <f ca="1"/>
        <v>0.16071756392890713</v>
      </c>
      <c r="G227">
        <f ca="1"/>
        <v>1.9133556933996119</v>
      </c>
    </row>
    <row r="228" spans="3:7">
      <c r="C228">
        <f ca="1"/>
        <v>-0.22869501157808497</v>
      </c>
      <c r="D228">
        <f ca="1"/>
        <v>3.0060816399614308E-2</v>
      </c>
      <c r="E228">
        <f ca="1"/>
        <v>1.1695175810253153</v>
      </c>
      <c r="G228">
        <f ca="1"/>
        <v>1.4209764333306167</v>
      </c>
    </row>
    <row r="229" spans="3:7">
      <c r="C229">
        <f ca="1"/>
        <v>-1.1970430513208288</v>
      </c>
      <c r="D229">
        <f ca="1"/>
        <v>0.15253168603910033</v>
      </c>
      <c r="E229">
        <f ca="1"/>
        <v>-1.7853917947598208</v>
      </c>
      <c r="G229">
        <f ca="1"/>
        <v>4.6438018427571048</v>
      </c>
    </row>
    <row r="230" spans="3:7">
      <c r="C230">
        <f ca="1"/>
        <v>1.4976724300393141E-2</v>
      </c>
      <c r="D230">
        <f ca="1"/>
        <v>0.64773518740427594</v>
      </c>
      <c r="E230">
        <f ca="1"/>
        <v>-2.0865433811194739E-2</v>
      </c>
      <c r="G230">
        <f ca="1"/>
        <v>0.42022054160055178</v>
      </c>
    </row>
    <row r="231" spans="3:7">
      <c r="C231">
        <f ca="1"/>
        <v>-0.57024600406012271</v>
      </c>
      <c r="D231">
        <f ca="1"/>
        <v>1.2656945345194845</v>
      </c>
      <c r="E231">
        <f ca="1"/>
        <v>0.77756200056850733</v>
      </c>
      <c r="G231">
        <f ca="1"/>
        <v>2.5317658245871315</v>
      </c>
    </row>
    <row r="232" spans="3:7">
      <c r="C232">
        <f ca="1"/>
        <v>0.34732325949750736</v>
      </c>
      <c r="D232">
        <f ca="1"/>
        <v>0.43958007604589139</v>
      </c>
      <c r="E232">
        <f ca="1"/>
        <v>1.5995888763845592</v>
      </c>
      <c r="G232">
        <f ca="1"/>
        <v>2.8725486632977009</v>
      </c>
    </row>
    <row r="233" spans="3:7">
      <c r="C233">
        <f ca="1"/>
        <v>1.3924424962848083</v>
      </c>
      <c r="D233">
        <f ca="1"/>
        <v>0.56988738925063331</v>
      </c>
      <c r="E233">
        <f ca="1"/>
        <v>-1.2436069437104125</v>
      </c>
      <c r="G233">
        <f ca="1"/>
        <v>3.8102259723315246</v>
      </c>
    </row>
    <row r="234" spans="3:7">
      <c r="C234">
        <f ca="1"/>
        <v>-1.1538044761364736</v>
      </c>
      <c r="D234">
        <f ca="1"/>
        <v>0.30166349231414163</v>
      </c>
      <c r="E234">
        <f ca="1"/>
        <v>-0.3565394242093971</v>
      </c>
      <c r="G234">
        <f ca="1"/>
        <v>1.5493859927632949</v>
      </c>
    </row>
    <row r="235" spans="3:7">
      <c r="C235">
        <f ca="1"/>
        <v>-0.24988288902666797</v>
      </c>
      <c r="D235">
        <f ca="1"/>
        <v>-2.3269937571830885</v>
      </c>
      <c r="E235">
        <f ca="1"/>
        <v>1.5199885329053755</v>
      </c>
      <c r="G235">
        <f ca="1"/>
        <v>7.7877065443612157</v>
      </c>
    </row>
    <row r="236" spans="3:7">
      <c r="C236">
        <f ca="1"/>
        <v>-1.5303637920440591</v>
      </c>
      <c r="D236">
        <f ca="1"/>
        <v>8.4718240898037228E-2</v>
      </c>
      <c r="E236">
        <f ca="1"/>
        <v>-0.11758774802336217</v>
      </c>
      <c r="G236">
        <f ca="1"/>
        <v>2.363017394825536</v>
      </c>
    </row>
    <row r="237" spans="3:7">
      <c r="C237">
        <f ca="1"/>
        <v>-0.54197306665761802</v>
      </c>
      <c r="D237">
        <f ca="1"/>
        <v>-0.46251131713274807</v>
      </c>
      <c r="E237">
        <f ca="1"/>
        <v>-0.4648680202673135</v>
      </c>
      <c r="G237">
        <f ca="1"/>
        <v>0.72375379972538367</v>
      </c>
    </row>
    <row r="238" spans="3:7">
      <c r="C238">
        <f ca="1"/>
        <v>0.46483594255702132</v>
      </c>
      <c r="D238">
        <f ca="1"/>
        <v>7.4264484032504685E-2</v>
      </c>
      <c r="E238">
        <f ca="1"/>
        <v>-0.77822207298924206</v>
      </c>
      <c r="G238">
        <f ca="1"/>
        <v>0.82721726196916179</v>
      </c>
    </row>
    <row r="239" spans="3:7">
      <c r="C239">
        <f ca="1"/>
        <v>0.9691871051611709</v>
      </c>
      <c r="D239">
        <f ca="1"/>
        <v>-0.18179926850757253</v>
      </c>
      <c r="E239">
        <f ca="1"/>
        <v>-0.5815792869054377</v>
      </c>
      <c r="G239">
        <f ca="1"/>
        <v>1.3106090857980164</v>
      </c>
    </row>
    <row r="240" spans="3:7">
      <c r="C240">
        <f ca="1"/>
        <v>0.40095512827870655</v>
      </c>
      <c r="D240">
        <f ca="1"/>
        <v>0.63874427214856544</v>
      </c>
      <c r="E240">
        <f ca="1"/>
        <v>0.56332201995086795</v>
      </c>
      <c r="G240">
        <f ca="1"/>
        <v>0.8860909582571207</v>
      </c>
    </row>
    <row r="241" spans="3:7">
      <c r="C241">
        <f ca="1"/>
        <v>-1.1469888793522609</v>
      </c>
      <c r="D241">
        <f ca="1"/>
        <v>-1.4850188757786793</v>
      </c>
      <c r="E241">
        <f ca="1"/>
        <v>-1.152134481846584</v>
      </c>
      <c r="G241">
        <f ca="1"/>
        <v>4.8482784150366243</v>
      </c>
    </row>
    <row r="242" spans="3:7">
      <c r="C242">
        <f ca="1"/>
        <v>-2.718551580798243</v>
      </c>
      <c r="D242">
        <f ca="1"/>
        <v>-0.76204615872437631</v>
      </c>
      <c r="E242">
        <f ca="1"/>
        <v>1.0216226626117226</v>
      </c>
      <c r="G242">
        <f ca="1"/>
        <v>9.0149499102490687</v>
      </c>
    </row>
    <row r="243" spans="3:7">
      <c r="C243">
        <f ca="1"/>
        <v>-3.3848407691470177E-2</v>
      </c>
      <c r="D243">
        <f ca="1"/>
        <v>-9.1548741541013959E-2</v>
      </c>
      <c r="E243">
        <f ca="1"/>
        <v>-1.3686700278354988</v>
      </c>
      <c r="G243">
        <f ca="1"/>
        <v>1.8827845318762166</v>
      </c>
    </row>
    <row r="244" spans="3:7">
      <c r="C244">
        <f ca="1"/>
        <v>1.3179030266508538</v>
      </c>
      <c r="D244">
        <f ca="1"/>
        <v>0.30142188567223754</v>
      </c>
      <c r="E244">
        <f ca="1"/>
        <v>4.9765945610959601E-2</v>
      </c>
      <c r="G244">
        <f ca="1"/>
        <v>1.8302001901602416</v>
      </c>
    </row>
    <row r="245" spans="3:7">
      <c r="C245">
        <f ca="1"/>
        <v>2.0090644863561671E-2</v>
      </c>
      <c r="D245">
        <f ca="1"/>
        <v>0.56160149472195331</v>
      </c>
      <c r="E245">
        <f ca="1"/>
        <v>-8.5325212605048509E-2</v>
      </c>
      <c r="G245">
        <f ca="1"/>
        <v>0.32308026479106267</v>
      </c>
    </row>
    <row r="246" spans="3:7">
      <c r="C246">
        <f ca="1"/>
        <v>1.1093843732279898</v>
      </c>
      <c r="D246">
        <f ca="1"/>
        <v>-0.63890596037577563</v>
      </c>
      <c r="E246">
        <f ca="1"/>
        <v>1.0511075450479996</v>
      </c>
      <c r="G246">
        <f ca="1"/>
        <v>2.7437615850229848</v>
      </c>
    </row>
    <row r="247" spans="3:7">
      <c r="C247">
        <f ca="1"/>
        <v>0.71977427709537911</v>
      </c>
      <c r="D247">
        <f ca="1"/>
        <v>-1.4890453897337723</v>
      </c>
      <c r="E247">
        <f ca="1"/>
        <v>2.602660434379565E-2</v>
      </c>
      <c r="G247">
        <f ca="1"/>
        <v>2.7360085667892462</v>
      </c>
    </row>
    <row r="248" spans="3:7">
      <c r="C248">
        <f ca="1"/>
        <v>0.21400293592228592</v>
      </c>
      <c r="D248">
        <f ca="1"/>
        <v>-0.51733708104350118</v>
      </c>
      <c r="E248">
        <f ca="1"/>
        <v>-1.0666852443847705</v>
      </c>
      <c r="G248">
        <f ca="1"/>
        <v>1.4512523225941656</v>
      </c>
    </row>
    <row r="249" spans="3:7">
      <c r="C249">
        <f ca="1"/>
        <v>0.23126333904797342</v>
      </c>
      <c r="D249">
        <f ca="1"/>
        <v>0.61338780653285341</v>
      </c>
      <c r="E249">
        <f ca="1"/>
        <v>0.13303506725268616</v>
      </c>
      <c r="G249">
        <f ca="1"/>
        <v>0.4474256623097298</v>
      </c>
    </row>
    <row r="250" spans="3:7">
      <c r="C250">
        <f ca="1"/>
        <v>-1.02594251282268</v>
      </c>
      <c r="D250">
        <f ca="1"/>
        <v>0.86842321822840507</v>
      </c>
      <c r="E250">
        <f ca="1"/>
        <v>-0.3917311031391944</v>
      </c>
      <c r="G250">
        <f ca="1"/>
        <v>1.9601701827417453</v>
      </c>
    </row>
    <row r="251" spans="3:7">
      <c r="C251">
        <f ca="1"/>
        <v>-1.7039119501872013</v>
      </c>
      <c r="D251">
        <f ca="1"/>
        <v>0.54367589039098296</v>
      </c>
      <c r="E251">
        <f ca="1"/>
        <v>-1.7535966923526949</v>
      </c>
      <c r="G251">
        <f ca="1"/>
        <v>6.2740007672134919</v>
      </c>
    </row>
    <row r="252" spans="3:7">
      <c r="C252">
        <f ca="1"/>
        <v>-0.50137806073914637</v>
      </c>
      <c r="D252">
        <f ca="1"/>
        <v>0.45044131178729296</v>
      </c>
      <c r="E252">
        <f ca="1"/>
        <v>1.0311655549648191</v>
      </c>
      <c r="G252">
        <f ca="1"/>
        <v>1.5175797369011077</v>
      </c>
    </row>
    <row r="253" spans="3:7">
      <c r="C253">
        <f ca="1"/>
        <v>0.17321720787639869</v>
      </c>
      <c r="D253">
        <f ca="1"/>
        <v>0.83922183413625684</v>
      </c>
      <c r="E253">
        <f ca="1"/>
        <v>1.8733977736257745</v>
      </c>
      <c r="G253">
        <f ca="1"/>
        <v>4.2439167062215271</v>
      </c>
    </row>
    <row r="254" spans="3:7">
      <c r="C254">
        <f ca="1"/>
        <v>0.33235627117952027</v>
      </c>
      <c r="D254">
        <f ca="1"/>
        <v>0.25957650133194016</v>
      </c>
      <c r="E254">
        <f ca="1"/>
        <v>-0.86681960241585643</v>
      </c>
      <c r="G254">
        <f ca="1"/>
        <v>0.92921687416846899</v>
      </c>
    </row>
    <row r="255" spans="3:7">
      <c r="C255">
        <f ca="1"/>
        <v>-0.83585600246096559</v>
      </c>
      <c r="D255">
        <f ca="1"/>
        <v>-0.85310053372925598</v>
      </c>
      <c r="E255">
        <f ca="1"/>
        <v>2.442332294204439</v>
      </c>
      <c r="G255">
        <f ca="1"/>
        <v>7.3914228128130857</v>
      </c>
    </row>
    <row r="256" spans="3:7">
      <c r="C256">
        <f ca="1"/>
        <v>-0.94882995097696698</v>
      </c>
      <c r="D256">
        <f ca="1"/>
        <v>0.93151620922464273</v>
      </c>
      <c r="E256">
        <f ca="1"/>
        <v>-4.183788708162009E-2</v>
      </c>
      <c r="G256">
        <f ca="1"/>
        <v>1.7697511327146562</v>
      </c>
    </row>
    <row r="257" spans="3:7">
      <c r="C257">
        <f ca="1"/>
        <v>1.0541947769529176</v>
      </c>
      <c r="D257">
        <f ca="1"/>
        <v>0.97264680822349803</v>
      </c>
      <c r="E257">
        <f ca="1"/>
        <v>0.46377967848553248</v>
      </c>
      <c r="G257">
        <f ca="1"/>
        <v>2.2724600314783139</v>
      </c>
    </row>
    <row r="258" spans="3:7">
      <c r="C258">
        <f ca="1"/>
        <v>0.4359727907620119</v>
      </c>
      <c r="D258">
        <f ca="1"/>
        <v>0.499580685721285</v>
      </c>
      <c r="E258">
        <f ca="1"/>
        <v>0.61842429337967519</v>
      </c>
      <c r="G258">
        <f ca="1"/>
        <v>0.82210174247271683</v>
      </c>
    </row>
    <row r="259" spans="3:7">
      <c r="C259">
        <f ca="1"/>
        <v>0.56239690064069425</v>
      </c>
      <c r="D259">
        <f ca="1"/>
        <v>-1.2710547136122385</v>
      </c>
      <c r="E259">
        <f ca="1"/>
        <v>-1.0273817014361382</v>
      </c>
      <c r="G259">
        <f ca="1"/>
        <v>2.9873835192919627</v>
      </c>
    </row>
    <row r="260" spans="3:7">
      <c r="C260">
        <f ca="1"/>
        <v>-0.92583323466575229</v>
      </c>
      <c r="D260">
        <f ca="1"/>
        <v>-0.53640471546646395</v>
      </c>
      <c r="E260">
        <f ca="1"/>
        <v>1.5298155867576628</v>
      </c>
      <c r="G260">
        <f ca="1"/>
        <v>3.485232926673</v>
      </c>
    </row>
    <row r="261" spans="3:7">
      <c r="C261">
        <f ca="1"/>
        <v>-3.1983786819529477E-3</v>
      </c>
      <c r="D261">
        <f ca="1"/>
        <v>2.0200655597494319</v>
      </c>
      <c r="E261">
        <f ca="1"/>
        <v>-1.2732087169377257</v>
      </c>
      <c r="G261">
        <f ca="1"/>
        <v>5.7017355321981888</v>
      </c>
    </row>
    <row r="262" spans="3:7">
      <c r="C262">
        <f ca="1"/>
        <v>0.79574060744734831</v>
      </c>
      <c r="D262">
        <f ca="1"/>
        <v>-0.75037693507498482</v>
      </c>
      <c r="E262">
        <f ca="1"/>
        <v>1.3946120218345013</v>
      </c>
      <c r="G262">
        <f ca="1"/>
        <v>3.1412113504785184</v>
      </c>
    </row>
    <row r="263" spans="3:7">
      <c r="C263">
        <f ca="1"/>
        <v>-0.33081119512810464</v>
      </c>
      <c r="D263">
        <f ca="1"/>
        <v>-1.8489319075317054</v>
      </c>
      <c r="E263">
        <f ca="1"/>
        <v>-1.0533678932546811</v>
      </c>
      <c r="G263">
        <f ca="1"/>
        <v>4.6375691640507206</v>
      </c>
    </row>
    <row r="264" spans="3:7">
      <c r="C264">
        <f ca="1"/>
        <v>0.20807985036146068</v>
      </c>
      <c r="D264">
        <f ca="1"/>
        <v>-2.0685508079273061</v>
      </c>
      <c r="E264">
        <f ca="1"/>
        <v>-6.732897657557961E-2</v>
      </c>
      <c r="G264">
        <f ca="1"/>
        <v>4.3267328601898738</v>
      </c>
    </row>
    <row r="265" spans="3:7">
      <c r="C265">
        <f ca="1"/>
        <v>0.56496149140970164</v>
      </c>
      <c r="D265">
        <f ca="1"/>
        <v>1.6718905377570605</v>
      </c>
      <c r="E265">
        <f ca="1"/>
        <v>-7.7822829491487444E-2</v>
      </c>
      <c r="G265">
        <f ca="1"/>
        <v>3.1204558498075281</v>
      </c>
    </row>
    <row r="266" spans="3:7">
      <c r="C266">
        <f ca="1"/>
        <v>9.6513561603386491E-2</v>
      </c>
      <c r="D266">
        <f ca="1"/>
        <v>6.9568502666289131E-3</v>
      </c>
      <c r="E266">
        <f ca="1"/>
        <v>-0.5018744371104108</v>
      </c>
      <c r="G266">
        <f ca="1"/>
        <v>0.26124121596389471</v>
      </c>
    </row>
    <row r="267" spans="3:7">
      <c r="C267">
        <f ca="1"/>
        <v>-6.6143978343265977E-2</v>
      </c>
      <c r="D267">
        <f ca="1"/>
        <v>0.19243395688432013</v>
      </c>
      <c r="E267">
        <f ca="1"/>
        <v>0.35094195792945498</v>
      </c>
      <c r="G267">
        <f ca="1"/>
        <v>0.16456611146859018</v>
      </c>
    </row>
    <row r="268" spans="3:7">
      <c r="C268">
        <f ca="1"/>
        <v>-0.95525190500233981</v>
      </c>
      <c r="D268">
        <f ca="1"/>
        <v>1.5904187203547269</v>
      </c>
      <c r="E268">
        <f ca="1"/>
        <v>0.38814738861112014</v>
      </c>
      <c r="G268">
        <f ca="1"/>
        <v>3.592596303350998</v>
      </c>
    </row>
    <row r="269" spans="3:7">
      <c r="C269">
        <f ca="1"/>
        <v>3.233595507763129E-2</v>
      </c>
      <c r="D269">
        <f ca="1"/>
        <v>0.39015148041298209</v>
      </c>
      <c r="E269">
        <f ca="1"/>
        <v>-0.53238079309405872</v>
      </c>
      <c r="G269">
        <f ca="1"/>
        <v>0.43669310051468313</v>
      </c>
    </row>
    <row r="270" spans="3:7">
      <c r="C270">
        <f ca="1"/>
        <v>0.58240996240682485</v>
      </c>
      <c r="D270">
        <f ca="1"/>
        <v>-0.44196349279151897</v>
      </c>
      <c r="E270">
        <f ca="1"/>
        <v>-7.5640239602025303E-2</v>
      </c>
      <c r="G270">
        <f ca="1"/>
        <v>0.54025453911824994</v>
      </c>
    </row>
    <row r="271" spans="3:7">
      <c r="C271">
        <f ca="1"/>
        <v>1.704421321915075</v>
      </c>
      <c r="D271">
        <f ca="1"/>
        <v>-0.80934667906824831</v>
      </c>
      <c r="E271">
        <f ca="1"/>
        <v>-1.3024201794277122</v>
      </c>
      <c r="G271">
        <f ca="1"/>
        <v>5.2563924132980473</v>
      </c>
    </row>
    <row r="272" spans="3:7">
      <c r="C272">
        <f ca="1"/>
        <v>1.6375911963492709</v>
      </c>
      <c r="D272">
        <f ca="1"/>
        <v>0.47874291246364153</v>
      </c>
      <c r="E272">
        <f ca="1"/>
        <v>-1.0518265998661895</v>
      </c>
      <c r="G272">
        <f ca="1"/>
        <v>4.0172388987808754</v>
      </c>
    </row>
    <row r="273" spans="3:7">
      <c r="C273">
        <f ca="1"/>
        <v>-0.88309219870978306</v>
      </c>
      <c r="D273">
        <f ca="1"/>
        <v>-0.9324699073961068</v>
      </c>
      <c r="E273">
        <f ca="1"/>
        <v>1.1546276640337452</v>
      </c>
      <c r="G273">
        <f ca="1"/>
        <v>2.982517002173406</v>
      </c>
    </row>
    <row r="274" spans="3:7">
      <c r="C274">
        <f ca="1"/>
        <v>-0.60852580107484122</v>
      </c>
      <c r="D274">
        <f ca="1"/>
        <v>0.60008450828259052</v>
      </c>
      <c r="E274">
        <f ca="1"/>
        <v>1.7393514383143223</v>
      </c>
      <c r="G274">
        <f ca="1"/>
        <v>3.7557484936206373</v>
      </c>
    </row>
    <row r="275" spans="3:7">
      <c r="C275">
        <f ca="1"/>
        <v>-0.8187654556792715</v>
      </c>
      <c r="D275">
        <f ca="1"/>
        <v>0.39543693983899997</v>
      </c>
      <c r="E275">
        <f ca="1"/>
        <v>0.78414379885456176</v>
      </c>
      <c r="G275">
        <f ca="1"/>
        <v>1.4416287420849814</v>
      </c>
    </row>
    <row r="276" spans="3:7">
      <c r="C276">
        <f ca="1"/>
        <v>-0.57036978706665542</v>
      </c>
      <c r="D276">
        <f ca="1"/>
        <v>1.5337690848076391</v>
      </c>
      <c r="E276">
        <f ca="1"/>
        <v>1.6365268101193817</v>
      </c>
      <c r="G276">
        <f ca="1"/>
        <v>5.355989299749643</v>
      </c>
    </row>
    <row r="277" spans="3:7">
      <c r="C277">
        <f ca="1"/>
        <v>0.69127203902359691</v>
      </c>
      <c r="D277">
        <f ca="1"/>
        <v>-1.1817193368769834</v>
      </c>
      <c r="E277">
        <f ca="1"/>
        <v>-0.42832149285842619</v>
      </c>
      <c r="G277">
        <f ca="1"/>
        <v>2.0577769243292896</v>
      </c>
    </row>
    <row r="278" spans="3:7">
      <c r="C278">
        <f ca="1"/>
        <v>0.1299468784100124</v>
      </c>
      <c r="D278">
        <f ca="1"/>
        <v>0.47031909215478263</v>
      </c>
      <c r="E278">
        <f ca="1"/>
        <v>-6.163763861154687E-2</v>
      </c>
      <c r="G278">
        <f ca="1"/>
        <v>0.24188543814741312</v>
      </c>
    </row>
    <row r="279" spans="3:7">
      <c r="C279">
        <f ca="1"/>
        <v>-0.84308729155077256</v>
      </c>
      <c r="D279">
        <f ca="1"/>
        <v>-0.45180553361509529</v>
      </c>
      <c r="E279">
        <f ca="1"/>
        <v>0.38332324858310773</v>
      </c>
      <c r="G279">
        <f ca="1"/>
        <v>1.0618611342839455</v>
      </c>
    </row>
    <row r="280" spans="3:7">
      <c r="C280">
        <f ca="1"/>
        <v>-0.63443199520875249</v>
      </c>
      <c r="D280">
        <f ca="1"/>
        <v>0.58632642839785776</v>
      </c>
      <c r="E280">
        <f ca="1"/>
        <v>1.094605677153879</v>
      </c>
      <c r="G280">
        <f ca="1"/>
        <v>1.9444442256398489</v>
      </c>
    </row>
    <row r="281" spans="3:7">
      <c r="C281">
        <f ca="1"/>
        <v>-0.92676926225492484</v>
      </c>
      <c r="D281">
        <f ca="1"/>
        <v>-0.75055444226787493</v>
      </c>
      <c r="E281">
        <f ca="1"/>
        <v>0.91906394402091773</v>
      </c>
      <c r="G281">
        <f ca="1"/>
        <v>2.2669117694678631</v>
      </c>
    </row>
    <row r="282" spans="3:7">
      <c r="C282">
        <f ca="1"/>
        <v>-1.4133040830744898</v>
      </c>
      <c r="D282">
        <f ca="1"/>
        <v>-7.4932276012944169E-3</v>
      </c>
      <c r="E282">
        <f ca="1"/>
        <v>0.5525726331293439</v>
      </c>
      <c r="G282">
        <f ca="1"/>
        <v>2.3028210945784058</v>
      </c>
    </row>
    <row r="283" spans="3:7">
      <c r="C283">
        <f ca="1"/>
        <v>1.0388977386826035</v>
      </c>
      <c r="D283">
        <f ca="1"/>
        <v>-1.5551676222103394</v>
      </c>
      <c r="E283">
        <f ca="1"/>
        <v>8.4741415440114223E-2</v>
      </c>
      <c r="G283">
        <f ca="1"/>
        <v>3.5050359521019825</v>
      </c>
    </row>
    <row r="284" spans="3:7">
      <c r="C284">
        <f ca="1"/>
        <v>0.61704149640559913</v>
      </c>
      <c r="D284">
        <f ca="1"/>
        <v>-2.2880090867376368</v>
      </c>
      <c r="E284">
        <f ca="1"/>
        <v>0.11145989458906844</v>
      </c>
      <c r="G284">
        <f ca="1"/>
        <v>5.6281490973822628</v>
      </c>
    </row>
    <row r="285" spans="3:7">
      <c r="C285">
        <f ca="1"/>
        <v>0.31912151804898092</v>
      </c>
      <c r="D285">
        <f ca="1"/>
        <v>-0.83820341914339047</v>
      </c>
      <c r="E285">
        <f ca="1"/>
        <v>-7.088271003063823E-2</v>
      </c>
      <c r="G285">
        <f ca="1"/>
        <v>0.8094478737268439</v>
      </c>
    </row>
    <row r="286" spans="3:7">
      <c r="C286">
        <f ca="1"/>
        <v>-0.1269972237527455</v>
      </c>
      <c r="D286">
        <f ca="1"/>
        <v>1.2788032092375836E-2</v>
      </c>
      <c r="E286">
        <f ca="1"/>
        <v>-1.2133581770379729</v>
      </c>
      <c r="G286">
        <f ca="1"/>
        <v>1.4885298943906133</v>
      </c>
    </row>
    <row r="287" spans="3:7">
      <c r="C287">
        <f ca="1"/>
        <v>1.1176821908132042</v>
      </c>
      <c r="D287">
        <f ca="1"/>
        <v>0.22310122868958157</v>
      </c>
      <c r="E287">
        <f ca="1"/>
        <v>0.32789034516726229</v>
      </c>
      <c r="G287">
        <f ca="1"/>
        <v>1.4064997163577111</v>
      </c>
    </row>
    <row r="288" spans="3:7">
      <c r="C288">
        <f ca="1"/>
        <v>2.2088442997460747</v>
      </c>
      <c r="D288">
        <f ca="1"/>
        <v>0.51082858018779664</v>
      </c>
      <c r="E288">
        <f ca="1"/>
        <v>-0.1822851328013213</v>
      </c>
      <c r="G288">
        <f ca="1"/>
        <v>5.1731668484978028</v>
      </c>
    </row>
    <row r="289" spans="3:7">
      <c r="C289">
        <f ca="1"/>
        <v>0.90851076714731482</v>
      </c>
      <c r="D289">
        <f ca="1"/>
        <v>1.6181239802515322E-2</v>
      </c>
      <c r="E289">
        <f ca="1"/>
        <v>9.2125889166554426E-2</v>
      </c>
      <c r="G289">
        <f ca="1"/>
        <v>0.8341408259988774</v>
      </c>
    </row>
    <row r="290" spans="3:7">
      <c r="C290">
        <f ca="1"/>
        <v>-1.0597844967401535</v>
      </c>
      <c r="D290">
        <f ca="1"/>
        <v>2.2394906188925319</v>
      </c>
      <c r="E290">
        <f ca="1"/>
        <v>-0.44033330680654076</v>
      </c>
      <c r="G290">
        <f ca="1"/>
        <v>6.3323548327216193</v>
      </c>
    </row>
    <row r="291" spans="3:7">
      <c r="C291">
        <f ca="1"/>
        <v>-0.25359084880111449</v>
      </c>
      <c r="D291">
        <f ca="1"/>
        <v>0.78266335307588986</v>
      </c>
      <c r="E291">
        <f ca="1"/>
        <v>0.96238168043262917</v>
      </c>
      <c r="G291">
        <f ca="1"/>
        <v>1.603048741675996</v>
      </c>
    </row>
    <row r="292" spans="3:7">
      <c r="C292">
        <f ca="1"/>
        <v>-0.24462225801283449</v>
      </c>
      <c r="D292">
        <f ca="1"/>
        <v>0.30652167716255646</v>
      </c>
      <c r="E292">
        <f ca="1"/>
        <v>-1.1519572742508091</v>
      </c>
      <c r="G292">
        <f ca="1"/>
        <v>1.480801149385198</v>
      </c>
    </row>
    <row r="293" spans="3:7">
      <c r="C293">
        <f ca="1"/>
        <v>0.92277739692463201</v>
      </c>
      <c r="D293">
        <f ca="1"/>
        <v>-8.5735186357620619E-2</v>
      </c>
      <c r="E293">
        <f ca="1"/>
        <v>0.55236138164732862</v>
      </c>
      <c r="G293">
        <f ca="1"/>
        <v>1.1639717423901217</v>
      </c>
    </row>
    <row r="294" spans="3:7">
      <c r="C294">
        <f ca="1"/>
        <v>-1.2220811050113494</v>
      </c>
      <c r="D294">
        <f ca="1"/>
        <v>0.64692158896853846</v>
      </c>
      <c r="E294">
        <f ca="1"/>
        <v>0.59279571290369926</v>
      </c>
      <c r="G294">
        <f ca="1"/>
        <v>2.2633965267363445</v>
      </c>
    </row>
    <row r="295" spans="3:7">
      <c r="C295">
        <f ca="1"/>
        <v>-0.80510559102081058</v>
      </c>
      <c r="D295">
        <f ca="1"/>
        <v>0.605652902269321</v>
      </c>
      <c r="E295">
        <f ca="1"/>
        <v>-0.29335052948600798</v>
      </c>
      <c r="G295">
        <f ca="1"/>
        <v>1.1010649838699418</v>
      </c>
    </row>
    <row r="296" spans="3:7">
      <c r="C296">
        <f ca="1"/>
        <v>-4.6025264951017039E-2</v>
      </c>
      <c r="D296">
        <f ca="1"/>
        <v>-0.41475155611124515</v>
      </c>
      <c r="E296">
        <f ca="1"/>
        <v>-0.43561312945160352</v>
      </c>
      <c r="G296">
        <f ca="1"/>
        <v>0.36389597686113012</v>
      </c>
    </row>
    <row r="297" spans="3:7">
      <c r="C297">
        <f ca="1"/>
        <v>1.8015288822315887</v>
      </c>
      <c r="D297">
        <f ca="1"/>
        <v>-9.6198251291254547E-2</v>
      </c>
      <c r="E297">
        <f ca="1"/>
        <v>1.8780905409415951</v>
      </c>
      <c r="G297">
        <f ca="1"/>
        <v>6.7819844970403853</v>
      </c>
    </row>
    <row r="298" spans="3:7">
      <c r="C298">
        <f ca="1"/>
        <v>0.112246216577524</v>
      </c>
      <c r="D298">
        <f ca="1"/>
        <v>-0.19095500111983865</v>
      </c>
      <c r="E298">
        <f ca="1"/>
        <v>1.2286123057621845</v>
      </c>
      <c r="G298">
        <f ca="1"/>
        <v>1.5585512234589174</v>
      </c>
    </row>
    <row r="299" spans="3:7">
      <c r="C299">
        <f ca="1"/>
        <v>-0.1157706515080372</v>
      </c>
      <c r="D299">
        <f ca="1"/>
        <v>-0.19859325794752405</v>
      </c>
      <c r="E299">
        <f ca="1"/>
        <v>-0.35712583925868302</v>
      </c>
      <c r="G299">
        <f ca="1"/>
        <v>0.18038099091902593</v>
      </c>
    </row>
    <row r="300" spans="3:7">
      <c r="C300">
        <f ca="1"/>
        <v>0.26403407092733389</v>
      </c>
      <c r="D300">
        <f ca="1"/>
        <v>-0.88531224406672193</v>
      </c>
      <c r="E300">
        <f ca="1"/>
        <v>-1.085873145373323</v>
      </c>
      <c r="G300">
        <f ca="1"/>
        <v>2.0326122479478692</v>
      </c>
    </row>
    <row r="301" spans="3:7">
      <c r="C301">
        <f ca="1"/>
        <v>-0.47162583501467253</v>
      </c>
      <c r="D301">
        <f ca="1"/>
        <v>0.738472611113695</v>
      </c>
      <c r="E301">
        <f ca="1"/>
        <v>0.41195506116502001</v>
      </c>
      <c r="G301">
        <f ca="1"/>
        <v>0.93747969803784115</v>
      </c>
    </row>
    <row r="302" spans="3:7">
      <c r="C302">
        <f ca="1"/>
        <v>-0.3253481749702819</v>
      </c>
      <c r="D302">
        <f ca="1"/>
        <v>0.54400214404060798</v>
      </c>
      <c r="E302">
        <f ca="1"/>
        <v>0.79500003051191603</v>
      </c>
      <c r="G302">
        <f ca="1"/>
        <v>1.0338148161912191</v>
      </c>
    </row>
    <row r="303" spans="3:7">
      <c r="C303">
        <f ca="1"/>
        <v>-0.46090878622348308</v>
      </c>
      <c r="D303">
        <f ca="1"/>
        <v>-0.20409403230176357</v>
      </c>
      <c r="E303">
        <f ca="1"/>
        <v>-1.4904928486891811</v>
      </c>
      <c r="G303">
        <f ca="1"/>
        <v>2.4756602152327876</v>
      </c>
    </row>
    <row r="304" spans="3:7">
      <c r="C304">
        <f ca="1"/>
        <v>0.30001259382341905</v>
      </c>
      <c r="D304">
        <f ca="1"/>
        <v>4.6823248521066209E-2</v>
      </c>
      <c r="E304">
        <f ca="1"/>
        <v>-1.7434931935500821</v>
      </c>
      <c r="G304">
        <f ca="1"/>
        <v>3.1319684890101853</v>
      </c>
    </row>
    <row r="305" spans="3:7">
      <c r="C305">
        <f ca="1"/>
        <v>0.91724023777096364</v>
      </c>
      <c r="D305">
        <f ca="1"/>
        <v>0.75333961407076488</v>
      </c>
      <c r="E305">
        <f ca="1"/>
        <v>-0.44320232063345211</v>
      </c>
      <c r="G305">
        <f ca="1"/>
        <v>1.6052785249293002</v>
      </c>
    </row>
    <row r="306" spans="3:7">
      <c r="C306">
        <f ca="1"/>
        <v>1.5824111010357698</v>
      </c>
      <c r="D306">
        <f ca="1"/>
        <v>-0.63352401343707931</v>
      </c>
      <c r="E306">
        <f ca="1"/>
        <v>-0.81769399688318312</v>
      </c>
      <c r="G306">
        <f ca="1"/>
        <v>3.5740010408214569</v>
      </c>
    </row>
    <row r="307" spans="3:7">
      <c r="C307">
        <f ca="1"/>
        <v>-0.87855931177861368</v>
      </c>
      <c r="D307">
        <f ca="1"/>
        <v>0.65857448388452444</v>
      </c>
      <c r="E307">
        <f ca="1"/>
        <v>2.9072749542208818E-2</v>
      </c>
      <c r="G307">
        <f ca="1"/>
        <v>1.2064320399026232</v>
      </c>
    </row>
    <row r="308" spans="3:7">
      <c r="C308">
        <f ca="1"/>
        <v>0.29029486617389888</v>
      </c>
      <c r="D308">
        <f ca="1"/>
        <v>0.20083103680308026</v>
      </c>
      <c r="E308">
        <f ca="1"/>
        <v>-0.93267423908478098</v>
      </c>
      <c r="G308">
        <f ca="1"/>
        <v>0.99448545092269724</v>
      </c>
    </row>
    <row r="309" spans="3:7">
      <c r="C309">
        <f ca="1"/>
        <v>0.32623296841393434</v>
      </c>
      <c r="D309">
        <f ca="1"/>
        <v>0.2222991267843242</v>
      </c>
      <c r="E309">
        <f ca="1"/>
        <v>-5.7512343349733763E-2</v>
      </c>
      <c r="G309">
        <f ca="1"/>
        <v>0.15915252108681779</v>
      </c>
    </row>
    <row r="310" spans="3:7">
      <c r="C310">
        <f ca="1"/>
        <v>-0.94979139986240269</v>
      </c>
      <c r="D310">
        <f ca="1"/>
        <v>-2.2216041036586511</v>
      </c>
      <c r="E310">
        <f ca="1"/>
        <v>0.25663816220457059</v>
      </c>
      <c r="G310">
        <f ca="1"/>
        <v>5.9034916429452808</v>
      </c>
    </row>
    <row r="311" spans="3:7">
      <c r="C311">
        <f ca="1"/>
        <v>1.590397723479404</v>
      </c>
      <c r="D311">
        <f ca="1"/>
        <v>-0.64182636744174415</v>
      </c>
      <c r="E311">
        <f ca="1"/>
        <v>0.60385695756921709</v>
      </c>
      <c r="G311">
        <f ca="1"/>
        <v>3.3059492299966871</v>
      </c>
    </row>
    <row r="312" spans="3:7">
      <c r="C312">
        <f ca="1"/>
        <v>0.50989778470325264</v>
      </c>
      <c r="D312">
        <f ca="1"/>
        <v>0.73990116500645131</v>
      </c>
      <c r="E312">
        <f ca="1"/>
        <v>-0.86946355437200684</v>
      </c>
      <c r="G312">
        <f ca="1"/>
        <v>1.5634163572043922</v>
      </c>
    </row>
    <row r="313" spans="3:7">
      <c r="C313">
        <f ca="1"/>
        <v>-1.2995999694462728</v>
      </c>
      <c r="D313">
        <f ca="1"/>
        <v>1.1032791896063494</v>
      </c>
      <c r="E313">
        <f ca="1"/>
        <v>1.1826641776383955</v>
      </c>
      <c r="G313">
        <f ca="1"/>
        <v>4.304879607872298</v>
      </c>
    </row>
    <row r="314" spans="3:7">
      <c r="C314">
        <f ca="1"/>
        <v>1.3223992669504685</v>
      </c>
      <c r="D314">
        <f ca="1"/>
        <v>-0.9695300196477481</v>
      </c>
      <c r="E314">
        <f ca="1"/>
        <v>-1.4440372455034416</v>
      </c>
      <c r="G314">
        <f ca="1"/>
        <v>4.7739718466304666</v>
      </c>
    </row>
    <row r="315" spans="3:7">
      <c r="C315">
        <f ca="1"/>
        <v>1.4639509111633371</v>
      </c>
      <c r="D315">
        <f ca="1"/>
        <v>-0.64354279815536808</v>
      </c>
      <c r="E315">
        <f ca="1"/>
        <v>1.2964563247739795</v>
      </c>
      <c r="G315">
        <f ca="1"/>
        <v>4.2380986054000598</v>
      </c>
    </row>
    <row r="316" spans="3:7">
      <c r="C316">
        <f ca="1"/>
        <v>-0.29121962256979084</v>
      </c>
      <c r="D316">
        <f ca="1"/>
        <v>0.50720601582577662</v>
      </c>
      <c r="E316">
        <f ca="1"/>
        <v>-0.81062031092383635</v>
      </c>
      <c r="G316">
        <f ca="1"/>
        <v>0.99917209954180652</v>
      </c>
    </row>
    <row r="317" spans="3:7">
      <c r="C317">
        <f ca="1"/>
        <v>-0.53456991880580462</v>
      </c>
      <c r="D317">
        <f ca="1"/>
        <v>-1.0431834666432571</v>
      </c>
      <c r="E317">
        <f ca="1"/>
        <v>-2.7188454829583675</v>
      </c>
      <c r="G317">
        <f ca="1"/>
        <v>8.7661175033730068</v>
      </c>
    </row>
    <row r="318" spans="3:7">
      <c r="C318">
        <f ca="1"/>
        <v>0.3755036553532744</v>
      </c>
      <c r="D318">
        <f ca="1"/>
        <v>-3.3096969911550977</v>
      </c>
      <c r="E318">
        <f ca="1"/>
        <v>0.74643744428310821</v>
      </c>
      <c r="G318">
        <f ca="1"/>
        <v>11.652266026672676</v>
      </c>
    </row>
    <row r="319" spans="3:7">
      <c r="C319">
        <f ca="1"/>
        <v>-3.7396256146286999E-2</v>
      </c>
      <c r="D319">
        <f ca="1"/>
        <v>2.1212644441088124</v>
      </c>
      <c r="E319">
        <f ca="1"/>
        <v>-0.32957649872812317</v>
      </c>
      <c r="G319">
        <f ca="1"/>
        <v>4.6097819903279165</v>
      </c>
    </row>
    <row r="320" spans="3:7">
      <c r="C320">
        <f ca="1"/>
        <v>1.7984396493519736</v>
      </c>
      <c r="D320">
        <f ca="1"/>
        <v>-0.12620321060566936</v>
      </c>
      <c r="E320">
        <f ca="1"/>
        <v>-1.0278851080849405</v>
      </c>
      <c r="G320">
        <f ca="1"/>
        <v>4.3068602181512183</v>
      </c>
    </row>
    <row r="321" spans="3:7">
      <c r="C321">
        <f ca="1"/>
        <v>0.41450228161549313</v>
      </c>
      <c r="D321">
        <f ca="1"/>
        <v>-0.45236257559598564</v>
      </c>
      <c r="E321">
        <f ca="1"/>
        <v>0.11310476426325097</v>
      </c>
      <c r="G321">
        <f ca="1"/>
        <v>0.38923672896332895</v>
      </c>
    </row>
    <row r="322" spans="3:7">
      <c r="C322">
        <f ca="1"/>
        <v>-0.52118008591607823</v>
      </c>
      <c r="D322">
        <f ca="1"/>
        <v>-0.65589273124568481</v>
      </c>
      <c r="E322">
        <f ca="1"/>
        <v>2.7837218133945969</v>
      </c>
      <c r="G322">
        <f ca="1"/>
        <v>8.4509310912253177</v>
      </c>
    </row>
    <row r="323" spans="3:7">
      <c r="C323">
        <f ca="1"/>
        <v>0.19355257427169681</v>
      </c>
      <c r="D323">
        <f ca="1"/>
        <v>0.50170109130139584</v>
      </c>
      <c r="E323">
        <f ca="1"/>
        <v>-0.71467628051343735</v>
      </c>
      <c r="G323">
        <f ca="1"/>
        <v>0.79992876994873363</v>
      </c>
    </row>
    <row r="324" spans="3:7">
      <c r="C324">
        <f ca="1"/>
        <v>0.79714269847141783</v>
      </c>
      <c r="D324">
        <f ca="1"/>
        <v>-7.4417088609657692E-3</v>
      </c>
      <c r="E324">
        <f ca="1"/>
        <v>9.6695824185119988E-2</v>
      </c>
      <c r="G324">
        <f ca="1"/>
        <v>0.64484194317190469</v>
      </c>
    </row>
    <row r="325" spans="3:7">
      <c r="C325">
        <f ca="1"/>
        <v>0.27224317501018064</v>
      </c>
      <c r="D325">
        <f ca="1"/>
        <v>0.60792680834116386</v>
      </c>
      <c r="E325">
        <f ca="1"/>
        <v>0.81317871088194826</v>
      </c>
      <c r="G325">
        <f ca="1"/>
        <v>1.1049509664711252</v>
      </c>
    </row>
    <row r="326" spans="3:7">
      <c r="C326">
        <f ca="1"/>
        <v>0.40772826843387999</v>
      </c>
      <c r="D326">
        <f ca="1"/>
        <v>0.61017207268782536</v>
      </c>
      <c r="E326">
        <f ca="1"/>
        <v>0.64899372017180379</v>
      </c>
      <c r="G326">
        <f ca="1"/>
        <v>0.95974514799068456</v>
      </c>
    </row>
    <row r="327" spans="3:7">
      <c r="C327">
        <f ca="1"/>
        <v>8.4015379584619534E-2</v>
      </c>
      <c r="D327">
        <f ca="1"/>
        <v>-0.1987552782586974</v>
      </c>
      <c r="E327">
        <f ca="1"/>
        <v>2.8749653698250319</v>
      </c>
      <c r="G327">
        <f ca="1"/>
        <v>8.311988122335622</v>
      </c>
    </row>
    <row r="328" spans="3:7">
      <c r="C328">
        <f ca="1"/>
        <v>1.5723085268375081</v>
      </c>
      <c r="D328">
        <f ca="1"/>
        <v>-0.89734392165728583</v>
      </c>
      <c r="E328">
        <f ca="1"/>
        <v>7.9435419335605495E-2</v>
      </c>
      <c r="G328">
        <f ca="1"/>
        <v>3.2836902031462354</v>
      </c>
    </row>
    <row r="329" spans="3:7">
      <c r="C329">
        <f ca="1"/>
        <v>0.91582507915405864</v>
      </c>
      <c r="D329">
        <f ca="1"/>
        <v>7.8835000510183564E-2</v>
      </c>
      <c r="E329">
        <f ca="1"/>
        <v>1.0292849855228714</v>
      </c>
      <c r="G329">
        <f ca="1"/>
        <v>1.9043781143357958</v>
      </c>
    </row>
    <row r="330" spans="3:7">
      <c r="C330">
        <f ca="1"/>
        <v>0.10007819603076083</v>
      </c>
      <c r="D330">
        <f ca="1"/>
        <v>-1.6764867539202597</v>
      </c>
      <c r="E330">
        <f ca="1"/>
        <v>-0.52512256208265573</v>
      </c>
      <c r="G330">
        <f ca="1"/>
        <v>3.0963771865991134</v>
      </c>
    </row>
    <row r="331" spans="3:7">
      <c r="C331">
        <f ca="1"/>
        <v>0.16928287553434013</v>
      </c>
      <c r="D331">
        <f ca="1"/>
        <v>-0.4882700552499103</v>
      </c>
      <c r="E331">
        <f ca="1"/>
        <v>-2.626959030429469</v>
      </c>
      <c r="G331">
        <f ca="1"/>
        <v>7.167978086357861</v>
      </c>
    </row>
    <row r="332" spans="3:7">
      <c r="C332">
        <f ca="1"/>
        <v>0.74427087965177152</v>
      </c>
      <c r="D332">
        <f ca="1"/>
        <v>0.76248336839160902</v>
      </c>
      <c r="E332">
        <f ca="1"/>
        <v>-0.74722090903968852</v>
      </c>
      <c r="G332">
        <f ca="1"/>
        <v>1.6936591162775345</v>
      </c>
    </row>
    <row r="333" spans="3:7">
      <c r="C333">
        <f ca="1"/>
        <v>-1.6390509329154377</v>
      </c>
      <c r="D333">
        <f ca="1"/>
        <v>0.18339610594623784</v>
      </c>
      <c r="E333">
        <f ca="1"/>
        <v>0.40842014907362939</v>
      </c>
      <c r="G333">
        <f ca="1"/>
        <v>2.8869291105365358</v>
      </c>
    </row>
    <row r="334" spans="3:7">
      <c r="C334">
        <f ca="1"/>
        <v>-0.17201746679090776</v>
      </c>
      <c r="D334">
        <f ca="1"/>
        <v>-0.63862910290532071</v>
      </c>
      <c r="E334">
        <f ca="1"/>
        <v>-1.3734882765541829</v>
      </c>
      <c r="G334">
        <f ca="1"/>
        <v>2.3239071857905955</v>
      </c>
    </row>
    <row r="335" spans="3:7">
      <c r="C335">
        <f ca="1"/>
        <v>-0.11431032477562389</v>
      </c>
      <c r="D335">
        <f ca="1"/>
        <v>-1.0138181820927985</v>
      </c>
      <c r="E335">
        <f ca="1"/>
        <v>-9.2739193093881164E-2</v>
      </c>
      <c r="G335">
        <f ca="1"/>
        <v>1.0494947146279596</v>
      </c>
    </row>
    <row r="336" spans="3:7">
      <c r="C336">
        <f ca="1"/>
        <v>-0.12219358193476935</v>
      </c>
      <c r="D336">
        <f ca="1"/>
        <v>-0.78066384569177294</v>
      </c>
      <c r="E336">
        <f ca="1"/>
        <v>0.19528230801104471</v>
      </c>
      <c r="G336">
        <f ca="1"/>
        <v>0.66250249125843808</v>
      </c>
    </row>
    <row r="337" spans="3:7">
      <c r="C337">
        <f ca="1"/>
        <v>0.28564837549247613</v>
      </c>
      <c r="D337">
        <f ca="1"/>
        <v>0.27744177382198171</v>
      </c>
      <c r="E337">
        <f ca="1"/>
        <v>-3.7856256802611787E-2</v>
      </c>
      <c r="G337">
        <f ca="1"/>
        <v>0.16000202846208358</v>
      </c>
    </row>
    <row r="338" spans="3:7">
      <c r="C338">
        <f ca="1"/>
        <v>3.086015009215488E-2</v>
      </c>
      <c r="D338">
        <f ca="1"/>
        <v>0.79584921370724993</v>
      </c>
      <c r="E338">
        <f ca="1"/>
        <v>2.0211664756112131</v>
      </c>
      <c r="G338">
        <f ca="1"/>
        <v>4.7194422419568109</v>
      </c>
    </row>
    <row r="339" spans="3:7">
      <c r="C339">
        <f ca="1"/>
        <v>0.56844787942873731</v>
      </c>
      <c r="D339">
        <f ca="1"/>
        <v>0.43137634488011239</v>
      </c>
      <c r="E339">
        <f ca="1"/>
        <v>0.69869799538995547</v>
      </c>
      <c r="G339">
        <f ca="1"/>
        <v>0.99739743131109626</v>
      </c>
    </row>
    <row r="340" spans="3:7">
      <c r="C340">
        <f ca="1"/>
        <v>-0.40909079130580267</v>
      </c>
      <c r="D340">
        <f ca="1"/>
        <v>0.77618154898657266</v>
      </c>
      <c r="E340">
        <f ca="1"/>
        <v>0.83377402581313609</v>
      </c>
      <c r="G340">
        <f ca="1"/>
        <v>1.4649921986390471</v>
      </c>
    </row>
    <row r="341" spans="3:7">
      <c r="C341">
        <f ca="1"/>
        <v>0.51987764204790887</v>
      </c>
      <c r="D341">
        <f ca="1"/>
        <v>-0.65218593701032945</v>
      </c>
      <c r="E341">
        <f ca="1"/>
        <v>1.3843161008734923</v>
      </c>
      <c r="G341">
        <f ca="1"/>
        <v>2.6119503262729244</v>
      </c>
    </row>
    <row r="342" spans="3:7">
      <c r="C342">
        <f ca="1"/>
        <v>1.2817244227099447</v>
      </c>
      <c r="D342">
        <f ca="1"/>
        <v>-1.196215094462886</v>
      </c>
      <c r="E342">
        <f ca="1"/>
        <v>2.1235376978869671</v>
      </c>
      <c r="G342">
        <f ca="1"/>
        <v>7.5831604023390717</v>
      </c>
    </row>
    <row r="343" spans="3:7">
      <c r="C343">
        <f ca="1"/>
        <v>0.6425588799523414</v>
      </c>
      <c r="D343">
        <f ca="1"/>
        <v>0.82167737997237211</v>
      </c>
      <c r="E343">
        <f ca="1"/>
        <v>1.460468808007537</v>
      </c>
      <c r="G343">
        <f ca="1"/>
        <v>3.2210047701268252</v>
      </c>
    </row>
    <row r="344" spans="3:7">
      <c r="C344">
        <f ca="1"/>
        <v>-0.49657991780137445</v>
      </c>
      <c r="D344">
        <f ca="1"/>
        <v>-0.95328764959886259</v>
      </c>
      <c r="E344">
        <f ca="1"/>
        <v>-2.3109814148299126</v>
      </c>
      <c r="G344">
        <f ca="1"/>
        <v>6.4959840573306078</v>
      </c>
    </row>
    <row r="345" spans="3:7">
      <c r="C345">
        <f ca="1"/>
        <v>0.78008628677953706</v>
      </c>
      <c r="D345">
        <f ca="1"/>
        <v>0.51451711811715939</v>
      </c>
      <c r="E345">
        <f ca="1"/>
        <v>1.4904127888761252</v>
      </c>
      <c r="G345">
        <f ca="1"/>
        <v>3.0945927609025823</v>
      </c>
    </row>
    <row r="346" spans="3:7">
      <c r="C346">
        <f ca="1"/>
        <v>7.6770705624333607E-2</v>
      </c>
      <c r="D346">
        <f ca="1"/>
        <v>1.4785147380049539</v>
      </c>
      <c r="E346">
        <f ca="1"/>
        <v>2.5331426966220034</v>
      </c>
      <c r="G346">
        <f ca="1"/>
        <v>8.6087114931893112</v>
      </c>
    </row>
    <row r="347" spans="3:7">
      <c r="C347">
        <f ca="1"/>
        <v>-0.71388388537580427</v>
      </c>
      <c r="D347">
        <f ca="1"/>
        <v>-0.68977907642038694</v>
      </c>
      <c r="E347">
        <f ca="1"/>
        <v>-0.41939619477968731</v>
      </c>
      <c r="G347">
        <f ca="1"/>
        <v>1.161318544262298</v>
      </c>
    </row>
    <row r="348" spans="3:7">
      <c r="C348">
        <f ca="1"/>
        <v>0.11145699116812176</v>
      </c>
      <c r="D348">
        <f ca="1"/>
        <v>-0.45403055646486218</v>
      </c>
      <c r="E348">
        <f ca="1"/>
        <v>-0.48902986077757876</v>
      </c>
      <c r="G348">
        <f ca="1"/>
        <v>0.45771661181618128</v>
      </c>
    </row>
    <row r="349" spans="3:7">
      <c r="C349">
        <f ca="1"/>
        <v>1.0740658440315161</v>
      </c>
      <c r="D349">
        <f ca="1"/>
        <v>-1.2382696266436477</v>
      </c>
      <c r="E349">
        <f ca="1"/>
        <v>1.4057256586008269</v>
      </c>
      <c r="G349">
        <f ca="1"/>
        <v>4.6629937328320601</v>
      </c>
    </row>
    <row r="350" spans="3:7">
      <c r="C350">
        <f ca="1"/>
        <v>0.40310565707358986</v>
      </c>
      <c r="D350">
        <f ca="1"/>
        <v>0.90416100702945312</v>
      </c>
      <c r="E350">
        <f ca="1"/>
        <v>-0.83202749375975127</v>
      </c>
      <c r="G350">
        <f ca="1"/>
        <v>1.6722710477693783</v>
      </c>
    </row>
    <row r="351" spans="3:7">
      <c r="C351">
        <f ca="1"/>
        <v>0.72395505809364769</v>
      </c>
      <c r="D351">
        <f ca="1"/>
        <v>-0.6716343973167338</v>
      </c>
      <c r="E351">
        <f ca="1"/>
        <v>-0.10237413449403537</v>
      </c>
      <c r="G351">
        <f ca="1"/>
        <v>0.98568415321179192</v>
      </c>
    </row>
    <row r="352" spans="3:7">
      <c r="C352">
        <f ca="1"/>
        <v>0.37703071541822641</v>
      </c>
      <c r="D352">
        <f ca="1"/>
        <v>0.4551441831973333</v>
      </c>
      <c r="E352">
        <f ca="1"/>
        <v>4.9496055723607948E-2</v>
      </c>
      <c r="G352">
        <f ca="1"/>
        <v>0.35175824739934186</v>
      </c>
    </row>
    <row r="353" spans="3:7">
      <c r="C353">
        <f ca="1"/>
        <v>0.65659573922061265</v>
      </c>
      <c r="D353">
        <f ca="1"/>
        <v>-1.359249158753804</v>
      </c>
      <c r="E353">
        <f ca="1"/>
        <v>0.70600024790160387</v>
      </c>
      <c r="G353">
        <f ca="1"/>
        <v>2.7771125903727127</v>
      </c>
    </row>
    <row r="354" spans="3:7">
      <c r="C354">
        <f ca="1"/>
        <v>0.55429465320198301</v>
      </c>
      <c r="D354">
        <f ca="1"/>
        <v>0.62113980970547389</v>
      </c>
      <c r="E354">
        <f ca="1"/>
        <v>-1.6350429993908979</v>
      </c>
      <c r="G354">
        <f ca="1"/>
        <v>3.3664228356264427</v>
      </c>
    </row>
    <row r="355" spans="3:7">
      <c r="C355">
        <f ca="1"/>
        <v>-2.1854973826678026</v>
      </c>
      <c r="D355">
        <f ca="1"/>
        <v>-0.74354995431673598</v>
      </c>
      <c r="E355">
        <f ca="1"/>
        <v>1.063416882955402</v>
      </c>
      <c r="G355">
        <f ca="1"/>
        <v>6.4601208111668189</v>
      </c>
    </row>
    <row r="356" spans="3:7">
      <c r="C356">
        <f ca="1"/>
        <v>-0.30599135588343157</v>
      </c>
      <c r="D356">
        <f ca="1"/>
        <v>1.0394495397756092</v>
      </c>
      <c r="E356">
        <f ca="1"/>
        <v>-0.74762449498056149</v>
      </c>
      <c r="G356">
        <f ca="1"/>
        <v>1.7330284411100461</v>
      </c>
    </row>
    <row r="357" spans="3:7">
      <c r="C357">
        <f ca="1"/>
        <v>0.20324577630119298</v>
      </c>
      <c r="D357">
        <f ca="1"/>
        <v>-0.20677145915352727</v>
      </c>
      <c r="E357">
        <f ca="1"/>
        <v>0.19079160369869347</v>
      </c>
      <c r="G357">
        <f ca="1"/>
        <v>0.12046471794667268</v>
      </c>
    </row>
    <row r="358" spans="3:7">
      <c r="C358">
        <f ca="1"/>
        <v>1.9697994362443894</v>
      </c>
      <c r="D358">
        <f ca="1"/>
        <v>0.83538210952815994</v>
      </c>
      <c r="E358">
        <f ca="1"/>
        <v>0.26961288128605759</v>
      </c>
      <c r="G358">
        <f ca="1"/>
        <v>4.6506641937038022</v>
      </c>
    </row>
    <row r="359" spans="3:7">
      <c r="C359">
        <f ca="1"/>
        <v>1.3463846300701787</v>
      </c>
      <c r="D359">
        <f ca="1"/>
        <v>-0.83890442922172836</v>
      </c>
      <c r="E359">
        <f ca="1"/>
        <v>-0.3052380663214288</v>
      </c>
      <c r="G359">
        <f ca="1"/>
        <v>2.6096824905886908</v>
      </c>
    </row>
    <row r="360" spans="3:7">
      <c r="C360">
        <f ca="1"/>
        <v>-1.2190095110016741</v>
      </c>
      <c r="D360">
        <f ca="1"/>
        <v>3.2739228942597842E-2</v>
      </c>
      <c r="E360">
        <f ca="1"/>
        <v>-1.8953253736152863E-3</v>
      </c>
      <c r="G360">
        <f ca="1"/>
        <v>1.4870596372825684</v>
      </c>
    </row>
    <row r="361" spans="3:7">
      <c r="C361">
        <f ca="1"/>
        <v>-6.6805414650927597E-2</v>
      </c>
      <c r="D361">
        <f ca="1"/>
        <v>-0.83815976037628803</v>
      </c>
      <c r="E361">
        <f ca="1"/>
        <v>0.37050557209394031</v>
      </c>
      <c r="G361">
        <f ca="1"/>
        <v>0.84424912629337701</v>
      </c>
    </row>
    <row r="362" spans="3:7">
      <c r="C362">
        <f ca="1"/>
        <v>-0.59035847833820654</v>
      </c>
      <c r="D362">
        <f ca="1"/>
        <v>0.71938942842417675</v>
      </c>
      <c r="E362">
        <f ca="1"/>
        <v>-1.2697397452482277</v>
      </c>
      <c r="G362">
        <f ca="1"/>
        <v>2.4782833033373008</v>
      </c>
    </row>
    <row r="363" spans="3:7">
      <c r="C363">
        <f ca="1"/>
        <v>0.11180679012870938</v>
      </c>
      <c r="D363">
        <f ca="1"/>
        <v>1.4633081506588799</v>
      </c>
      <c r="E363">
        <f ca="1"/>
        <v>2.1992295530059867</v>
      </c>
      <c r="G363">
        <f ca="1"/>
        <v>6.9903821289185082</v>
      </c>
    </row>
    <row r="364" spans="3:7">
      <c r="C364">
        <f ca="1"/>
        <v>0.36851562394719567</v>
      </c>
      <c r="D364">
        <f ca="1"/>
        <v>-1.3478861667052531</v>
      </c>
      <c r="E364">
        <f ca="1"/>
        <v>-0.12257037121079942</v>
      </c>
      <c r="G364">
        <f ca="1"/>
        <v>1.9676243793873254</v>
      </c>
    </row>
    <row r="365" spans="3:7">
      <c r="C365">
        <f ca="1"/>
        <v>0.65821747316553658</v>
      </c>
      <c r="D365">
        <f ca="1"/>
        <v>-1.6515552358277132</v>
      </c>
      <c r="E365">
        <f ca="1"/>
        <v>-0.63265348508634045</v>
      </c>
      <c r="G365">
        <f ca="1"/>
        <v>3.5611353711622495</v>
      </c>
    </row>
    <row r="366" spans="3:7">
      <c r="C366">
        <f ca="1"/>
        <v>1.2678203279980236</v>
      </c>
      <c r="D366">
        <f ca="1"/>
        <v>-1.4187519660877141</v>
      </c>
      <c r="E366">
        <f ca="1"/>
        <v>1.8647019990746865</v>
      </c>
      <c r="G366">
        <f ca="1"/>
        <v>7.0973390707159023</v>
      </c>
    </row>
    <row r="367" spans="3:7">
      <c r="C367">
        <f ca="1"/>
        <v>-0.77823370046779472</v>
      </c>
      <c r="D367">
        <f ca="1"/>
        <v>-1.725956701387124</v>
      </c>
      <c r="E367">
        <f ca="1"/>
        <v>-0.35399550904587285</v>
      </c>
      <c r="G367">
        <f ca="1"/>
        <v>3.7098870480315655</v>
      </c>
    </row>
    <row r="368" spans="3:7">
      <c r="C368">
        <f ca="1"/>
        <v>-1.8317827003347884</v>
      </c>
      <c r="D368">
        <f ca="1"/>
        <v>0.74220168394331865</v>
      </c>
      <c r="E368">
        <f ca="1"/>
        <v>-0.26048207782549804</v>
      </c>
      <c r="G368">
        <f ca="1"/>
        <v>3.974142113762396</v>
      </c>
    </row>
    <row r="369" spans="3:7">
      <c r="C369">
        <f ca="1"/>
        <v>-0.11551001238776676</v>
      </c>
      <c r="D369">
        <f ca="1"/>
        <v>-8.5851195003627759E-3</v>
      </c>
      <c r="E369">
        <f ca="1"/>
        <v>0.57806101362577733</v>
      </c>
      <c r="G369">
        <f ca="1"/>
        <v>0.34757080271271862</v>
      </c>
    </row>
    <row r="370" spans="3:7">
      <c r="C370">
        <f ca="1"/>
        <v>0.15435851968372691</v>
      </c>
      <c r="D370">
        <f ca="1"/>
        <v>7.1232747648036124E-2</v>
      </c>
      <c r="E370">
        <f ca="1"/>
        <v>0.46070042540682349</v>
      </c>
      <c r="G370">
        <f ca="1"/>
        <v>0.24114553890646845</v>
      </c>
    </row>
    <row r="371" spans="3:7">
      <c r="C371">
        <f ca="1"/>
        <v>1.0589732135641976</v>
      </c>
      <c r="D371">
        <f ca="1"/>
        <v>0.19372117581612183</v>
      </c>
      <c r="E371">
        <f ca="1"/>
        <v>1.2140536358553249</v>
      </c>
      <c r="G371">
        <f ca="1"/>
        <v>2.6328783917395984</v>
      </c>
    </row>
    <row r="372" spans="3:7">
      <c r="C372">
        <f ca="1"/>
        <v>-0.65233710832657155</v>
      </c>
      <c r="D372">
        <f ca="1"/>
        <v>0.18623174153353061</v>
      </c>
      <c r="E372">
        <f ca="1"/>
        <v>0.82929124173446755</v>
      </c>
      <c r="G372">
        <f ca="1"/>
        <v>1.14794992807198</v>
      </c>
    </row>
    <row r="373" spans="3:7">
      <c r="C373">
        <f ca="1"/>
        <v>0.24890957945329648</v>
      </c>
      <c r="D373">
        <f ca="1"/>
        <v>0.96246023647046997</v>
      </c>
      <c r="E373">
        <f ca="1"/>
        <v>-0.2607072736378927</v>
      </c>
      <c r="G373">
        <f ca="1"/>
        <v>1.0562539680581129</v>
      </c>
    </row>
    <row r="374" spans="3:7">
      <c r="C374">
        <f ca="1"/>
        <v>-0.38624245256707462</v>
      </c>
      <c r="D374">
        <f ca="1"/>
        <v>0.25552254250018125</v>
      </c>
      <c r="E374">
        <f ca="1"/>
        <v>-2.0809773754776963</v>
      </c>
      <c r="G374">
        <f ca="1"/>
        <v>4.5449418391408267</v>
      </c>
    </row>
    <row r="375" spans="3:7">
      <c r="C375">
        <f ca="1"/>
        <v>0.80510527291711731</v>
      </c>
      <c r="D375">
        <f ca="1"/>
        <v>1.2049496749735524</v>
      </c>
      <c r="E375">
        <f ca="1"/>
        <v>-1.9954426099773381</v>
      </c>
      <c r="G375">
        <f ca="1"/>
        <v>6.0818894294109871</v>
      </c>
    </row>
    <row r="376" spans="3:7">
      <c r="C376">
        <f ca="1"/>
        <v>0.43597694016282945</v>
      </c>
      <c r="D376">
        <f ca="1"/>
        <v>-0.43413321855236575</v>
      </c>
      <c r="E376">
        <f ca="1"/>
        <v>0.86043989342800553</v>
      </c>
      <c r="G376">
        <f ca="1"/>
        <v>1.1189043540067769</v>
      </c>
    </row>
    <row r="377" spans="3:7">
      <c r="C377">
        <f ca="1"/>
        <v>0.15851830177112289</v>
      </c>
      <c r="D377">
        <f ca="1"/>
        <v>-1.3207933518732595</v>
      </c>
      <c r="E377">
        <f ca="1"/>
        <v>-0.9933377072991032</v>
      </c>
      <c r="G377">
        <f ca="1"/>
        <v>2.7563429310912397</v>
      </c>
    </row>
    <row r="378" spans="3:7">
      <c r="C378">
        <f ca="1"/>
        <v>-0.62314989165045986</v>
      </c>
      <c r="D378">
        <f ca="1"/>
        <v>-1.2948192280786779</v>
      </c>
      <c r="E378">
        <f ca="1"/>
        <v>0.16372000365511566</v>
      </c>
      <c r="G378">
        <f ca="1"/>
        <v>2.0916768604630742</v>
      </c>
    </row>
    <row r="379" spans="3:7">
      <c r="C379">
        <f ca="1"/>
        <v>0.42209447110579995</v>
      </c>
      <c r="D379">
        <f ca="1"/>
        <v>-4.6628365581986318E-2</v>
      </c>
      <c r="E379">
        <f ca="1"/>
        <v>0.19100454731492139</v>
      </c>
      <c r="G379">
        <f ca="1"/>
        <v>0.21682068410991037</v>
      </c>
    </row>
    <row r="380" spans="3:7">
      <c r="C380">
        <f ca="1"/>
        <v>2.8364790641514235</v>
      </c>
      <c r="D380">
        <f ca="1"/>
        <v>1.5802585119233035</v>
      </c>
      <c r="E380">
        <f ca="1"/>
        <v>1.046534350497569</v>
      </c>
      <c r="G380">
        <f ca="1"/>
        <v>11.638064592646757</v>
      </c>
    </row>
    <row r="381" spans="3:7">
      <c r="C381">
        <f ca="1"/>
        <v>-0.72482040606230203</v>
      </c>
      <c r="D381">
        <f ca="1"/>
        <v>0.30446080147841426</v>
      </c>
      <c r="E381">
        <f ca="1"/>
        <v>0.46712745405881267</v>
      </c>
      <c r="G381">
        <f ca="1"/>
        <v>0.83626905901666682</v>
      </c>
    </row>
    <row r="382" spans="3:7">
      <c r="C382">
        <f ca="1"/>
        <v>0.14613271422115948</v>
      </c>
      <c r="D382">
        <f ca="1"/>
        <v>2.8964403205755125</v>
      </c>
      <c r="E382">
        <f ca="1"/>
        <v>-0.52362388435508611</v>
      </c>
      <c r="G382">
        <f ca="1"/>
        <v>8.6849032730883291</v>
      </c>
    </row>
    <row r="383" spans="3:7">
      <c r="C383">
        <f ca="1"/>
        <v>0.29919947780897505</v>
      </c>
      <c r="D383">
        <f ca="1"/>
        <v>-0.13712599637846629</v>
      </c>
      <c r="E383">
        <f ca="1"/>
        <v>-0.81973629492886324</v>
      </c>
      <c r="G383">
        <f ca="1"/>
        <v>0.78029145962765079</v>
      </c>
    </row>
    <row r="384" spans="3:7">
      <c r="C384">
        <f ca="1"/>
        <v>-0.36816392357822397</v>
      </c>
      <c r="D384">
        <f ca="1"/>
        <v>0.61020625892042524</v>
      </c>
      <c r="E384">
        <f ca="1"/>
        <v>2.4768244123257501</v>
      </c>
      <c r="G384">
        <f ca="1"/>
        <v>6.6425555225429713</v>
      </c>
    </row>
    <row r="385" spans="3:7">
      <c r="C385">
        <f ca="1"/>
        <v>-0.5832918944544403</v>
      </c>
      <c r="D385">
        <f ca="1"/>
        <v>0.32504339502801916</v>
      </c>
      <c r="E385">
        <f ca="1"/>
        <v>-0.79878207921293054</v>
      </c>
      <c r="G385">
        <f ca="1"/>
        <v>1.0839354528593232</v>
      </c>
    </row>
    <row r="386" spans="3:7">
      <c r="C386">
        <f ca="1"/>
        <v>1.737720414839609</v>
      </c>
      <c r="D386">
        <f ca="1"/>
        <v>-0.88432046541720744</v>
      </c>
      <c r="E386">
        <f ca="1"/>
        <v>0.36164605427779123</v>
      </c>
      <c r="G386">
        <f ca="1"/>
        <v>3.9324827942807445</v>
      </c>
    </row>
    <row r="387" spans="3:7">
      <c r="C387">
        <f ca="1"/>
        <v>0.16718289616516102</v>
      </c>
      <c r="D387">
        <f ca="1"/>
        <v>-0.83472741163942166</v>
      </c>
      <c r="E387">
        <f ca="1"/>
        <v>-0.85011948915941937</v>
      </c>
      <c r="G387">
        <f ca="1"/>
        <v>1.4474231183610917</v>
      </c>
    </row>
    <row r="388" spans="3:7">
      <c r="C388">
        <f ca="1"/>
        <v>0.28227308005190488</v>
      </c>
      <c r="D388">
        <f ca="1"/>
        <v>0.82471070622405274</v>
      </c>
      <c r="E388">
        <f ca="1"/>
        <v>0.4725553160155887</v>
      </c>
      <c r="G388">
        <f ca="1"/>
        <v>0.98313436737715787</v>
      </c>
    </row>
    <row r="389" spans="3:7">
      <c r="C389">
        <f ca="1"/>
        <v>5.8810713860125374E-2</v>
      </c>
      <c r="D389">
        <f ca="1"/>
        <v>-1.4068323781901042</v>
      </c>
      <c r="E389">
        <f ca="1"/>
        <v>-1.7467221526050662</v>
      </c>
      <c r="G389">
        <f ca="1"/>
        <v>5.0336743187900383</v>
      </c>
    </row>
    <row r="390" spans="3:7">
      <c r="C390">
        <f ca="1"/>
        <v>0.84159145169029193</v>
      </c>
      <c r="D390">
        <f ca="1"/>
        <v>-8.5486172137130945E-2</v>
      </c>
      <c r="E390">
        <f ca="1"/>
        <v>-0.45071862285611886</v>
      </c>
      <c r="G390">
        <f ca="1"/>
        <v>0.91873133417414854</v>
      </c>
    </row>
    <row r="391" spans="3:7">
      <c r="C391">
        <f ca="1"/>
        <v>1.0427645352605921</v>
      </c>
      <c r="D391">
        <f ca="1"/>
        <v>-3.9662079747097657E-2</v>
      </c>
      <c r="E391">
        <f ca="1"/>
        <v>0.18404680104139393</v>
      </c>
      <c r="G391">
        <f ca="1"/>
        <v>1.1228041815406742</v>
      </c>
    </row>
    <row r="392" spans="3:7">
      <c r="C392">
        <f ca="1"/>
        <v>0.40531761626542251</v>
      </c>
      <c r="D392">
        <f ca="1"/>
        <v>0.62496660230982293</v>
      </c>
      <c r="E392">
        <f ca="1"/>
        <v>-0.19015963109650605</v>
      </c>
      <c r="G392">
        <f ca="1"/>
        <v>0.59102630935652789</v>
      </c>
    </row>
    <row r="393" spans="3:7">
      <c r="C393">
        <f ca="1"/>
        <v>-0.12618562700904701</v>
      </c>
      <c r="D393">
        <f ca="1"/>
        <v>0.89835662628578627</v>
      </c>
      <c r="E393">
        <f ca="1"/>
        <v>0.10091983621742992</v>
      </c>
      <c r="G393">
        <f ca="1"/>
        <v>0.8331522537973991</v>
      </c>
    </row>
    <row r="394" spans="3:7">
      <c r="C394">
        <f ca="1"/>
        <v>-1.6805424033054343E-2</v>
      </c>
      <c r="D394">
        <f ca="1"/>
        <v>2.4898450698146957</v>
      </c>
      <c r="E394">
        <f ca="1"/>
        <v>-0.10773621462743155</v>
      </c>
      <c r="G394">
        <f ca="1"/>
        <v>6.2112179858997258</v>
      </c>
    </row>
    <row r="395" spans="3:7">
      <c r="C395">
        <f ca="1"/>
        <v>0.64098382125442066</v>
      </c>
      <c r="D395">
        <f ca="1"/>
        <v>-1.6950921963779906</v>
      </c>
      <c r="E395">
        <f ca="1"/>
        <v>-0.96426747754472375</v>
      </c>
      <c r="G395">
        <f ca="1"/>
        <v>4.2140095815819434</v>
      </c>
    </row>
    <row r="396" spans="3:7">
      <c r="C396">
        <f ca="1"/>
        <v>0.4190317143906358</v>
      </c>
      <c r="D396">
        <f ca="1"/>
        <v>-0.58467011329295715</v>
      </c>
      <c r="E396">
        <f ca="1"/>
        <v>-0.66055171982838234</v>
      </c>
      <c r="G396">
        <f ca="1"/>
        <v>0.95375529361138844</v>
      </c>
    </row>
    <row r="397" spans="3:7">
      <c r="C397">
        <f ca="1"/>
        <v>-1.4022641156734887</v>
      </c>
      <c r="D397">
        <f ca="1"/>
        <v>0.4735034431791989</v>
      </c>
      <c r="E397">
        <f ca="1"/>
        <v>-1.1951173335860257</v>
      </c>
      <c r="G397">
        <f ca="1"/>
        <v>3.6188556018458797</v>
      </c>
    </row>
    <row r="398" spans="3:7">
      <c r="C398">
        <f ca="1"/>
        <v>0.95710185349978705</v>
      </c>
      <c r="D398">
        <f ca="1"/>
        <v>0.67476074886194859</v>
      </c>
      <c r="E398">
        <f ca="1"/>
        <v>0.38788665117032511</v>
      </c>
      <c r="G398">
        <f ca="1"/>
        <v>1.521802080333595</v>
      </c>
    </row>
    <row r="399" spans="3:7">
      <c r="C399">
        <f ca="1"/>
        <v>-0.12682864226376869</v>
      </c>
      <c r="D399">
        <f ca="1"/>
        <v>1.0707198699264167</v>
      </c>
      <c r="E399">
        <f ca="1"/>
        <v>0.88729113517167935</v>
      </c>
      <c r="G399">
        <f ca="1"/>
        <v>1.9498121029079611</v>
      </c>
    </row>
    <row r="400" spans="3:7">
      <c r="C400">
        <f ca="1"/>
        <v>-1.4612490620353202</v>
      </c>
      <c r="D400">
        <f ca="1"/>
        <v>-1.5852097820082238</v>
      </c>
      <c r="E400">
        <f ca="1"/>
        <v>-0.73606316578635267</v>
      </c>
      <c r="G400">
        <f ca="1"/>
        <v>5.1899278583010915</v>
      </c>
    </row>
    <row r="401" spans="3:7">
      <c r="C401">
        <f ca="1"/>
        <v>-1.2874106596746322</v>
      </c>
      <c r="D401">
        <f ca="1"/>
        <v>0.65112637126982642</v>
      </c>
      <c r="E401">
        <f ca="1"/>
        <v>1.8665969941045872</v>
      </c>
      <c r="G401">
        <f ca="1"/>
        <v>5.5655760964071641</v>
      </c>
    </row>
    <row r="402" spans="3:7">
      <c r="C402">
        <f ca="1"/>
        <v>-0.93919705490927419</v>
      </c>
      <c r="D402">
        <f ca="1"/>
        <v>-1.0727257635354881</v>
      </c>
      <c r="E402">
        <f ca="1"/>
        <v>-0.48036173579442631</v>
      </c>
      <c r="G402">
        <f ca="1"/>
        <v>2.2635790689184843</v>
      </c>
    </row>
    <row r="403" spans="3:7">
      <c r="C403">
        <f ca="1"/>
        <v>-2.5377621030910835</v>
      </c>
      <c r="D403">
        <f ca="1"/>
        <v>-1.2394803619486561</v>
      </c>
      <c r="E403">
        <f ca="1"/>
        <v>-0.30025841875056786</v>
      </c>
      <c r="G403">
        <f ca="1"/>
        <v>8.0667031775722418</v>
      </c>
    </row>
    <row r="404" spans="3:7">
      <c r="C404">
        <f ca="1"/>
        <v>0.27071456378038455</v>
      </c>
      <c r="D404">
        <f ca="1"/>
        <v>-0.18906979002433658</v>
      </c>
      <c r="E404">
        <f ca="1"/>
        <v>0.5179318978643499</v>
      </c>
      <c r="G404">
        <f ca="1"/>
        <v>0.37728721136801802</v>
      </c>
    </row>
    <row r="405" spans="3:7">
      <c r="C405">
        <f ca="1"/>
        <v>-2.0784066265438102E-2</v>
      </c>
      <c r="D405">
        <f ca="1"/>
        <v>1.1583333811754457</v>
      </c>
      <c r="E405">
        <f ca="1"/>
        <v>0.2580240184006824</v>
      </c>
      <c r="G405">
        <f ca="1"/>
        <v>1.4087445934275022</v>
      </c>
    </row>
    <row r="406" spans="3:7">
      <c r="C406">
        <f ca="1"/>
        <v>1.009946905578343</v>
      </c>
      <c r="D406">
        <f ca="1"/>
        <v>0.49182334213640505</v>
      </c>
      <c r="E406">
        <f ca="1"/>
        <v>0.29905025934855717</v>
      </c>
      <c r="G406">
        <f ca="1"/>
        <v>1.3513140095739331</v>
      </c>
    </row>
    <row r="407" spans="3:7">
      <c r="C407">
        <f ca="1"/>
        <v>-2.4534132325479492</v>
      </c>
      <c r="D407">
        <f ca="1"/>
        <v>0.45113993073936398</v>
      </c>
      <c r="E407">
        <f ca="1"/>
        <v>-0.83087942220326638</v>
      </c>
      <c r="G407">
        <f ca="1"/>
        <v>6.9131243409897287</v>
      </c>
    </row>
    <row r="408" spans="3:7">
      <c r="C408">
        <f ca="1"/>
        <v>-1.2823276383902142</v>
      </c>
      <c r="D408">
        <f ca="1"/>
        <v>0.38188006041382955</v>
      </c>
      <c r="E408">
        <f ca="1"/>
        <v>0.47604777089986683</v>
      </c>
      <c r="G408">
        <f ca="1"/>
        <v>2.0168180328998262</v>
      </c>
    </row>
    <row r="409" spans="3:7">
      <c r="C409">
        <f ca="1"/>
        <v>-0.27834563467744339</v>
      </c>
      <c r="D409">
        <f ca="1"/>
        <v>1.6884521284013589</v>
      </c>
      <c r="E409">
        <f ca="1"/>
        <v>0.50684392896122532</v>
      </c>
      <c r="G409">
        <f ca="1"/>
        <v>3.1852376505719198</v>
      </c>
    </row>
    <row r="410" spans="3:7">
      <c r="C410">
        <f ca="1"/>
        <v>-0.55282517529007003</v>
      </c>
      <c r="D410">
        <f ca="1"/>
        <v>0.99069590352543946</v>
      </c>
      <c r="E410">
        <f ca="1"/>
        <v>-0.428594766996721</v>
      </c>
      <c r="G410">
        <f ca="1"/>
        <v>1.4707875219935571</v>
      </c>
    </row>
    <row r="411" spans="3:7">
      <c r="C411">
        <f ca="1"/>
        <v>0.3605651395074389</v>
      </c>
      <c r="D411">
        <f ca="1"/>
        <v>-1.232372583043535</v>
      </c>
      <c r="E411">
        <f ca="1"/>
        <v>-0.33934639527413019</v>
      </c>
      <c r="G411">
        <f ca="1"/>
        <v>1.7639053792509598</v>
      </c>
    </row>
    <row r="412" spans="3:7">
      <c r="C412">
        <f ca="1"/>
        <v>1.3289845532660993</v>
      </c>
      <c r="D412">
        <f ca="1"/>
        <v>0.20280786008825677</v>
      </c>
      <c r="E412">
        <f ca="1"/>
        <v>1.1239056190040591</v>
      </c>
      <c r="G412">
        <f ca="1"/>
        <v>3.0704948113623685</v>
      </c>
    </row>
    <row r="413" spans="3:7">
      <c r="C413">
        <f ca="1"/>
        <v>-0.33593797285726834</v>
      </c>
      <c r="D413">
        <f ca="1"/>
        <v>1.2921139086770397</v>
      </c>
      <c r="E413">
        <f ca="1"/>
        <v>0.32412165723894898</v>
      </c>
      <c r="G413">
        <f ca="1"/>
        <v>1.8874675232954308</v>
      </c>
    </row>
    <row r="414" spans="3:7">
      <c r="C414">
        <f ca="1"/>
        <v>-0.33502095947682115</v>
      </c>
      <c r="D414">
        <f ca="1"/>
        <v>0.20165826625774458</v>
      </c>
      <c r="E414">
        <f ca="1"/>
        <v>-1.3780058073239263</v>
      </c>
      <c r="G414">
        <f ca="1"/>
        <v>2.0518051046573151</v>
      </c>
    </row>
    <row r="415" spans="3:7">
      <c r="C415">
        <f ca="1"/>
        <v>1.439634009193733</v>
      </c>
      <c r="D415">
        <f ca="1"/>
        <v>1.4402392306772001</v>
      </c>
      <c r="E415">
        <f ca="1"/>
        <v>-2.1046407580624678</v>
      </c>
      <c r="G415">
        <f ca="1"/>
        <v>8.5763478425066335</v>
      </c>
    </row>
    <row r="416" spans="3:7">
      <c r="C416">
        <f ca="1"/>
        <v>-0.3109681215411994</v>
      </c>
      <c r="D416">
        <f ca="1"/>
        <v>-0.45579099267415235</v>
      </c>
      <c r="E416">
        <f ca="1"/>
        <v>-0.23921720552027101</v>
      </c>
      <c r="G416">
        <f ca="1"/>
        <v>0.36167147303467895</v>
      </c>
    </row>
    <row r="417" spans="3:7">
      <c r="C417">
        <f ca="1"/>
        <v>-0.35889935466595391</v>
      </c>
      <c r="D417">
        <f ca="1"/>
        <v>1.3099465010613887</v>
      </c>
      <c r="E417">
        <f ca="1"/>
        <v>1.2654873651743459</v>
      </c>
      <c r="G417">
        <f ca="1"/>
        <v>3.446226853838521</v>
      </c>
    </row>
    <row r="418" spans="3:7">
      <c r="C418">
        <f ca="1"/>
        <v>0.26816029795593943</v>
      </c>
      <c r="D418">
        <f ca="1"/>
        <v>-0.15071039753911994</v>
      </c>
      <c r="E418">
        <f ca="1"/>
        <v>-0.88361292482325626</v>
      </c>
      <c r="G418">
        <f ca="1"/>
        <v>0.87539537024092728</v>
      </c>
    </row>
    <row r="419" spans="3:7">
      <c r="C419">
        <f ca="1"/>
        <v>-0.32103796304930582</v>
      </c>
      <c r="D419">
        <f ca="1"/>
        <v>1.3369143103573862</v>
      </c>
      <c r="E419">
        <f ca="1"/>
        <v>0.58141254684432164</v>
      </c>
      <c r="G419">
        <f ca="1"/>
        <v>2.2284457965852131</v>
      </c>
    </row>
    <row r="420" spans="3:7">
      <c r="C420">
        <f ca="1"/>
        <v>-1.8159925973139284</v>
      </c>
      <c r="D420">
        <f ca="1"/>
        <v>-0.47240360368898499</v>
      </c>
      <c r="E420">
        <f ca="1"/>
        <v>1.7800001658027205</v>
      </c>
      <c r="G420">
        <f ca="1"/>
        <v>6.6893948685350395</v>
      </c>
    </row>
    <row r="421" spans="3:7">
      <c r="C421">
        <f ca="1"/>
        <v>-1.6012380276484428</v>
      </c>
      <c r="D421">
        <f ca="1"/>
        <v>0.91171013283573676</v>
      </c>
      <c r="E421">
        <f ca="1"/>
        <v>-1.5444438406583394</v>
      </c>
      <c r="G421">
        <f ca="1"/>
        <v>5.780485364450314</v>
      </c>
    </row>
    <row r="422" spans="3:7">
      <c r="C422">
        <f ca="1"/>
        <v>-0.20282820688978193</v>
      </c>
      <c r="D422">
        <f ca="1"/>
        <v>-1.2348077528800818</v>
      </c>
      <c r="E422">
        <f ca="1"/>
        <v>-0.59431108452923109</v>
      </c>
      <c r="G422">
        <f ca="1"/>
        <v>1.9190951332771924</v>
      </c>
    </row>
    <row r="423" spans="3:7">
      <c r="C423">
        <f ca="1"/>
        <v>-0.67848599142649502</v>
      </c>
      <c r="D423">
        <f ca="1"/>
        <v>0.61064653254372281</v>
      </c>
      <c r="E423">
        <f ca="1"/>
        <v>-0.15115540179558407</v>
      </c>
      <c r="G423">
        <f ca="1"/>
        <v>0.8560803837616503</v>
      </c>
    </row>
    <row r="424" spans="3:7">
      <c r="C424">
        <f ca="1"/>
        <v>-1.6724663458375554E-2</v>
      </c>
      <c r="D424">
        <f ca="1"/>
        <v>0.24594308530704972</v>
      </c>
      <c r="E424">
        <f ca="1"/>
        <v>0.10017248983285121</v>
      </c>
      <c r="G424">
        <f ca="1"/>
        <v>7.0802243297459336E-2</v>
      </c>
    </row>
    <row r="425" spans="3:7">
      <c r="C425">
        <f ca="1"/>
        <v>1.6564194535411991</v>
      </c>
      <c r="D425">
        <f ca="1"/>
        <v>-0.62956548331006346</v>
      </c>
      <c r="E425">
        <f ca="1"/>
        <v>0.3368391362507317</v>
      </c>
      <c r="G425">
        <f ca="1"/>
        <v>3.2535387075552977</v>
      </c>
    </row>
    <row r="426" spans="3:7">
      <c r="C426">
        <f ca="1"/>
        <v>-0.26095131122951226</v>
      </c>
      <c r="D426">
        <f ca="1"/>
        <v>-0.99668040401803581</v>
      </c>
      <c r="E426">
        <f ca="1"/>
        <v>0.53463981171431907</v>
      </c>
      <c r="G426">
        <f ca="1"/>
        <v>1.3473071428558794</v>
      </c>
    </row>
    <row r="427" spans="3:7">
      <c r="C427">
        <f ca="1"/>
        <v>-0.21952373205390052</v>
      </c>
      <c r="D427">
        <f ca="1"/>
        <v>0.3130202843096303</v>
      </c>
      <c r="E427">
        <f ca="1"/>
        <v>-1.0159779291874715</v>
      </c>
      <c r="G427">
        <f ca="1"/>
        <v>1.1783835199202173</v>
      </c>
    </row>
    <row r="428" spans="3:7">
      <c r="C428">
        <f ca="1"/>
        <v>2.0423214290062357</v>
      </c>
      <c r="D428">
        <f ca="1"/>
        <v>-1.1961274834009321</v>
      </c>
      <c r="E428">
        <f ca="1"/>
        <v>6.0912433406009013E-2</v>
      </c>
      <c r="G428">
        <f ca="1"/>
        <v>5.605508100468561</v>
      </c>
    </row>
    <row r="429" spans="3:7">
      <c r="C429">
        <f ca="1"/>
        <v>2.9163406227161886E-2</v>
      </c>
      <c r="D429">
        <f ca="1"/>
        <v>7.7243955361681993E-2</v>
      </c>
      <c r="E429">
        <f ca="1"/>
        <v>-0.71631981915805576</v>
      </c>
      <c r="G429">
        <f ca="1"/>
        <v>0.51993121622131777</v>
      </c>
    </row>
    <row r="430" spans="3:7">
      <c r="C430">
        <f ca="1"/>
        <v>1.3543832579571828</v>
      </c>
      <c r="D430">
        <f ca="1"/>
        <v>0.46181302761968446</v>
      </c>
      <c r="E430">
        <f ca="1"/>
        <v>-0.40561881132869804</v>
      </c>
      <c r="G430">
        <f ca="1"/>
        <v>2.2121519020176783</v>
      </c>
    </row>
    <row r="431" spans="3:7">
      <c r="C431">
        <f ca="1"/>
        <v>-0.88875294891040046</v>
      </c>
      <c r="D431">
        <f ca="1"/>
        <v>1.0830659599473431</v>
      </c>
      <c r="E431">
        <f ca="1"/>
        <v>-0.68205365975141352</v>
      </c>
      <c r="G431">
        <f ca="1"/>
        <v>2.4281108725738898</v>
      </c>
    </row>
    <row r="432" spans="3:7">
      <c r="C432">
        <f ca="1"/>
        <v>0.60047434953869117</v>
      </c>
      <c r="D432">
        <f ca="1"/>
        <v>-2.3132977245310632E-2</v>
      </c>
      <c r="E432">
        <f ca="1"/>
        <v>1.007212939291678E-2</v>
      </c>
      <c r="G432">
        <f ca="1"/>
        <v>0.36120602688065395</v>
      </c>
    </row>
    <row r="433" spans="3:7">
      <c r="C433">
        <f ca="1"/>
        <v>-0.86117113023192193</v>
      </c>
      <c r="D433">
        <f ca="1"/>
        <v>-1.5041640879659275</v>
      </c>
      <c r="E433">
        <f ca="1"/>
        <v>0.22486267401460761</v>
      </c>
      <c r="G433">
        <f ca="1"/>
        <v>3.0546885412362959</v>
      </c>
    </row>
    <row r="434" spans="3:7">
      <c r="C434">
        <f ca="1"/>
        <v>9.0952004575515999E-2</v>
      </c>
      <c r="D434">
        <f ca="1"/>
        <v>-0.72255332638963954</v>
      </c>
      <c r="E434">
        <f ca="1"/>
        <v>0.46445532860068206</v>
      </c>
      <c r="G434">
        <f ca="1"/>
        <v>0.74607432887860525</v>
      </c>
    </row>
    <row r="435" spans="3:7">
      <c r="C435">
        <f ca="1"/>
        <v>0.12933234110354627</v>
      </c>
      <c r="D435">
        <f ca="1"/>
        <v>-0.15414854016299345</v>
      </c>
      <c r="E435">
        <f ca="1"/>
        <v>-0.36462094917756399</v>
      </c>
      <c r="G435">
        <f ca="1"/>
        <v>0.17343706346885376</v>
      </c>
    </row>
    <row r="436" spans="3:7">
      <c r="C436">
        <f ca="1"/>
        <v>-0.32435686032380873</v>
      </c>
      <c r="D436">
        <f ca="1"/>
        <v>-0.93334951706210567</v>
      </c>
      <c r="E436">
        <f ca="1"/>
        <v>1.5306830568700356</v>
      </c>
      <c r="G436">
        <f ca="1"/>
        <v>3.3193393144281811</v>
      </c>
    </row>
    <row r="437" spans="3:7">
      <c r="C437">
        <f ca="1"/>
        <v>1.1119367412776571</v>
      </c>
      <c r="D437">
        <f ca="1"/>
        <v>-0.88883655889847202</v>
      </c>
      <c r="E437">
        <f ca="1"/>
        <v>0.58472616807912881</v>
      </c>
      <c r="G437">
        <f ca="1"/>
        <v>2.3683384366741542</v>
      </c>
    </row>
    <row r="438" spans="3:7">
      <c r="C438">
        <f ca="1"/>
        <v>-1.2726726209553159</v>
      </c>
      <c r="D438">
        <f ca="1"/>
        <v>-0.59569599598747214</v>
      </c>
      <c r="E438">
        <f ca="1"/>
        <v>-2.1953488457259023</v>
      </c>
      <c r="G438">
        <f ca="1"/>
        <v>6.7941058741948313</v>
      </c>
    </row>
    <row r="439" spans="3:7">
      <c r="C439">
        <f ca="1"/>
        <v>-1.0163920083552702</v>
      </c>
      <c r="D439">
        <f ca="1"/>
        <v>0.25952257773518472</v>
      </c>
      <c r="E439">
        <f ca="1"/>
        <v>9.9007599547249955E-2</v>
      </c>
      <c r="G439">
        <f ca="1"/>
        <v>1.110207187770883</v>
      </c>
    </row>
    <row r="440" spans="3:7">
      <c r="C440">
        <f ca="1"/>
        <v>0.63194901086920985</v>
      </c>
      <c r="D440">
        <f ca="1"/>
        <v>-0.65615664736338597</v>
      </c>
      <c r="E440">
        <f ca="1"/>
        <v>-0.1217187823026514</v>
      </c>
      <c r="G440">
        <f ca="1"/>
        <v>0.8447165601829717</v>
      </c>
    </row>
    <row r="441" spans="3:7">
      <c r="C441">
        <f ca="1"/>
        <v>-1.8141943779216363</v>
      </c>
      <c r="D441">
        <f ca="1"/>
        <v>-1.2066443087100328E-2</v>
      </c>
      <c r="E441">
        <f ca="1"/>
        <v>-0.11537320331859609</v>
      </c>
      <c r="G441">
        <f ca="1"/>
        <v>3.3047578159752415</v>
      </c>
    </row>
    <row r="442" spans="3:7">
      <c r="C442">
        <f ca="1"/>
        <v>-0.899340717864207</v>
      </c>
      <c r="D442">
        <f ca="1"/>
        <v>0.61325385447395941</v>
      </c>
      <c r="E442">
        <f ca="1"/>
        <v>0.26173885565114136</v>
      </c>
      <c r="G442">
        <f ca="1"/>
        <v>1.2534012453932444</v>
      </c>
    </row>
    <row r="443" spans="3:7">
      <c r="C443">
        <f ca="1"/>
        <v>1.054041216559235</v>
      </c>
      <c r="D443">
        <f ca="1"/>
        <v>7.30613393872519E-2</v>
      </c>
      <c r="E443">
        <f ca="1"/>
        <v>0.1602759023189213</v>
      </c>
      <c r="G443">
        <f ca="1"/>
        <v>1.1420292103828757</v>
      </c>
    </row>
    <row r="444" spans="3:7">
      <c r="C444">
        <f ca="1"/>
        <v>0.54804994793281792</v>
      </c>
      <c r="D444">
        <f ca="1"/>
        <v>-0.71208948120373705</v>
      </c>
      <c r="E444">
        <f ca="1"/>
        <v>0.17136975465186607</v>
      </c>
      <c r="G444">
        <f ca="1"/>
        <v>0.83679776747961254</v>
      </c>
    </row>
    <row r="445" spans="3:7">
      <c r="C445">
        <f ca="1"/>
        <v>-0.27507073201580667</v>
      </c>
      <c r="D445">
        <f ca="1"/>
        <v>-0.41209159522429301</v>
      </c>
      <c r="E445">
        <f ca="1"/>
        <v>-0.24805764551266463</v>
      </c>
      <c r="G445">
        <f ca="1"/>
        <v>0.30701598596350105</v>
      </c>
    </row>
    <row r="446" spans="3:7">
      <c r="C446">
        <f ca="1"/>
        <v>0.20415895607068105</v>
      </c>
      <c r="D446">
        <f ca="1"/>
        <v>1.4483737573637705</v>
      </c>
      <c r="E446">
        <f ca="1"/>
        <v>-0.60582466193897777</v>
      </c>
      <c r="G446">
        <f ca="1"/>
        <v>2.5064909413773933</v>
      </c>
    </row>
    <row r="447" spans="3:7">
      <c r="C447">
        <f ca="1"/>
        <v>0.86199959678416749</v>
      </c>
      <c r="D447">
        <f ca="1"/>
        <v>-1.235678465728669</v>
      </c>
      <c r="E447">
        <f ca="1"/>
        <v>0.63495583729778604</v>
      </c>
      <c r="G447">
        <f ca="1"/>
        <v>2.6731134908401573</v>
      </c>
    </row>
    <row r="448" spans="3:7">
      <c r="C448">
        <f ca="1"/>
        <v>-0.67646758975928734</v>
      </c>
      <c r="D448">
        <f ca="1"/>
        <v>1.758042915870232</v>
      </c>
      <c r="E448">
        <f ca="1"/>
        <v>0.53008615648672597</v>
      </c>
      <c r="G448">
        <f ca="1"/>
        <v>3.8293146273351168</v>
      </c>
    </row>
    <row r="449" spans="3:7">
      <c r="C449">
        <f ca="1"/>
        <v>-0.42392936333198872</v>
      </c>
      <c r="D449">
        <f ca="1"/>
        <v>-0.16647214447261102</v>
      </c>
      <c r="E449">
        <f ca="1"/>
        <v>1.4939841968722076</v>
      </c>
      <c r="G449">
        <f ca="1"/>
        <v>2.4394178604842702</v>
      </c>
    </row>
    <row r="450" spans="3:7">
      <c r="C450">
        <f ca="1"/>
        <v>-1.2568061174110823</v>
      </c>
      <c r="D450">
        <f ca="1"/>
        <v>-0.38324739034445643</v>
      </c>
      <c r="E450">
        <f ca="1"/>
        <v>1.7281562736386897</v>
      </c>
      <c r="G450">
        <f ca="1"/>
        <v>4.7129642850845173</v>
      </c>
    </row>
    <row r="451" spans="3:7">
      <c r="C451">
        <f ca="1"/>
        <v>7.2021397208706234E-2</v>
      </c>
      <c r="D451">
        <f ca="1"/>
        <v>0.36435065188763216</v>
      </c>
      <c r="E451">
        <f ca="1"/>
        <v>-0.26271795101809858</v>
      </c>
      <c r="G451">
        <f ca="1"/>
        <v>0.20695920097398479</v>
      </c>
    </row>
    <row r="452" spans="3:7">
      <c r="C452">
        <f ca="1"/>
        <v>-1.3193746232286416</v>
      </c>
      <c r="D452">
        <f ca="1"/>
        <v>-0.46517894513460606</v>
      </c>
      <c r="E452">
        <f ca="1"/>
        <v>-1.4780466078109349</v>
      </c>
      <c r="G452">
        <f ca="1"/>
        <v>4.1417626222776764</v>
      </c>
    </row>
    <row r="453" spans="3:7">
      <c r="C453">
        <f ca="1"/>
        <v>-0.59879213098754014</v>
      </c>
      <c r="D453">
        <f ca="1"/>
        <v>1.2164576415250059</v>
      </c>
      <c r="E453">
        <f ca="1"/>
        <v>-0.53634252033196983</v>
      </c>
      <c r="G453">
        <f ca="1"/>
        <v>2.1259845088732288</v>
      </c>
    </row>
    <row r="454" spans="3:7">
      <c r="C454">
        <f ca="1"/>
        <v>-1.7768088139366494</v>
      </c>
      <c r="D454">
        <f ca="1"/>
        <v>0.506254955484295</v>
      </c>
      <c r="E454">
        <f ca="1"/>
        <v>-9.2509561131202248E-2</v>
      </c>
      <c r="G454">
        <f ca="1"/>
        <v>3.4219016601360557</v>
      </c>
    </row>
    <row r="455" spans="3:7">
      <c r="C455">
        <f ca="1"/>
        <v>0.20773697532150912</v>
      </c>
      <c r="D455">
        <f ca="1"/>
        <v>0.70239930899262293</v>
      </c>
      <c r="E455">
        <f ca="1"/>
        <v>2.0658782887316094</v>
      </c>
      <c r="G455">
        <f ca="1"/>
        <v>4.8043725440416862</v>
      </c>
    </row>
    <row r="456" spans="3:7">
      <c r="C456">
        <f ca="1"/>
        <v>-1.0058472341402938</v>
      </c>
      <c r="D456">
        <f ca="1"/>
        <v>0.38772234409164608</v>
      </c>
      <c r="E456">
        <f ca="1"/>
        <v>-0.76666427783682634</v>
      </c>
      <c r="G456">
        <f ca="1"/>
        <v>1.7498313894466624</v>
      </c>
    </row>
    <row r="457" spans="3:7">
      <c r="C457">
        <f ca="1"/>
        <v>0.41252103662748357</v>
      </c>
      <c r="D457">
        <f ca="1"/>
        <v>0.8160549395254183</v>
      </c>
      <c r="E457">
        <f ca="1"/>
        <v>-1.2706342972777818</v>
      </c>
      <c r="G457">
        <f ca="1"/>
        <v>2.4506307874026501</v>
      </c>
    </row>
    <row r="458" spans="3:7">
      <c r="C458">
        <f ca="1"/>
        <v>1.0916224887342985</v>
      </c>
      <c r="D458">
        <f ca="1"/>
        <v>0.6539286820688629</v>
      </c>
      <c r="E458">
        <f ca="1"/>
        <v>4.4918407046415879E-2</v>
      </c>
      <c r="G458">
        <f ca="1"/>
        <v>1.6212800424343712</v>
      </c>
    </row>
    <row r="459" spans="3:7">
      <c r="C459">
        <f ca="1"/>
        <v>-8.5561051324894222E-2</v>
      </c>
      <c r="D459">
        <f ca="1"/>
        <v>-1.277830440352498</v>
      </c>
      <c r="E459">
        <f ca="1"/>
        <v>0.73028100858687661</v>
      </c>
      <c r="G459">
        <f ca="1"/>
        <v>2.1734816792979461</v>
      </c>
    </row>
    <row r="460" spans="3:7">
      <c r="C460">
        <f ca="1"/>
        <v>2.8549345837372821</v>
      </c>
      <c r="D460">
        <f ca="1"/>
        <v>1.5039852600916761</v>
      </c>
      <c r="E460">
        <f ca="1"/>
        <v>0.68620229760014839</v>
      </c>
      <c r="G460">
        <f ca="1"/>
        <v>10.883496733223918</v>
      </c>
    </row>
    <row r="461" spans="3:7">
      <c r="C461">
        <f ca="1"/>
        <v>-3.6448186640067451E-2</v>
      </c>
      <c r="D461">
        <f ca="1"/>
        <v>0.69899186832749383</v>
      </c>
      <c r="E461">
        <f ca="1"/>
        <v>-1.7704200484421493</v>
      </c>
      <c r="G461">
        <f ca="1"/>
        <v>3.6243052502232116</v>
      </c>
    </row>
    <row r="462" spans="3:7">
      <c r="C462">
        <f ca="1"/>
        <v>-1.2380343943420196</v>
      </c>
      <c r="D462">
        <f ca="1"/>
        <v>0.74911501842476902</v>
      </c>
      <c r="E462">
        <f ca="1"/>
        <v>0.46043055561883123</v>
      </c>
      <c r="G462">
        <f ca="1"/>
        <v>2.305898768950819</v>
      </c>
    </row>
    <row r="463" spans="3:7">
      <c r="C463">
        <f ca="1"/>
        <v>0.33079621168335693</v>
      </c>
      <c r="D463">
        <f ca="1"/>
        <v>-1.7799851649572767</v>
      </c>
      <c r="E463">
        <f ca="1"/>
        <v>1.8331974871645704</v>
      </c>
      <c r="G463">
        <f ca="1"/>
        <v>6.638386348078539</v>
      </c>
    </row>
    <row r="464" spans="3:7">
      <c r="C464">
        <f ca="1"/>
        <v>-2.0212496481220565</v>
      </c>
      <c r="D464">
        <f ca="1"/>
        <v>-0.31164029160494744</v>
      </c>
      <c r="E464">
        <f ca="1"/>
        <v>0.3420151027593249</v>
      </c>
      <c r="G464">
        <f ca="1"/>
        <v>4.2995441419006255</v>
      </c>
    </row>
    <row r="465" spans="3:7">
      <c r="C465">
        <f ca="1"/>
        <v>-0.87232696356322503</v>
      </c>
      <c r="D465">
        <f ca="1"/>
        <v>-0.55124207715300255</v>
      </c>
      <c r="E465">
        <f ca="1"/>
        <v>0.10738812792475225</v>
      </c>
      <c r="G465">
        <f ca="1"/>
        <v>1.0763543690025761</v>
      </c>
    </row>
    <row r="466" spans="3:7">
      <c r="C466">
        <f ca="1"/>
        <v>-1.2202723207254533</v>
      </c>
      <c r="D466">
        <f ca="1"/>
        <v>1.0789729514148125</v>
      </c>
      <c r="E466">
        <f ca="1"/>
        <v>1.4963703771822214</v>
      </c>
      <c r="G466">
        <f ca="1"/>
        <v>4.8923714723219387</v>
      </c>
    </row>
    <row r="467" spans="3:7">
      <c r="C467">
        <f ca="1"/>
        <v>0.88308078934736134</v>
      </c>
      <c r="D467">
        <f ca="1"/>
        <v>-0.24558938299907263</v>
      </c>
      <c r="E467">
        <f ca="1"/>
        <v>1.9361626479215086</v>
      </c>
      <c r="G467">
        <f ca="1"/>
        <v>4.5888716247626515</v>
      </c>
    </row>
    <row r="468" spans="3:7">
      <c r="C468">
        <f ca="1"/>
        <v>0.92049472942210564</v>
      </c>
      <c r="D468">
        <f ca="1"/>
        <v>-9.2571920870702318E-2</v>
      </c>
      <c r="E468">
        <f ca="1"/>
        <v>-1.1025796412878381</v>
      </c>
      <c r="G468">
        <f ca="1"/>
        <v>2.071561972809985</v>
      </c>
    </row>
    <row r="469" spans="3:7">
      <c r="C469">
        <f ca="1"/>
        <v>0.98483850062457001</v>
      </c>
      <c r="D469">
        <f ca="1"/>
        <v>1.2154155231275336</v>
      </c>
      <c r="E469">
        <f ca="1"/>
        <v>-0.93299846085871718</v>
      </c>
      <c r="G469">
        <f ca="1"/>
        <v>3.3176278941365629</v>
      </c>
    </row>
    <row r="470" spans="3:7">
      <c r="C470">
        <f ca="1"/>
        <v>0.88477069077774617</v>
      </c>
      <c r="D470">
        <f ca="1"/>
        <v>-0.19969143613611415</v>
      </c>
      <c r="E470">
        <f ca="1"/>
        <v>0.65015341774032409</v>
      </c>
      <c r="G470">
        <f ca="1"/>
        <v>1.2453953115248582</v>
      </c>
    </row>
    <row r="471" spans="3:7">
      <c r="C471">
        <f ca="1"/>
        <v>-0.50491471763880835</v>
      </c>
      <c r="D471">
        <f ca="1"/>
        <v>-0.99734510244071317</v>
      </c>
      <c r="E471">
        <f ca="1"/>
        <v>1.1132996066053651</v>
      </c>
      <c r="G471">
        <f ca="1"/>
        <v>2.4890721395184148</v>
      </c>
    </row>
    <row r="472" spans="3:7">
      <c r="C472">
        <f ca="1"/>
        <v>-1.7951836622779718</v>
      </c>
      <c r="D472">
        <f ca="1"/>
        <v>0.4277084595102838</v>
      </c>
      <c r="E472">
        <f ca="1"/>
        <v>0.29587011898303928</v>
      </c>
      <c r="G472">
        <f ca="1"/>
        <v>3.4931580349534488</v>
      </c>
    </row>
    <row r="473" spans="3:7">
      <c r="C473">
        <f ca="1"/>
        <v>-0.96958741850263241</v>
      </c>
      <c r="D473">
        <f ca="1"/>
        <v>0.39470903191041662</v>
      </c>
      <c r="E473">
        <f ca="1"/>
        <v>-0.19088415265232264</v>
      </c>
      <c r="G473">
        <f ca="1"/>
        <v>1.1323317417240522</v>
      </c>
    </row>
    <row r="474" spans="3:7">
      <c r="C474">
        <f ca="1"/>
        <v>2.0601272790225902E-2</v>
      </c>
      <c r="D474">
        <f ca="1"/>
        <v>-0.55847035777156473</v>
      </c>
      <c r="E474">
        <f ca="1"/>
        <v>-0.91464996232661822</v>
      </c>
      <c r="G474">
        <f ca="1"/>
        <v>1.148898106534161</v>
      </c>
    </row>
    <row r="475" spans="3:7">
      <c r="C475">
        <f ca="1"/>
        <v>-0.98682748759824324</v>
      </c>
      <c r="D475">
        <f ca="1"/>
        <v>0.97539339401092395</v>
      </c>
      <c r="E475">
        <f ca="1"/>
        <v>1.3542990903419794</v>
      </c>
      <c r="G475">
        <f ca="1"/>
        <v>3.7593467894607233</v>
      </c>
    </row>
    <row r="476" spans="3:7">
      <c r="C476">
        <f ca="1"/>
        <v>-1.1003617465652455</v>
      </c>
      <c r="D476">
        <f ca="1"/>
        <v>-1.5417096954799792</v>
      </c>
      <c r="E476">
        <f ca="1"/>
        <v>-0.27625141677576326</v>
      </c>
      <c r="G476">
        <f ca="1"/>
        <v>3.6639796037117045</v>
      </c>
    </row>
    <row r="477" spans="3:7">
      <c r="C477">
        <f ca="1"/>
        <v>-3.0043632148148114</v>
      </c>
      <c r="D477">
        <f ca="1"/>
        <v>0.74870225322051842</v>
      </c>
      <c r="E477">
        <f ca="1"/>
        <v>7.7179888981943071E-2</v>
      </c>
      <c r="G477">
        <f ca="1"/>
        <v>9.5927101257731344</v>
      </c>
    </row>
    <row r="478" spans="3:7">
      <c r="C478">
        <f ca="1"/>
        <v>9.946581270051498E-2</v>
      </c>
      <c r="D478">
        <f ca="1"/>
        <v>-0.28351458191901063</v>
      </c>
      <c r="E478">
        <f ca="1"/>
        <v>-0.93525392086777004</v>
      </c>
      <c r="G478">
        <f ca="1"/>
        <v>0.96497386255542239</v>
      </c>
    </row>
    <row r="479" spans="3:7">
      <c r="C479">
        <f ca="1"/>
        <v>1.2188511404893898</v>
      </c>
      <c r="D479">
        <f ca="1"/>
        <v>0.34006224248587213</v>
      </c>
      <c r="E479">
        <f ca="1"/>
        <v>4.3544992673572709E-2</v>
      </c>
      <c r="G479">
        <f ca="1"/>
        <v>1.6031365978237477</v>
      </c>
    </row>
    <row r="480" spans="3:7">
      <c r="C480">
        <f ca="1"/>
        <v>0.40607467841481482</v>
      </c>
      <c r="D480">
        <f ca="1"/>
        <v>0.5416506402557455</v>
      </c>
      <c r="E480">
        <f ca="1"/>
        <v>-1.484055395140325</v>
      </c>
      <c r="G480">
        <f ca="1"/>
        <v>2.6607024763842606</v>
      </c>
    </row>
    <row r="481" spans="3:7">
      <c r="C481">
        <f ca="1"/>
        <v>1.8798328969631308</v>
      </c>
      <c r="D481">
        <f ca="1"/>
        <v>1.7647294834480449</v>
      </c>
      <c r="E481">
        <f ca="1"/>
        <v>-0.70301349063417196</v>
      </c>
      <c r="G481">
        <f ca="1"/>
        <v>7.1422698382692431</v>
      </c>
    </row>
    <row r="482" spans="3:7">
      <c r="C482">
        <f ca="1"/>
        <v>-0.33110259260836533</v>
      </c>
      <c r="D482">
        <f ca="1"/>
        <v>-0.97732516528529356</v>
      </c>
      <c r="E482">
        <f ca="1"/>
        <v>-0.21662044986677512</v>
      </c>
      <c r="G482">
        <f ca="1"/>
        <v>1.1117178248323916</v>
      </c>
    </row>
    <row r="483" spans="3:7">
      <c r="C483">
        <f ca="1"/>
        <v>0.92919692290570521</v>
      </c>
      <c r="D483">
        <f ca="1"/>
        <v>0.81734298890560952</v>
      </c>
      <c r="E483">
        <f ca="1"/>
        <v>1.1441088747634489</v>
      </c>
      <c r="G483">
        <f ca="1"/>
        <v>2.8404416003630715</v>
      </c>
    </row>
    <row r="484" spans="3:7">
      <c r="C484">
        <f ca="1"/>
        <v>0.86589431325636634</v>
      </c>
      <c r="D484">
        <f ca="1"/>
        <v>0.21901985066268587</v>
      </c>
      <c r="E484">
        <f ca="1"/>
        <v>-1.1453149225902426</v>
      </c>
      <c r="G484">
        <f ca="1"/>
        <v>2.109488928621913</v>
      </c>
    </row>
    <row r="485" spans="3:7">
      <c r="C485">
        <f ca="1"/>
        <v>-0.12900736601895099</v>
      </c>
      <c r="D485">
        <f ca="1"/>
        <v>-0.14151880700770311</v>
      </c>
      <c r="E485">
        <f ca="1"/>
        <v>0.16331752950365408</v>
      </c>
      <c r="G485">
        <f ca="1"/>
        <v>6.3343088667208031E-2</v>
      </c>
    </row>
    <row r="486" spans="3:7">
      <c r="C486">
        <f ca="1"/>
        <v>-0.82518584280307594</v>
      </c>
      <c r="D486">
        <f ca="1"/>
        <v>-0.58616352164431695</v>
      </c>
      <c r="E486">
        <f ca="1"/>
        <v>0.6969561768157827</v>
      </c>
      <c r="G486">
        <f ca="1"/>
        <v>1.5102672616707629</v>
      </c>
    </row>
    <row r="487" spans="3:7">
      <c r="C487">
        <f ca="1"/>
        <v>-1.2797875961586038E-2</v>
      </c>
      <c r="D487">
        <f ca="1"/>
        <v>0.53846830745203655</v>
      </c>
      <c r="E487">
        <f ca="1"/>
        <v>-0.45292831974540643</v>
      </c>
      <c r="G487">
        <f ca="1"/>
        <v>0.49525596658678622</v>
      </c>
    </row>
    <row r="488" spans="3:7">
      <c r="C488">
        <f ca="1"/>
        <v>0.63140135123869023</v>
      </c>
      <c r="D488">
        <f ca="1"/>
        <v>-0.46860118169928061</v>
      </c>
      <c r="E488">
        <f ca="1"/>
        <v>-1.0234984207820521</v>
      </c>
      <c r="G488">
        <f ca="1"/>
        <v>1.6658037511793606</v>
      </c>
    </row>
    <row r="489" spans="3:7">
      <c r="C489">
        <f ca="1"/>
        <v>1.211246915698758</v>
      </c>
      <c r="D489">
        <f ca="1"/>
        <v>1.58348443876756</v>
      </c>
      <c r="E489">
        <f ca="1"/>
        <v>-1.36010858003015</v>
      </c>
      <c r="G489">
        <f ca="1"/>
        <v>5.8244374080803993</v>
      </c>
    </row>
    <row r="490" spans="3:7">
      <c r="C490">
        <f ca="1"/>
        <v>-1.1338298760198913</v>
      </c>
      <c r="D490">
        <f ca="1"/>
        <v>-1.1656910197014132</v>
      </c>
      <c r="E490">
        <f ca="1"/>
        <v>0.46589763337407814</v>
      </c>
      <c r="G490">
        <f ca="1"/>
        <v>2.8614663459513694</v>
      </c>
    </row>
    <row r="491" spans="3:7">
      <c r="C491">
        <f ca="1"/>
        <v>-0.74827376706332938</v>
      </c>
      <c r="D491">
        <f ca="1"/>
        <v>1.6294502331168423</v>
      </c>
      <c r="E491">
        <f ca="1"/>
        <v>-3.3066495037138183E-2</v>
      </c>
      <c r="G491">
        <f ca="1"/>
        <v>3.2161150857737186</v>
      </c>
    </row>
    <row r="492" spans="3:7">
      <c r="C492">
        <f ca="1"/>
        <v>-2.0835594346850761</v>
      </c>
      <c r="D492">
        <f ca="1"/>
        <v>1.2535745931660109</v>
      </c>
      <c r="E492">
        <f ca="1"/>
        <v>0.45534025761091929</v>
      </c>
      <c r="G492">
        <f ca="1"/>
        <v>6.1200039286977024</v>
      </c>
    </row>
    <row r="493" spans="3:7">
      <c r="C493">
        <f ca="1"/>
        <v>0.54567651824939156</v>
      </c>
      <c r="D493">
        <f ca="1"/>
        <v>-1.2972930436413062</v>
      </c>
      <c r="E493">
        <f ca="1"/>
        <v>0.32609415503159822</v>
      </c>
      <c r="G493">
        <f ca="1"/>
        <v>2.0870695015946743</v>
      </c>
    </row>
    <row r="494" spans="3:7">
      <c r="C494">
        <f ca="1"/>
        <v>-0.78831843497638421</v>
      </c>
      <c r="D494">
        <f ca="1"/>
        <v>0.19304692661901809</v>
      </c>
      <c r="E494">
        <f ca="1"/>
        <v>0.68018043599727918</v>
      </c>
      <c r="G494">
        <f ca="1"/>
        <v>1.121358496314113</v>
      </c>
    </row>
    <row r="495" spans="3:7">
      <c r="C495">
        <f ca="1"/>
        <v>-0.24496366568428279</v>
      </c>
      <c r="D495">
        <f ca="1"/>
        <v>-0.18694102567193838</v>
      </c>
      <c r="E495">
        <f ca="1"/>
        <v>-1.0570277930195475</v>
      </c>
      <c r="G495">
        <f ca="1"/>
        <v>1.2122618998005328</v>
      </c>
    </row>
    <row r="496" spans="3:7">
      <c r="C496">
        <f ca="1"/>
        <v>0.20386487354837499</v>
      </c>
      <c r="D496">
        <f ca="1"/>
        <v>0.8773143631352599</v>
      </c>
      <c r="E496">
        <f ca="1"/>
        <v>1.1100550874614525</v>
      </c>
      <c r="G496">
        <f ca="1"/>
        <v>2.0434636756293747</v>
      </c>
    </row>
    <row r="497" spans="3:7">
      <c r="C497">
        <f ca="1"/>
        <v>0.8093620652993242</v>
      </c>
      <c r="D497">
        <f ca="1"/>
        <v>0.49958295568931088</v>
      </c>
      <c r="E497">
        <f ca="1"/>
        <v>-0.51347451780755904</v>
      </c>
      <c r="G497">
        <f ca="1"/>
        <v>1.1683061627985607</v>
      </c>
    </row>
    <row r="498" spans="3:7">
      <c r="C498">
        <f ca="1"/>
        <v>2.6522737618786274</v>
      </c>
      <c r="D498">
        <f ca="1"/>
        <v>-0.80292200125746072</v>
      </c>
      <c r="E498">
        <f ca="1"/>
        <v>-0.38796706897328714</v>
      </c>
      <c r="G498">
        <f ca="1"/>
        <v>7.8297582946608149</v>
      </c>
    </row>
    <row r="499" spans="3:7">
      <c r="C499">
        <f ca="1"/>
        <v>-5.9624434431462994E-2</v>
      </c>
      <c r="D499">
        <f ca="1"/>
        <v>-0.32309960039483993</v>
      </c>
      <c r="E499">
        <f ca="1"/>
        <v>0.27091945810397933</v>
      </c>
      <c r="G499">
        <f ca="1"/>
        <v>0.18134577773593091</v>
      </c>
    </row>
    <row r="500" spans="3:7">
      <c r="C500">
        <f ca="1"/>
        <v>0.83091796105166693</v>
      </c>
      <c r="D500">
        <f ca="1"/>
        <v>0.20015683324276701</v>
      </c>
      <c r="E500">
        <f ca="1"/>
        <v>3.1075430831467594</v>
      </c>
      <c r="G500">
        <f ca="1"/>
        <v>10.387311429505299</v>
      </c>
    </row>
    <row r="501" spans="3:7">
      <c r="C501">
        <f ca="1"/>
        <v>-0.29959608936615423</v>
      </c>
      <c r="D501">
        <f ca="1"/>
        <v>-2.0651535409912127</v>
      </c>
      <c r="E501">
        <f ca="1"/>
        <v>0.14875440048909588</v>
      </c>
      <c r="G501">
        <f ca="1"/>
        <v>4.3767448362969077</v>
      </c>
    </row>
    <row r="502" spans="3:7">
      <c r="C502">
        <f ca="1"/>
        <v>0.75911157182872901</v>
      </c>
      <c r="D502">
        <f ca="1"/>
        <v>-0.83666064476902002</v>
      </c>
      <c r="E502">
        <f ca="1"/>
        <v>2.0763998396767689</v>
      </c>
      <c r="G502">
        <f ca="1"/>
        <v>5.587687707199307</v>
      </c>
    </row>
    <row r="503" spans="3:7">
      <c r="C503">
        <f ca="1"/>
        <v>0.10413271491183881</v>
      </c>
      <c r="D503">
        <f ca="1"/>
        <v>0.41747344471303438</v>
      </c>
      <c r="E503">
        <f ca="1"/>
        <v>-1.7702014573006966</v>
      </c>
      <c r="G503">
        <f ca="1"/>
        <v>3.3187408987849869</v>
      </c>
    </row>
    <row r="504" spans="3:7">
      <c r="C504">
        <f ca="1"/>
        <v>-0.14251453441594178</v>
      </c>
      <c r="D504">
        <f ca="1"/>
        <v>1.3133479282876772</v>
      </c>
      <c r="E504">
        <f ca="1"/>
        <v>-0.11644683472914952</v>
      </c>
      <c r="G504">
        <f ca="1"/>
        <v>1.7587530385757644</v>
      </c>
    </row>
    <row r="505" spans="3:7">
      <c r="C505">
        <f ca="1"/>
        <v>0.21166834704053944</v>
      </c>
      <c r="D505">
        <f ca="1"/>
        <v>0.24853769325144115</v>
      </c>
      <c r="E505">
        <f ca="1"/>
        <v>-0.27175583453034902</v>
      </c>
      <c r="G505">
        <f ca="1"/>
        <v>0.18042570770690813</v>
      </c>
    </row>
    <row r="506" spans="3:7">
      <c r="C506">
        <f ca="1"/>
        <v>9.998521964970114E-2</v>
      </c>
      <c r="D506">
        <f ca="1"/>
        <v>-1.5417789181534369</v>
      </c>
      <c r="E506">
        <f ca="1"/>
        <v>0.52487000984002063</v>
      </c>
      <c r="G506">
        <f ca="1"/>
        <v>2.6625678038402447</v>
      </c>
    </row>
    <row r="507" spans="3:7">
      <c r="C507">
        <f ca="1"/>
        <v>-1.1194198491884508</v>
      </c>
      <c r="D507">
        <f ca="1"/>
        <v>-0.68493559485355537</v>
      </c>
      <c r="E507">
        <f ca="1"/>
        <v>2.2382424788714341</v>
      </c>
      <c r="G507">
        <f ca="1"/>
        <v>6.7319669620790297</v>
      </c>
    </row>
    <row r="508" spans="3:7">
      <c r="C508">
        <f ca="1"/>
        <v>1.0724845955553597</v>
      </c>
      <c r="D508">
        <f ca="1"/>
        <v>-2.6861603399492031</v>
      </c>
      <c r="E508">
        <f ca="1"/>
        <v>0.8518057447168671</v>
      </c>
      <c r="G508">
        <f ca="1"/>
        <v>9.0912536063522182</v>
      </c>
    </row>
    <row r="509" spans="3:7">
      <c r="C509">
        <f ca="1"/>
        <v>-0.68018645338829575</v>
      </c>
      <c r="D509">
        <f ca="1"/>
        <v>0.14231361732754588</v>
      </c>
      <c r="E509">
        <f ca="1"/>
        <v>-0.5653038393501717</v>
      </c>
      <c r="G509">
        <f ca="1"/>
        <v>0.80247520783384418</v>
      </c>
    </row>
    <row r="510" spans="3:7">
      <c r="C510">
        <f ca="1"/>
        <v>-2.9481868344212247E-2</v>
      </c>
      <c r="D510">
        <f ca="1"/>
        <v>-0.69470193820779247</v>
      </c>
      <c r="E510">
        <f ca="1"/>
        <v>-0.24407155247001858</v>
      </c>
      <c r="G510">
        <f ca="1"/>
        <v>0.54305088623585396</v>
      </c>
    </row>
    <row r="511" spans="3:7">
      <c r="C511">
        <f ca="1"/>
        <v>1.41753103369966</v>
      </c>
      <c r="D511">
        <f ca="1"/>
        <v>-0.12038123788175185</v>
      </c>
      <c r="E511">
        <f ca="1"/>
        <v>1.0094328323073447</v>
      </c>
      <c r="G511">
        <f ca="1"/>
        <v>3.0428405168755974</v>
      </c>
    </row>
    <row r="512" spans="3:7">
      <c r="C512">
        <f ca="1"/>
        <v>-1.1047275810587709</v>
      </c>
      <c r="D512">
        <f ca="1"/>
        <v>0.80137944927401528</v>
      </c>
      <c r="E512">
        <f ca="1"/>
        <v>-1.05513210514543E-4</v>
      </c>
      <c r="G512">
        <f ca="1"/>
        <v>1.8626320612037248</v>
      </c>
    </row>
    <row r="513" spans="3:7">
      <c r="C513">
        <f ca="1"/>
        <v>0.34826986826242529</v>
      </c>
      <c r="D513">
        <f ca="1"/>
        <v>-0.43039411404033429</v>
      </c>
      <c r="E513">
        <f ca="1"/>
        <v>-8.3136229976844306E-2</v>
      </c>
      <c r="G513">
        <f ca="1"/>
        <v>0.31344262727485411</v>
      </c>
    </row>
    <row r="514" spans="3:7">
      <c r="C514">
        <f ca="1"/>
        <v>-0.63575381606153814</v>
      </c>
      <c r="D514">
        <f ca="1"/>
        <v>-0.16875884527703949</v>
      </c>
      <c r="E514">
        <f ca="1"/>
        <v>1.1337135161175149</v>
      </c>
      <c r="G514">
        <f ca="1"/>
        <v>1.7179687991235866</v>
      </c>
    </row>
    <row r="515" spans="3:7">
      <c r="C515">
        <f ca="1"/>
        <v>-0.67348690531708622</v>
      </c>
      <c r="D515">
        <f ca="1"/>
        <v>-2.4601398398260435E-2</v>
      </c>
      <c r="E515">
        <f ca="1"/>
        <v>1.7543497213140147</v>
      </c>
      <c r="G515">
        <f ca="1"/>
        <v>3.5319327851112967</v>
      </c>
    </row>
    <row r="516" spans="3:7">
      <c r="C516">
        <f ca="1"/>
        <v>-0.1730889160760421</v>
      </c>
      <c r="D516">
        <f ca="1"/>
        <v>1.3304491013834889</v>
      </c>
      <c r="E516">
        <f ca="1"/>
        <v>-0.18608794508705304</v>
      </c>
      <c r="G516">
        <f ca="1"/>
        <v>1.8346833075472344</v>
      </c>
    </row>
    <row r="517" spans="3:7">
      <c r="C517">
        <f ca="1"/>
        <v>-1.1856508186955168</v>
      </c>
      <c r="D517">
        <f ca="1"/>
        <v>-0.21569702430393872</v>
      </c>
      <c r="E517">
        <f ca="1"/>
        <v>-0.56562509703494146</v>
      </c>
      <c r="G517">
        <f ca="1"/>
        <v>1.7722248205627102</v>
      </c>
    </row>
    <row r="518" spans="3:7">
      <c r="C518">
        <f ca="1"/>
        <v>-0.34151586045179322</v>
      </c>
      <c r="D518">
        <f ca="1"/>
        <v>0.3814728793800789</v>
      </c>
      <c r="E518">
        <f ca="1"/>
        <v>5.7111466035048991E-2</v>
      </c>
      <c r="G518">
        <f ca="1"/>
        <v>0.26541636019532949</v>
      </c>
    </row>
    <row r="519" spans="3:7">
      <c r="C519">
        <f ca="1"/>
        <v>-3.1067719747262332E-2</v>
      </c>
      <c r="D519">
        <f ca="1"/>
        <v>1.0289485449165199</v>
      </c>
      <c r="E519">
        <f ca="1"/>
        <v>-0.75853994759481091</v>
      </c>
      <c r="G519">
        <f ca="1"/>
        <v>1.6350831633932565</v>
      </c>
    </row>
    <row r="520" spans="3:7">
      <c r="C520">
        <f ca="1"/>
        <v>-0.48137504681405979</v>
      </c>
      <c r="D520">
        <f ca="1"/>
        <v>-0.61648512534363642</v>
      </c>
      <c r="E520">
        <f ca="1"/>
        <v>-1.0861906587677372</v>
      </c>
      <c r="G520">
        <f ca="1"/>
        <v>1.7915859926594884</v>
      </c>
    </row>
    <row r="521" spans="3:7">
      <c r="C521">
        <f ca="1"/>
        <v>0.55901614689709833</v>
      </c>
      <c r="D521">
        <f ca="1"/>
        <v>0.21808761829786441</v>
      </c>
      <c r="E521">
        <f ca="1"/>
        <v>-0.2181313085817804</v>
      </c>
      <c r="G521">
        <f ca="1"/>
        <v>0.4076425295301131</v>
      </c>
    </row>
    <row r="522" spans="3:7">
      <c r="C522">
        <f ca="1"/>
        <v>0.61981663269778553</v>
      </c>
      <c r="D522">
        <f ca="1"/>
        <v>-0.5033642743867397</v>
      </c>
      <c r="E522">
        <f ca="1"/>
        <v>-0.45378220970804029</v>
      </c>
      <c r="G522">
        <f ca="1"/>
        <v>0.84346654474522242</v>
      </c>
    </row>
    <row r="523" spans="3:7">
      <c r="C523">
        <f ca="1"/>
        <v>-1.6419733040609472</v>
      </c>
      <c r="D523">
        <f ca="1"/>
        <v>-0.49092344039240488</v>
      </c>
      <c r="E523">
        <f ca="1"/>
        <v>-1.2887855484096815</v>
      </c>
      <c r="G523">
        <f ca="1"/>
        <v>4.5980503453651824</v>
      </c>
    </row>
    <row r="524" spans="3:7">
      <c r="C524">
        <f ca="1"/>
        <v>0.20350837204014852</v>
      </c>
      <c r="D524">
        <f ca="1"/>
        <v>0.44331999300386304</v>
      </c>
      <c r="E524">
        <f ca="1"/>
        <v>-1.32662855775958</v>
      </c>
      <c r="G524">
        <f ca="1"/>
        <v>1.9978916039506398</v>
      </c>
    </row>
    <row r="525" spans="3:7">
      <c r="C525">
        <f ca="1"/>
        <v>-1.3441002645718054</v>
      </c>
      <c r="D525">
        <f ca="1"/>
        <v>0.2426344123025404</v>
      </c>
      <c r="E525">
        <f ca="1"/>
        <v>1.4336861732866724</v>
      </c>
      <c r="G525">
        <f ca="1"/>
        <v>3.9209330227287786</v>
      </c>
    </row>
    <row r="526" spans="3:7">
      <c r="C526">
        <f ca="1"/>
        <v>0.71006451208576427</v>
      </c>
      <c r="D526">
        <f ca="1"/>
        <v>-0.77603474530055117</v>
      </c>
      <c r="E526">
        <f ca="1"/>
        <v>-0.49857839970093032</v>
      </c>
      <c r="G526">
        <f ca="1"/>
        <v>1.3550019578856265</v>
      </c>
    </row>
    <row r="527" spans="3:7">
      <c r="C527">
        <f ca="1"/>
        <v>0.70850341804720018</v>
      </c>
      <c r="D527">
        <f ca="1"/>
        <v>0.85106773215486109</v>
      </c>
      <c r="E527">
        <f ca="1"/>
        <v>1.0292787269732673</v>
      </c>
      <c r="G527">
        <f ca="1"/>
        <v>2.2857080758994934</v>
      </c>
    </row>
    <row r="528" spans="3:7">
      <c r="C528">
        <f ca="1"/>
        <v>0.99625047569663294</v>
      </c>
      <c r="D528">
        <f ca="1"/>
        <v>1.1213817436668672</v>
      </c>
      <c r="E528">
        <f ca="1"/>
        <v>-1.1457515603528257</v>
      </c>
      <c r="G528">
        <f ca="1"/>
        <v>3.5627586634060453</v>
      </c>
    </row>
    <row r="529" spans="3:7">
      <c r="C529">
        <f ca="1"/>
        <v>-1.396311858524506</v>
      </c>
      <c r="D529">
        <f ca="1"/>
        <v>-5.2910164015527957E-2</v>
      </c>
      <c r="E529">
        <f ca="1"/>
        <v>-0.31556147038325999</v>
      </c>
      <c r="G529">
        <f ca="1"/>
        <v>2.0520653333027554</v>
      </c>
    </row>
    <row r="530" spans="3:7">
      <c r="C530">
        <f ca="1"/>
        <v>0.21347762633890582</v>
      </c>
      <c r="D530">
        <f ca="1"/>
        <v>-0.13304232212611442</v>
      </c>
      <c r="E530">
        <f ca="1"/>
        <v>0.43693779644078828</v>
      </c>
      <c r="G530">
        <f ca="1"/>
        <v>0.25418759438253402</v>
      </c>
    </row>
    <row r="531" spans="3:7">
      <c r="C531">
        <f ca="1"/>
        <v>-0.64479443606011999</v>
      </c>
      <c r="D531">
        <f ca="1"/>
        <v>0.32903730327992459</v>
      </c>
      <c r="E531">
        <f ca="1"/>
        <v>0.13522928519271396</v>
      </c>
      <c r="G531">
        <f ca="1"/>
        <v>0.54231237129754561</v>
      </c>
    </row>
    <row r="532" spans="3:7">
      <c r="C532">
        <f ca="1"/>
        <v>-0.84380050045927724</v>
      </c>
      <c r="D532">
        <f ca="1"/>
        <v>-1.8585420562277404E-2</v>
      </c>
      <c r="E532">
        <f ca="1"/>
        <v>0.28489597116921056</v>
      </c>
      <c r="G532">
        <f ca="1"/>
        <v>0.79351041682125112</v>
      </c>
    </row>
    <row r="533" spans="3:7">
      <c r="C533">
        <f ca="1"/>
        <v>0.29807213426108203</v>
      </c>
      <c r="D533">
        <f ca="1"/>
        <v>-0.68015507845925738</v>
      </c>
      <c r="E533">
        <f ca="1"/>
        <v>-0.51860579763997294</v>
      </c>
      <c r="G533">
        <f ca="1"/>
        <v>0.82040990132266767</v>
      </c>
    </row>
    <row r="534" spans="3:7">
      <c r="C534">
        <f ca="1"/>
        <v>1.7652341469982915</v>
      </c>
      <c r="D534">
        <f ca="1"/>
        <v>-0.17678973840640036</v>
      </c>
      <c r="E534">
        <f ca="1"/>
        <v>0.1482254869276865</v>
      </c>
      <c r="G534">
        <f ca="1"/>
        <v>3.1692770003095392</v>
      </c>
    </row>
    <row r="535" spans="3:7">
      <c r="C535">
        <f ca="1"/>
        <v>1.5892540178034527</v>
      </c>
      <c r="D535">
        <f ca="1"/>
        <v>-1.368467143934025</v>
      </c>
      <c r="E535">
        <f ca="1"/>
        <v>-0.39019862839098285</v>
      </c>
      <c r="G535">
        <f ca="1"/>
        <v>4.5506856267295692</v>
      </c>
    </row>
    <row r="536" spans="3:7">
      <c r="C536">
        <f ca="1"/>
        <v>-1.3002569927114185</v>
      </c>
      <c r="D536">
        <f ca="1"/>
        <v>-1.8532860485461793</v>
      </c>
      <c r="E536">
        <f ca="1"/>
        <v>-1.3055658728016439</v>
      </c>
      <c r="G536">
        <f ca="1"/>
        <v>6.8298396730551714</v>
      </c>
    </row>
    <row r="537" spans="3:7">
      <c r="C537">
        <f ca="1"/>
        <v>-0.43345680335452386</v>
      </c>
      <c r="D537">
        <f ca="1"/>
        <v>-0.78678216474018092</v>
      </c>
      <c r="E537">
        <f ca="1"/>
        <v>-1.0227184413212429</v>
      </c>
      <c r="G537">
        <f ca="1"/>
        <v>1.8528639853461202</v>
      </c>
    </row>
    <row r="538" spans="3:7">
      <c r="C538">
        <f ca="1"/>
        <v>-0.58370087613809607</v>
      </c>
      <c r="D538">
        <f ca="1"/>
        <v>-1.9181828881012144</v>
      </c>
      <c r="E538">
        <f ca="1"/>
        <v>0.55948031057143321</v>
      </c>
      <c r="G538">
        <f ca="1"/>
        <v>4.3331505229258038</v>
      </c>
    </row>
    <row r="539" spans="3:7">
      <c r="C539">
        <f ca="1"/>
        <v>-0.2994050807554921</v>
      </c>
      <c r="D539">
        <f ca="1"/>
        <v>-0.60102221016561364</v>
      </c>
      <c r="E539">
        <f ca="1"/>
        <v>-1.0464002767834626</v>
      </c>
      <c r="G539">
        <f ca="1"/>
        <v>1.5458246387470689</v>
      </c>
    </row>
    <row r="540" spans="3:7">
      <c r="C540">
        <f ca="1"/>
        <v>2.1628692751702947</v>
      </c>
      <c r="D540">
        <f ca="1"/>
        <v>0.14780368175949149</v>
      </c>
      <c r="E540">
        <f ca="1"/>
        <v>-1.9616207946788995E-2</v>
      </c>
      <c r="G540">
        <f ca="1"/>
        <v>4.7002342254315481</v>
      </c>
    </row>
    <row r="541" spans="3:7">
      <c r="C541">
        <f ca="1"/>
        <v>-0.18742665899736546</v>
      </c>
      <c r="D541">
        <f ca="1"/>
        <v>0.32866873322326318</v>
      </c>
      <c r="E541">
        <f ca="1"/>
        <v>-0.66883579551965178</v>
      </c>
      <c r="G541">
        <f ca="1"/>
        <v>0.59049321006990474</v>
      </c>
    </row>
    <row r="542" spans="3:7">
      <c r="C542">
        <f ca="1"/>
        <v>0.96657221433746376</v>
      </c>
      <c r="D542">
        <f ca="1"/>
        <v>0.24990094178798672</v>
      </c>
      <c r="E542">
        <f ca="1"/>
        <v>-1.0055031822252323</v>
      </c>
      <c r="G542">
        <f ca="1"/>
        <v>2.0077489757008191</v>
      </c>
    </row>
    <row r="543" spans="3:7">
      <c r="C543">
        <f ca="1"/>
        <v>1.4979806212357467</v>
      </c>
      <c r="D543">
        <f ca="1"/>
        <v>1.860885576352945</v>
      </c>
      <c r="E543">
        <f ca="1"/>
        <v>-1.1865228528737086</v>
      </c>
      <c r="G543">
        <f ca="1"/>
        <v>7.1146775502678299</v>
      </c>
    </row>
    <row r="544" spans="3:7">
      <c r="C544">
        <f ca="1"/>
        <v>2.2524412623745054</v>
      </c>
      <c r="D544">
        <f ca="1"/>
        <v>0.34297751988736669</v>
      </c>
      <c r="E544">
        <f ca="1"/>
        <v>-0.68581737895489647</v>
      </c>
      <c r="G544">
        <f ca="1"/>
        <v>5.6614706968719082</v>
      </c>
    </row>
    <row r="545" spans="3:7">
      <c r="C545">
        <f ca="1"/>
        <v>-2.164528840030171</v>
      </c>
      <c r="D545">
        <f ca="1"/>
        <v>1.4229188825335973E-2</v>
      </c>
      <c r="E545">
        <f ca="1"/>
        <v>-0.4706329262824876</v>
      </c>
      <c r="G545">
        <f ca="1"/>
        <v>4.9068829204382016</v>
      </c>
    </row>
    <row r="546" spans="3:7">
      <c r="C546">
        <f ca="1"/>
        <v>-0.1200676820499698</v>
      </c>
      <c r="D546">
        <f ca="1"/>
        <v>-0.29939740418045585</v>
      </c>
      <c r="E546">
        <f ca="1"/>
        <v>-0.64795787621906387</v>
      </c>
      <c r="G546">
        <f ca="1"/>
        <v>0.52390446325716755</v>
      </c>
    </row>
    <row r="547" spans="3:7">
      <c r="C547">
        <f ca="1"/>
        <v>0.88578187136006137</v>
      </c>
      <c r="D547">
        <f ca="1"/>
        <v>-1.2574255579640354</v>
      </c>
      <c r="E547">
        <f ca="1"/>
        <v>-2.1397704843740399</v>
      </c>
      <c r="G547">
        <f ca="1"/>
        <v>6.9443462832496117</v>
      </c>
    </row>
    <row r="548" spans="3:7">
      <c r="C548">
        <f ca="1"/>
        <v>0.28469591822586027</v>
      </c>
      <c r="D548">
        <f ca="1"/>
        <v>7.8849319516801145E-2</v>
      </c>
      <c r="E548">
        <f ca="1"/>
        <v>-0.72766044298329857</v>
      </c>
      <c r="G548">
        <f ca="1"/>
        <v>0.61675870132537858</v>
      </c>
    </row>
    <row r="549" spans="3:7">
      <c r="C549">
        <f ca="1"/>
        <v>1.89796312175042</v>
      </c>
      <c r="D549">
        <f ca="1"/>
        <v>0.75854815788580154</v>
      </c>
      <c r="E549">
        <f ca="1"/>
        <v>0.39651511343540674</v>
      </c>
      <c r="G549">
        <f ca="1"/>
        <v>4.3348835545392363</v>
      </c>
    </row>
    <row r="550" spans="3:7">
      <c r="C550">
        <f ca="1"/>
        <v>5.1993823556306024E-2</v>
      </c>
      <c r="D550">
        <f ca="1"/>
        <v>-0.59778369793329922</v>
      </c>
      <c r="E550">
        <f ca="1"/>
        <v>-1.7519950810123885</v>
      </c>
      <c r="G550">
        <f ca="1"/>
        <v>3.4295354710944199</v>
      </c>
    </row>
    <row r="551" spans="3:7">
      <c r="C551">
        <f ca="1"/>
        <v>-1.1886121006639865</v>
      </c>
      <c r="D551">
        <f ca="1"/>
        <v>-0.32121868337599718</v>
      </c>
      <c r="E551">
        <f ca="1"/>
        <v>0.76455034967711999</v>
      </c>
      <c r="G551">
        <f ca="1"/>
        <v>2.1005174055860705</v>
      </c>
    </row>
    <row r="552" spans="3:7">
      <c r="C552">
        <f ca="1"/>
        <v>-1.5138040768496681</v>
      </c>
      <c r="D552">
        <f ca="1"/>
        <v>0.13772617862695793</v>
      </c>
      <c r="E552">
        <f ca="1"/>
        <v>-0.73589265609871113</v>
      </c>
      <c r="G552">
        <f ca="1"/>
        <v>2.8521092846658771</v>
      </c>
    </row>
    <row r="553" spans="3:7">
      <c r="C553">
        <f ca="1"/>
        <v>6.1729233008035872E-3</v>
      </c>
      <c r="D553">
        <f ca="1"/>
        <v>0.42898354892677071</v>
      </c>
      <c r="E553">
        <f ca="1"/>
        <v>-4.6470794836181238E-2</v>
      </c>
      <c r="G553">
        <f ca="1"/>
        <v>0.18622452500459111</v>
      </c>
    </row>
    <row r="554" spans="3:7">
      <c r="C554">
        <f ca="1"/>
        <v>-0.28807340144069971</v>
      </c>
      <c r="D554">
        <f ca="1"/>
        <v>0.40210624856745403</v>
      </c>
      <c r="E554">
        <f ca="1"/>
        <v>0.38461115284618047</v>
      </c>
      <c r="G554">
        <f ca="1"/>
        <v>0.39260145864827367</v>
      </c>
    </row>
    <row r="555" spans="3:7">
      <c r="C555">
        <f ca="1"/>
        <v>0.86223460528017504</v>
      </c>
      <c r="D555">
        <f ca="1"/>
        <v>-0.59171462594711777</v>
      </c>
      <c r="E555">
        <f ca="1"/>
        <v>1.4787354148976182</v>
      </c>
      <c r="G555">
        <f ca="1"/>
        <v>3.2802331403748273</v>
      </c>
    </row>
    <row r="556" spans="3:7">
      <c r="C556">
        <f ca="1"/>
        <v>-0.83728960138095487</v>
      </c>
      <c r="D556">
        <f ca="1"/>
        <v>-2.7612361229650387E-2</v>
      </c>
      <c r="E556">
        <f ca="1"/>
        <v>0.35329547853950355</v>
      </c>
      <c r="G556">
        <f ca="1"/>
        <v>0.82663401422981175</v>
      </c>
    </row>
    <row r="557" spans="3:7">
      <c r="C557">
        <f ca="1"/>
        <v>-0.70148449386510581</v>
      </c>
      <c r="D557">
        <f ca="1"/>
        <v>-0.78352762588943758</v>
      </c>
      <c r="E557">
        <f ca="1"/>
        <v>-1.063755967083053</v>
      </c>
      <c r="G557">
        <f ca="1"/>
        <v>2.2375727931699236</v>
      </c>
    </row>
    <row r="558" spans="3:7">
      <c r="C558">
        <f ca="1"/>
        <v>-0.8223914810921078</v>
      </c>
      <c r="D558">
        <f ca="1"/>
        <v>-0.46554418639959855</v>
      </c>
      <c r="E558">
        <f ca="1"/>
        <v>-1.3314798841206423</v>
      </c>
      <c r="G558">
        <f ca="1"/>
        <v>2.6658978194812537</v>
      </c>
    </row>
    <row r="559" spans="3:7">
      <c r="C559">
        <f ca="1"/>
        <v>-0.87181603759969162</v>
      </c>
      <c r="D559">
        <f ca="1"/>
        <v>-2.3503215259276495</v>
      </c>
      <c r="E559">
        <f ca="1"/>
        <v>2.0049834800238315</v>
      </c>
      <c r="G559">
        <f ca="1"/>
        <v>10.304033233823375</v>
      </c>
    </row>
    <row r="560" spans="3:7">
      <c r="C560">
        <f ca="1"/>
        <v>-0.53471544540209304</v>
      </c>
      <c r="D560">
        <f ca="1"/>
        <v>0.46430031424845564</v>
      </c>
      <c r="E560">
        <f ca="1"/>
        <v>0.27377438135936694</v>
      </c>
      <c r="G560">
        <f ca="1"/>
        <v>0.57644780125147743</v>
      </c>
    </row>
    <row r="561" spans="3:7">
      <c r="C561">
        <f ca="1"/>
        <v>-0.69660112412580533</v>
      </c>
      <c r="D561">
        <f ca="1"/>
        <v>-0.31271594953076443</v>
      </c>
      <c r="E561">
        <f ca="1"/>
        <v>0.1103627639039077</v>
      </c>
      <c r="G561">
        <f ca="1"/>
        <v>0.59522433088077287</v>
      </c>
    </row>
    <row r="562" spans="3:7">
      <c r="C562">
        <f ca="1"/>
        <v>-0.95143819935252638</v>
      </c>
      <c r="D562">
        <f ca="1"/>
        <v>-0.35360321053368371</v>
      </c>
      <c r="E562">
        <f ca="1"/>
        <v>0.2247965698031944</v>
      </c>
      <c r="G562">
        <f ca="1"/>
        <v>1.0808033754821889</v>
      </c>
    </row>
    <row r="563" spans="3:7">
      <c r="C563">
        <f ca="1"/>
        <v>-1.015032190289769</v>
      </c>
      <c r="D563">
        <f ca="1"/>
        <v>9.2039863039731259E-2</v>
      </c>
      <c r="E563">
        <f ca="1"/>
        <v>0.41864614935298183</v>
      </c>
      <c r="G563">
        <f ca="1"/>
        <v>1.2140262820808974</v>
      </c>
    </row>
    <row r="564" spans="3:7">
      <c r="C564">
        <f ca="1"/>
        <v>7.725316786661092E-2</v>
      </c>
      <c r="D564">
        <f ca="1"/>
        <v>-2.7749604292379972E-2</v>
      </c>
      <c r="E564">
        <f ca="1"/>
        <v>-0.50360966704777643</v>
      </c>
      <c r="G564">
        <f ca="1"/>
        <v>0.26036078922778272</v>
      </c>
    </row>
    <row r="565" spans="3:7">
      <c r="C565">
        <f ca="1"/>
        <v>0.84823056766011684</v>
      </c>
      <c r="D565">
        <f ca="1"/>
        <v>-1.6684541027159844E-2</v>
      </c>
      <c r="E565">
        <f ca="1"/>
        <v>-1.1432637899335638</v>
      </c>
      <c r="G565">
        <f ca="1"/>
        <v>2.0268255631955467</v>
      </c>
    </row>
    <row r="566" spans="3:7">
      <c r="C566">
        <f ca="1"/>
        <v>1.9876658940768406</v>
      </c>
      <c r="D566">
        <f ca="1"/>
        <v>-1.0173843568512186</v>
      </c>
      <c r="E566">
        <f ca="1"/>
        <v>-1.2505092521190702</v>
      </c>
      <c r="G566">
        <f ca="1"/>
        <v>6.5496600256772499</v>
      </c>
    </row>
    <row r="567" spans="3:7">
      <c r="C567">
        <f ca="1"/>
        <v>-1.8140119262534482</v>
      </c>
      <c r="D567">
        <f ca="1"/>
        <v>-1.5500752567545348</v>
      </c>
      <c r="E567">
        <f ca="1"/>
        <v>2.0357366885794335E-2</v>
      </c>
      <c r="G567">
        <f ca="1"/>
        <v>5.6937869925789055</v>
      </c>
    </row>
    <row r="568" spans="3:7">
      <c r="C568">
        <f ca="1"/>
        <v>-1.2893038279948212</v>
      </c>
      <c r="D568">
        <f ca="1"/>
        <v>-0.87324910387403476</v>
      </c>
      <c r="E568">
        <f ca="1"/>
        <v>-0.5764107476327438</v>
      </c>
      <c r="G568">
        <f ca="1"/>
        <v>2.7571177082854428</v>
      </c>
    </row>
    <row r="569" spans="3:7">
      <c r="C569">
        <f ca="1"/>
        <v>0.20285153201915015</v>
      </c>
      <c r="D569">
        <f ca="1"/>
        <v>0.37428154858568435</v>
      </c>
      <c r="E569">
        <f ca="1"/>
        <v>0.74021610205773958</v>
      </c>
      <c r="G569">
        <f ca="1"/>
        <v>0.72915529939976831</v>
      </c>
    </row>
    <row r="570" spans="3:7">
      <c r="C570">
        <f ca="1"/>
        <v>-0.26026416313944234</v>
      </c>
      <c r="D570">
        <f ca="1"/>
        <v>1.4501192674302612</v>
      </c>
      <c r="E570">
        <f ca="1"/>
        <v>-0.42956767072805896</v>
      </c>
      <c r="G570">
        <f ca="1"/>
        <v>2.3551117081218815</v>
      </c>
    </row>
    <row r="571" spans="3:7">
      <c r="C571">
        <f ca="1"/>
        <v>1.2381035743159596</v>
      </c>
      <c r="D571">
        <f ca="1"/>
        <v>1.0166501348481551</v>
      </c>
      <c r="E571">
        <f ca="1"/>
        <v>1.67965549019647</v>
      </c>
      <c r="G571">
        <f ca="1"/>
        <v>5.3877205231678715</v>
      </c>
    </row>
    <row r="572" spans="3:7">
      <c r="C572">
        <f ca="1"/>
        <v>0.22965552090970309</v>
      </c>
      <c r="D572">
        <f ca="1"/>
        <v>0.9658997771868022</v>
      </c>
      <c r="E572">
        <f ca="1"/>
        <v>0.64540842759619332</v>
      </c>
      <c r="G572">
        <f ca="1"/>
        <v>1.4022560762660119</v>
      </c>
    </row>
    <row r="573" spans="3:7">
      <c r="C573">
        <f ca="1"/>
        <v>-2.4455498100932078</v>
      </c>
      <c r="D573">
        <f ca="1"/>
        <v>-0.41277668703282261</v>
      </c>
      <c r="E573">
        <f ca="1"/>
        <v>-0.10724776072527661</v>
      </c>
      <c r="G573">
        <f ca="1"/>
        <v>6.1626005491853038</v>
      </c>
    </row>
    <row r="574" spans="3:7">
      <c r="C574">
        <f ca="1"/>
        <v>0.51649520140306426</v>
      </c>
      <c r="D574">
        <f ca="1"/>
        <v>0.58672843125237339</v>
      </c>
      <c r="E574">
        <f ca="1"/>
        <v>-0.26591282291912216</v>
      </c>
      <c r="G574">
        <f ca="1"/>
        <v>0.68172717450507947</v>
      </c>
    </row>
    <row r="575" spans="3:7">
      <c r="C575">
        <f ca="1"/>
        <v>-1.4005673124518894</v>
      </c>
      <c r="D575">
        <f ca="1"/>
        <v>0.75303364479827695</v>
      </c>
      <c r="E575">
        <f ca="1"/>
        <v>0.89458342733186402</v>
      </c>
      <c r="G575">
        <f ca="1"/>
        <v>3.32892797536371</v>
      </c>
    </row>
    <row r="576" spans="3:7">
      <c r="C576">
        <f ca="1"/>
        <v>-0.81053556356534051</v>
      </c>
      <c r="D576">
        <f ca="1"/>
        <v>0.79020976261795195</v>
      </c>
      <c r="E576">
        <f ca="1"/>
        <v>0.22271154516907646</v>
      </c>
      <c r="G576">
        <f ca="1"/>
        <v>1.3309998010925015</v>
      </c>
    </row>
    <row r="577" spans="3:7">
      <c r="C577">
        <f ca="1"/>
        <v>-0.3680501230028449</v>
      </c>
      <c r="D577">
        <f ca="1"/>
        <v>7.697165269313995E-2</v>
      </c>
      <c r="E577">
        <f ca="1"/>
        <v>1.0667666834493592</v>
      </c>
      <c r="G577">
        <f ca="1"/>
        <v>1.279376685278268</v>
      </c>
    </row>
    <row r="578" spans="3:7">
      <c r="C578">
        <f ca="1"/>
        <v>5.3157186486979639E-2</v>
      </c>
      <c r="D578">
        <f ca="1"/>
        <v>3.0829987476268549E-2</v>
      </c>
      <c r="E578">
        <f ca="1"/>
        <v>-2.3211745513325623</v>
      </c>
      <c r="G578">
        <f ca="1"/>
        <v>5.3916274723569204</v>
      </c>
    </row>
    <row r="579" spans="3:7">
      <c r="C579">
        <f ca="1"/>
        <v>0.94968026028280272</v>
      </c>
      <c r="D579">
        <f ca="1"/>
        <v>-0.18625286451549747</v>
      </c>
      <c r="E579">
        <f ca="1"/>
        <v>-0.51163113337765664</v>
      </c>
      <c r="G579">
        <f ca="1"/>
        <v>1.1983491429523456</v>
      </c>
    </row>
    <row r="580" spans="3:7">
      <c r="C580">
        <f ca="1"/>
        <v>0.20402535991622137</v>
      </c>
      <c r="D580">
        <f ca="1"/>
        <v>-0.62119174135739441</v>
      </c>
      <c r="E580">
        <f ca="1"/>
        <v>0.24846981200498455</v>
      </c>
      <c r="G580">
        <f ca="1"/>
        <v>0.48924277449736803</v>
      </c>
    </row>
    <row r="581" spans="3:7">
      <c r="C581">
        <f ca="1"/>
        <v>-1.2012040360110963</v>
      </c>
      <c r="D581">
        <f ca="1"/>
        <v>1.1452835427625143</v>
      </c>
      <c r="E581">
        <f ca="1"/>
        <v>1.0539631476617319</v>
      </c>
      <c r="G581">
        <f ca="1"/>
        <v>3.8654038460810289</v>
      </c>
    </row>
    <row r="582" spans="3:7">
      <c r="C582">
        <f ca="1"/>
        <v>-9.6043488776585501E-2</v>
      </c>
      <c r="D582">
        <f ca="1"/>
        <v>-0.76353039963154168</v>
      </c>
      <c r="E582">
        <f ca="1"/>
        <v>-0.17188971935386974</v>
      </c>
      <c r="G582">
        <f ca="1"/>
        <v>0.62174909851743199</v>
      </c>
    </row>
    <row r="583" spans="3:7">
      <c r="C583">
        <f ca="1"/>
        <v>-1.5062261657657787</v>
      </c>
      <c r="D583">
        <f ca="1"/>
        <v>0.4936085111150928</v>
      </c>
      <c r="E583">
        <f ca="1"/>
        <v>-0.85290047611401087</v>
      </c>
      <c r="G583">
        <f ca="1"/>
        <v>3.239805846838244</v>
      </c>
    </row>
    <row r="584" spans="3:7">
      <c r="C584">
        <f ca="1"/>
        <v>-1.1029189656882021</v>
      </c>
      <c r="D584">
        <f ca="1"/>
        <v>0.92283297111434637</v>
      </c>
      <c r="E584">
        <f ca="1"/>
        <v>-0.3203534218647362</v>
      </c>
      <c r="G584">
        <f ca="1"/>
        <v>2.1706772523509112</v>
      </c>
    </row>
    <row r="585" spans="3:7">
      <c r="C585">
        <f ca="1"/>
        <v>0.39031687430148732</v>
      </c>
      <c r="D585">
        <f ca="1"/>
        <v>1.3698637782297287</v>
      </c>
      <c r="E585">
        <f ca="1"/>
        <v>-0.53954138979090205</v>
      </c>
      <c r="G585">
        <f ca="1"/>
        <v>2.3199789445678083</v>
      </c>
    </row>
    <row r="586" spans="3:7">
      <c r="C586">
        <f ca="1"/>
        <v>-0.32780627801645801</v>
      </c>
      <c r="D586">
        <f ca="1"/>
        <v>1.7956663441914973</v>
      </c>
      <c r="E586">
        <f ca="1"/>
        <v>0.46242997211896025</v>
      </c>
      <c r="G586">
        <f ca="1"/>
        <v>3.5457160546830022</v>
      </c>
    </row>
    <row r="587" spans="3:7">
      <c r="C587">
        <f ca="1"/>
        <v>0.22419742507176019</v>
      </c>
      <c r="D587">
        <f ca="1"/>
        <v>0.77892558196289896</v>
      </c>
      <c r="E587">
        <f ca="1"/>
        <v>-0.40951069879546059</v>
      </c>
      <c r="G587">
        <f ca="1"/>
        <v>0.82468856007299474</v>
      </c>
    </row>
    <row r="588" spans="3:7">
      <c r="C588">
        <f ca="1"/>
        <v>0.8078692740597142</v>
      </c>
      <c r="D588">
        <f ca="1"/>
        <v>-0.23246734042649053</v>
      </c>
      <c r="E588">
        <f ca="1"/>
        <v>-0.35540691231507532</v>
      </c>
      <c r="G588">
        <f ca="1"/>
        <v>0.83300790165607097</v>
      </c>
    </row>
    <row r="589" spans="3:7">
      <c r="C589">
        <f ca="1"/>
        <v>-0.39405295758405939</v>
      </c>
      <c r="D589">
        <f ca="1"/>
        <v>0.66510470811610722</v>
      </c>
      <c r="E589">
        <f ca="1"/>
        <v>-1.7414053386436288</v>
      </c>
      <c r="G589">
        <f ca="1"/>
        <v>3.6301345595954881</v>
      </c>
    </row>
    <row r="590" spans="3:7">
      <c r="C590">
        <f ca="1"/>
        <v>3.710501840091212E-2</v>
      </c>
      <c r="D590">
        <f ca="1"/>
        <v>-0.54282870135752481</v>
      </c>
      <c r="E590">
        <f ca="1"/>
        <v>-0.48903623328027207</v>
      </c>
      <c r="G590">
        <f ca="1"/>
        <v>0.53519621886898561</v>
      </c>
    </row>
    <row r="591" spans="3:7">
      <c r="C591">
        <f ca="1"/>
        <v>-0.13951928061611041</v>
      </c>
      <c r="D591">
        <f ca="1"/>
        <v>-0.3173780875748492</v>
      </c>
      <c r="E591">
        <f ca="1"/>
        <v>-0.15937095040168786</v>
      </c>
      <c r="G591">
        <f ca="1"/>
        <v>0.14559357996824288</v>
      </c>
    </row>
    <row r="592" spans="3:7">
      <c r="C592">
        <f ca="1"/>
        <v>-0.35954296659254076</v>
      </c>
      <c r="D592">
        <f ca="1"/>
        <v>-0.46987519485956641</v>
      </c>
      <c r="E592">
        <f ca="1"/>
        <v>1.1570949201001077</v>
      </c>
      <c r="G592">
        <f ca="1"/>
        <v>1.688922497691955</v>
      </c>
    </row>
    <row r="593" spans="3:7">
      <c r="C593">
        <f ca="1"/>
        <v>1.2496657493299335</v>
      </c>
      <c r="D593">
        <f ca="1"/>
        <v>-0.61278299623623433</v>
      </c>
      <c r="E593">
        <f ca="1"/>
        <v>0.10455799213872102</v>
      </c>
      <c r="G593">
        <f ca="1"/>
        <v>1.9480998592446817</v>
      </c>
    </row>
    <row r="594" spans="3:7">
      <c r="C594">
        <f ca="1"/>
        <v>-0.66094536681310079</v>
      </c>
      <c r="D594">
        <f ca="1"/>
        <v>0.38165057699561505</v>
      </c>
      <c r="E594">
        <f ca="1"/>
        <v>-0.94497481374448888</v>
      </c>
      <c r="G594">
        <f ca="1"/>
        <v>1.4754833394442217</v>
      </c>
    </row>
    <row r="595" spans="3:7">
      <c r="C595">
        <f ca="1"/>
        <v>0.90594692878234717</v>
      </c>
      <c r="D595">
        <f ca="1"/>
        <v>1.4246156924357786E-2</v>
      </c>
      <c r="E595">
        <f ca="1"/>
        <v>-1.0442205735511434</v>
      </c>
      <c r="G595">
        <f ca="1"/>
        <v>1.9113393969847596</v>
      </c>
    </row>
    <row r="596" spans="3:7">
      <c r="C596">
        <f ca="1"/>
        <v>3.2086790939036061E-2</v>
      </c>
      <c r="D596">
        <f ca="1"/>
        <v>-0.75914846065380093</v>
      </c>
      <c r="E596">
        <f ca="1"/>
        <v>0.11784188899782626</v>
      </c>
      <c r="G596">
        <f ca="1"/>
        <v>0.59122265826837694</v>
      </c>
    </row>
    <row r="597" spans="3:7">
      <c r="C597">
        <f ca="1"/>
        <v>-0.50772345503026062</v>
      </c>
      <c r="D597">
        <f ca="1"/>
        <v>-0.5274882476921553</v>
      </c>
      <c r="E597">
        <f ca="1"/>
        <v>1.3942312644005173</v>
      </c>
      <c r="G597">
        <f ca="1"/>
        <v>2.4799077768730706</v>
      </c>
    </row>
    <row r="598" spans="3:7">
      <c r="C598">
        <f ca="1"/>
        <v>0.66654670643369562</v>
      </c>
      <c r="D598">
        <f ca="1"/>
        <v>-1.3060447418568661</v>
      </c>
      <c r="E598">
        <f ca="1"/>
        <v>2.3058862238183857</v>
      </c>
      <c r="G598">
        <f ca="1"/>
        <v>7.4671486567849907</v>
      </c>
    </row>
    <row r="599" spans="3:7">
      <c r="C599">
        <f ca="1"/>
        <v>1.3263293989363885</v>
      </c>
      <c r="D599">
        <f ca="1"/>
        <v>-0.23246596733584624</v>
      </c>
      <c r="E599">
        <f ca="1"/>
        <v>2.5071312674526118</v>
      </c>
      <c r="G599">
        <f ca="1"/>
        <v>8.0988972926908929</v>
      </c>
    </row>
    <row r="600" spans="3:7">
      <c r="C600">
        <f ca="1"/>
        <v>1.7675411668311565</v>
      </c>
      <c r="D600">
        <f ca="1"/>
        <v>-0.51315405403995529</v>
      </c>
      <c r="E600">
        <f ca="1"/>
        <v>0.76238329079571365</v>
      </c>
      <c r="G600">
        <f ca="1"/>
        <v>3.9687571417049896</v>
      </c>
    </row>
    <row r="601" spans="3:7">
      <c r="C601">
        <f ca="1"/>
        <v>6.4372114641000608E-2</v>
      </c>
      <c r="D601">
        <f ca="1"/>
        <v>-0.28007534725669958</v>
      </c>
      <c r="E601">
        <f ca="1"/>
        <v>-0.18270118153565201</v>
      </c>
      <c r="G601">
        <f ca="1"/>
        <v>0.11596569101883825</v>
      </c>
    </row>
    <row r="602" spans="3:7">
      <c r="C602">
        <f ca="1"/>
        <v>0.55802416155758339</v>
      </c>
      <c r="D602">
        <f ca="1"/>
        <v>0.60327847186237826</v>
      </c>
      <c r="E602">
        <f ca="1"/>
        <v>1.2367078726718042</v>
      </c>
      <c r="G602">
        <f ca="1"/>
        <v>2.2047822418230698</v>
      </c>
    </row>
    <row r="603" spans="3:7">
      <c r="C603">
        <f ca="1"/>
        <v>1.2200084962076676</v>
      </c>
      <c r="D603">
        <f ca="1"/>
        <v>0.92214728414571712</v>
      </c>
      <c r="E603">
        <f ca="1"/>
        <v>0.78157037485061309</v>
      </c>
      <c r="G603">
        <f ca="1"/>
        <v>2.9496285953203447</v>
      </c>
    </row>
    <row r="604" spans="3:7">
      <c r="C604">
        <f ca="1"/>
        <v>-0.30797690110023057</v>
      </c>
      <c r="D604">
        <f ca="1"/>
        <v>0.49765951823106153</v>
      </c>
      <c r="E604">
        <f ca="1"/>
        <v>-0.44222128168380787</v>
      </c>
      <c r="G604">
        <f ca="1"/>
        <v>0.53807442967134322</v>
      </c>
    </row>
    <row r="605" spans="3:7">
      <c r="C605">
        <f ca="1"/>
        <v>-0.87581789553958422</v>
      </c>
      <c r="D605">
        <f ca="1"/>
        <v>9.8149400046846233E-2</v>
      </c>
      <c r="E605">
        <f ca="1"/>
        <v>0.89068075112431511</v>
      </c>
      <c r="G605">
        <f ca="1"/>
        <v>1.5700024913003161</v>
      </c>
    </row>
    <row r="606" spans="3:7">
      <c r="C606">
        <f ca="1"/>
        <v>-1.3236392818572091</v>
      </c>
      <c r="D606">
        <f ca="1"/>
        <v>1.4181546672921919</v>
      </c>
      <c r="E606">
        <f ca="1"/>
        <v>0.94251568475882108</v>
      </c>
      <c r="G606">
        <f ca="1"/>
        <v>4.6515194248544853</v>
      </c>
    </row>
    <row r="607" spans="3:7">
      <c r="C607">
        <f ca="1"/>
        <v>-1.3141526014615779</v>
      </c>
      <c r="D607">
        <f ca="1"/>
        <v>1.1729305523963938</v>
      </c>
      <c r="E607">
        <f ca="1"/>
        <v>0.65383955715520448</v>
      </c>
      <c r="G607">
        <f ca="1"/>
        <v>3.5302693071740556</v>
      </c>
    </row>
    <row r="608" spans="3:7">
      <c r="C608">
        <f ca="1"/>
        <v>2.5783199699753254</v>
      </c>
      <c r="D608">
        <f ca="1"/>
        <v>-0.37010621119740233</v>
      </c>
      <c r="E608">
        <f ca="1"/>
        <v>0.16789682334572323</v>
      </c>
      <c r="G608">
        <f ca="1"/>
        <v>6.8129018184300438</v>
      </c>
    </row>
    <row r="609" spans="3:7">
      <c r="C609">
        <f ca="1"/>
        <v>0.95668855069710423</v>
      </c>
      <c r="D609">
        <f ca="1"/>
        <v>-0.77982094548554859</v>
      </c>
      <c r="E609">
        <f ca="1"/>
        <v>-0.12896377561234285</v>
      </c>
      <c r="G609">
        <f ca="1"/>
        <v>1.5400053454730913</v>
      </c>
    </row>
    <row r="610" spans="3:7">
      <c r="C610">
        <f ca="1"/>
        <v>0.10505712221893121</v>
      </c>
      <c r="D610">
        <f ca="1"/>
        <v>-0.86401512469138131</v>
      </c>
      <c r="E610">
        <f ca="1"/>
        <v>0.57030290520001425</v>
      </c>
      <c r="G610">
        <f ca="1"/>
        <v>1.0828045383039631</v>
      </c>
    </row>
    <row r="611" spans="3:7">
      <c r="C611">
        <f ca="1"/>
        <v>0.74284515347422242</v>
      </c>
      <c r="D611">
        <f ca="1"/>
        <v>-0.92794239217260754</v>
      </c>
      <c r="E611">
        <f ca="1"/>
        <v>0.70285388567147766</v>
      </c>
      <c r="G611">
        <f ca="1"/>
        <v>1.9068995898346572</v>
      </c>
    </row>
    <row r="612" spans="3:7">
      <c r="C612">
        <f ca="1"/>
        <v>1.2533350694671079</v>
      </c>
      <c r="D612">
        <f ca="1"/>
        <v>-0.62093315217220457</v>
      </c>
      <c r="E612">
        <f ca="1"/>
        <v>0.68334983812092542</v>
      </c>
      <c r="G612">
        <f ca="1"/>
        <v>2.4233737770825252</v>
      </c>
    </row>
    <row r="613" spans="3:7">
      <c r="C613">
        <f ca="1"/>
        <v>-0.42832277349619835</v>
      </c>
      <c r="D613">
        <f ca="1"/>
        <v>-1.7772620433298898</v>
      </c>
      <c r="E613">
        <f ca="1"/>
        <v>-1.0905911479215225</v>
      </c>
      <c r="G613">
        <f ca="1"/>
        <v>4.5315098208813946</v>
      </c>
    </row>
    <row r="614" spans="3:7">
      <c r="C614">
        <f ca="1"/>
        <v>-1.2589257902543747</v>
      </c>
      <c r="D614">
        <f ca="1"/>
        <v>-0.78745708166212203</v>
      </c>
      <c r="E614">
        <f ca="1"/>
        <v>1.0015928482471268</v>
      </c>
      <c r="G614">
        <f ca="1"/>
        <v>3.2081710344872194</v>
      </c>
    </row>
    <row r="615" spans="3:7">
      <c r="C615">
        <f ca="1"/>
        <v>5.3374350016189016E-2</v>
      </c>
      <c r="D615">
        <f ca="1"/>
        <v>-0.27026979268940882</v>
      </c>
      <c r="E615">
        <f ca="1"/>
        <v>1.9389732368261159</v>
      </c>
      <c r="G615">
        <f ca="1"/>
        <v>3.8355117952079718</v>
      </c>
    </row>
    <row r="616" spans="3:7">
      <c r="C616">
        <f ca="1"/>
        <v>1.1066477221075079</v>
      </c>
      <c r="D616">
        <f ca="1"/>
        <v>1.2990552982857</v>
      </c>
      <c r="E616">
        <f ca="1"/>
        <v>-0.85732945465263111</v>
      </c>
      <c r="G616">
        <f ca="1"/>
        <v>3.6472276426648627</v>
      </c>
    </row>
    <row r="617" spans="3:7">
      <c r="C617">
        <f ca="1"/>
        <v>1.0541764445420814</v>
      </c>
      <c r="D617">
        <f ca="1"/>
        <v>1.2517359964027843</v>
      </c>
      <c r="E617">
        <f ca="1"/>
        <v>-4.6490865301105862E-2</v>
      </c>
      <c r="G617">
        <f ca="1"/>
        <v>2.6802923814743007</v>
      </c>
    </row>
    <row r="618" spans="3:7">
      <c r="C618">
        <f ca="1"/>
        <v>1.6249051060816957</v>
      </c>
      <c r="D618">
        <f ca="1"/>
        <v>-1.6423502525497637</v>
      </c>
      <c r="E618">
        <f ca="1"/>
        <v>0.65544299465639921</v>
      </c>
      <c r="G618">
        <f ca="1"/>
        <v>5.767236475064788</v>
      </c>
    </row>
    <row r="619" spans="3:7">
      <c r="C619">
        <f ca="1"/>
        <v>0.56985574272944983</v>
      </c>
      <c r="D619">
        <f ca="1"/>
        <v>0.47245963053553808</v>
      </c>
      <c r="E619">
        <f ca="1"/>
        <v>1.8940458016443835</v>
      </c>
      <c r="G619">
        <f ca="1"/>
        <v>4.1353631687342256</v>
      </c>
    </row>
    <row r="620" spans="3:7">
      <c r="C620">
        <f ca="1"/>
        <v>-4.7749039996978389E-2</v>
      </c>
      <c r="D620">
        <f ca="1"/>
        <v>-4.8022808151855043E-2</v>
      </c>
      <c r="E620">
        <f ca="1"/>
        <v>0.73578606005402181</v>
      </c>
      <c r="G620">
        <f ca="1"/>
        <v>0.54596728709324349</v>
      </c>
    </row>
    <row r="621" spans="3:7">
      <c r="C621">
        <f ca="1"/>
        <v>0.85356105623433076</v>
      </c>
      <c r="D621">
        <f ca="1"/>
        <v>0.73521406981647675</v>
      </c>
      <c r="E621">
        <f ca="1"/>
        <v>1.357716110184547</v>
      </c>
      <c r="G621">
        <f ca="1"/>
        <v>3.1124992410306302</v>
      </c>
    </row>
    <row r="622" spans="3:7">
      <c r="C622">
        <f ca="1"/>
        <v>-1.119535023212145</v>
      </c>
      <c r="D622">
        <f ca="1"/>
        <v>0.61654434255309476</v>
      </c>
      <c r="E622">
        <f ca="1"/>
        <v>-0.73208424587741794</v>
      </c>
      <c r="G622">
        <f ca="1"/>
        <v>2.1694329375947534</v>
      </c>
    </row>
    <row r="623" spans="3:7">
      <c r="C623">
        <f ca="1"/>
        <v>0.16351336479459955</v>
      </c>
      <c r="D623">
        <f ca="1"/>
        <v>2.1207668675416946</v>
      </c>
      <c r="E623">
        <f ca="1"/>
        <v>-1.5800776677303388</v>
      </c>
      <c r="G623">
        <f ca="1"/>
        <v>7.0210341629892099</v>
      </c>
    </row>
    <row r="624" spans="3:7">
      <c r="C624">
        <f ca="1"/>
        <v>-0.82725072322338911</v>
      </c>
      <c r="D624">
        <f ca="1"/>
        <v>-0.49307256807507743</v>
      </c>
      <c r="E624">
        <f ca="1"/>
        <v>-0.92873227143215531</v>
      </c>
      <c r="G624">
        <f ca="1"/>
        <v>1.790007948461303</v>
      </c>
    </row>
    <row r="625" spans="3:7">
      <c r="C625">
        <f ca="1"/>
        <v>-0.60777048018623503</v>
      </c>
      <c r="D625">
        <f ca="1"/>
        <v>1.2748877830582857</v>
      </c>
      <c r="E625">
        <f ca="1"/>
        <v>-1.2427601546849998</v>
      </c>
      <c r="G625">
        <f ca="1"/>
        <v>3.5391766180497619</v>
      </c>
    </row>
    <row r="626" spans="3:7">
      <c r="C626">
        <f ca="1"/>
        <v>-0.48569213624726432</v>
      </c>
      <c r="D626">
        <f ca="1"/>
        <v>-0.79825267007779455</v>
      </c>
      <c r="E626">
        <f ca="1"/>
        <v>-0.2532409931954015</v>
      </c>
      <c r="G626">
        <f ca="1"/>
        <v>0.93723517713335291</v>
      </c>
    </row>
    <row r="627" spans="3:7">
      <c r="C627">
        <f ca="1"/>
        <v>0.56222709979802499</v>
      </c>
      <c r="D627">
        <f ca="1"/>
        <v>0.90345867280756165</v>
      </c>
      <c r="E627">
        <f ca="1"/>
        <v>0.21337475608568501</v>
      </c>
      <c r="G627">
        <f ca="1"/>
        <v>1.1778656717531246</v>
      </c>
    </row>
    <row r="628" spans="3:7">
      <c r="C628">
        <f ca="1"/>
        <v>0.92462647863346825</v>
      </c>
      <c r="D628">
        <f ca="1"/>
        <v>-2.9976808542820716</v>
      </c>
      <c r="E628">
        <f ca="1"/>
        <v>1.2954624670506738</v>
      </c>
      <c r="G628">
        <f ca="1"/>
        <v>11.519247632656436</v>
      </c>
    </row>
    <row r="629" spans="3:7">
      <c r="C629">
        <f ca="1"/>
        <v>-1.4168066323541415</v>
      </c>
      <c r="D629">
        <f ca="1"/>
        <v>0.85090290598229734</v>
      </c>
      <c r="E629">
        <f ca="1"/>
        <v>-0.98795696888953044</v>
      </c>
      <c r="G629">
        <f ca="1"/>
        <v>3.7074357612691902</v>
      </c>
    </row>
    <row r="630" spans="3:7">
      <c r="C630">
        <f ca="1"/>
        <v>1.4484817424230547</v>
      </c>
      <c r="D630">
        <f ca="1"/>
        <v>-0.24699275512136265</v>
      </c>
      <c r="E630">
        <f ca="1"/>
        <v>0.84927871534543675</v>
      </c>
      <c r="G630">
        <f ca="1"/>
        <v>2.8803791155541654</v>
      </c>
    </row>
    <row r="631" spans="3:7">
      <c r="C631">
        <f ca="1"/>
        <v>-0.41690285344922795</v>
      </c>
      <c r="D631">
        <f ca="1"/>
        <v>1.5340239116611845</v>
      </c>
      <c r="E631">
        <f ca="1"/>
        <v>1.0533771372361489</v>
      </c>
      <c r="G631">
        <f ca="1"/>
        <v>3.6366407440142146</v>
      </c>
    </row>
    <row r="632" spans="3:7">
      <c r="C632">
        <f ca="1"/>
        <v>-0.82931572609445703</v>
      </c>
      <c r="D632">
        <f ca="1"/>
        <v>-1.4583873606294051</v>
      </c>
      <c r="E632">
        <f ca="1"/>
        <v>1.0802016786227302</v>
      </c>
      <c r="G632">
        <f ca="1"/>
        <v>3.9814939336905431</v>
      </c>
    </row>
    <row r="633" spans="3:7">
      <c r="C633">
        <f ca="1"/>
        <v>1.1917448404343318</v>
      </c>
      <c r="D633">
        <f ca="1"/>
        <v>-1.9533298273352876E-2</v>
      </c>
      <c r="E633">
        <f ca="1"/>
        <v>0.12151009457956506</v>
      </c>
      <c r="G633">
        <f ca="1"/>
        <v>1.4354020175280215</v>
      </c>
    </row>
    <row r="634" spans="3:7">
      <c r="C634">
        <f ca="1"/>
        <v>-0.13310434312864333</v>
      </c>
      <c r="D634">
        <f ca="1"/>
        <v>-1.1661417525252669</v>
      </c>
      <c r="E634">
        <f ca="1"/>
        <v>0.31015704369618186</v>
      </c>
      <c r="G634">
        <f ca="1"/>
        <v>1.4738007448967636</v>
      </c>
    </row>
    <row r="635" spans="3:7">
      <c r="C635">
        <f ca="1"/>
        <v>-0.93199983862840707</v>
      </c>
      <c r="D635">
        <f ca="1"/>
        <v>-0.17774610590388448</v>
      </c>
      <c r="E635">
        <f ca="1"/>
        <v>0.40552522469937735</v>
      </c>
      <c r="G635">
        <f ca="1"/>
        <v>1.0646680852348522</v>
      </c>
    </row>
    <row r="636" spans="3:7">
      <c r="C636">
        <f ca="1"/>
        <v>-0.5623879142598277</v>
      </c>
      <c r="D636">
        <f ca="1"/>
        <v>-0.34593379850556066</v>
      </c>
      <c r="E636">
        <f ca="1"/>
        <v>2.254822051335025</v>
      </c>
      <c r="G636">
        <f ca="1"/>
        <v>5.5201728422406955</v>
      </c>
    </row>
    <row r="637" spans="3:7">
      <c r="C637">
        <f ca="1"/>
        <v>0.71719839870179847</v>
      </c>
      <c r="D637">
        <f ca="1"/>
        <v>-1.3376044759583319</v>
      </c>
      <c r="E637">
        <f ca="1"/>
        <v>-0.6499514208384809</v>
      </c>
      <c r="G637">
        <f ca="1"/>
        <v>2.7259961266541475</v>
      </c>
    </row>
    <row r="638" spans="3:7">
      <c r="C638">
        <f ca="1"/>
        <v>-0.14572510400441313</v>
      </c>
      <c r="D638">
        <f ca="1"/>
        <v>-0.8644160874778215</v>
      </c>
      <c r="E638">
        <f ca="1"/>
        <v>1.162260493028676</v>
      </c>
      <c r="G638">
        <f ca="1"/>
        <v>2.1193004318828228</v>
      </c>
    </row>
    <row r="639" spans="3:7">
      <c r="C639">
        <f ca="1"/>
        <v>1.3383651514187673</v>
      </c>
      <c r="D639">
        <f ca="1"/>
        <v>0.62313111866531112</v>
      </c>
      <c r="E639">
        <f ca="1"/>
        <v>1.0981599322495688</v>
      </c>
      <c r="G639">
        <f ca="1"/>
        <v>3.3854689063796393</v>
      </c>
    </row>
    <row r="640" spans="3:7">
      <c r="C640">
        <f ca="1"/>
        <v>1.7438984464252181</v>
      </c>
      <c r="D640">
        <f ca="1"/>
        <v>-0.44397058416486718</v>
      </c>
      <c r="E640">
        <f ca="1"/>
        <v>-0.341010216523221</v>
      </c>
      <c r="G640">
        <f ca="1"/>
        <v>3.354579638821197</v>
      </c>
    </row>
    <row r="641" spans="3:7">
      <c r="C641">
        <f ca="1"/>
        <v>0.60356377068616596</v>
      </c>
      <c r="D641">
        <f ca="1"/>
        <v>0.44252956000460147</v>
      </c>
      <c r="E641">
        <f ca="1"/>
        <v>-0.41821193451403921</v>
      </c>
      <c r="G641">
        <f ca="1"/>
        <v>0.73502285893274388</v>
      </c>
    </row>
    <row r="642" spans="3:7">
      <c r="C642">
        <f ca="1"/>
        <v>0.56250750225327673</v>
      </c>
      <c r="D642">
        <f ca="1"/>
        <v>0.38474266161919946</v>
      </c>
      <c r="E642">
        <f ca="1"/>
        <v>-0.36363904700095301</v>
      </c>
      <c r="G642">
        <f ca="1"/>
        <v>0.59667496226480732</v>
      </c>
    </row>
    <row r="643" spans="3:7">
      <c r="C643">
        <f ca="1"/>
        <v>1.9920897098192589</v>
      </c>
      <c r="D643">
        <f ca="1"/>
        <v>-1.0557168889015138</v>
      </c>
      <c r="E643">
        <f ca="1"/>
        <v>1.1282391677203815E-2</v>
      </c>
      <c r="G643">
        <f ca="1"/>
        <v>5.0830868538416283</v>
      </c>
    </row>
    <row r="644" spans="3:7">
      <c r="C644">
        <f ca="1"/>
        <v>1.2894980992590945</v>
      </c>
      <c r="D644">
        <f ca="1"/>
        <v>0.25485055390325828</v>
      </c>
      <c r="E644">
        <f ca="1"/>
        <v>6.4672657883622892E-2</v>
      </c>
      <c r="G644">
        <f ca="1"/>
        <v>1.7319367054953472</v>
      </c>
    </row>
    <row r="645" spans="3:7">
      <c r="C645">
        <f ca="1"/>
        <v>-0.93469766786790442</v>
      </c>
      <c r="D645">
        <f ca="1"/>
        <v>-0.34742923515840601</v>
      </c>
      <c r="E645">
        <f ca="1"/>
        <v>-1.1339802991696331</v>
      </c>
      <c r="G645">
        <f ca="1"/>
        <v>2.2802781226653051</v>
      </c>
    </row>
    <row r="646" spans="3:7">
      <c r="C646">
        <f ca="1"/>
        <v>0.34408241417576119</v>
      </c>
      <c r="D646">
        <f ca="1"/>
        <v>-0.40087152796235775</v>
      </c>
      <c r="E646">
        <f ca="1"/>
        <v>4.3194650336785399E-2</v>
      </c>
      <c r="G646">
        <f ca="1"/>
        <v>0.28095646749361258</v>
      </c>
    </row>
    <row r="647" spans="3:7">
      <c r="C647">
        <f ca="1"/>
        <v>0.36730211355745118</v>
      </c>
      <c r="D647">
        <f ca="1"/>
        <v>-2.5341974188221776</v>
      </c>
      <c r="E647">
        <f ca="1"/>
        <v>0.17679107766604435</v>
      </c>
      <c r="G647">
        <f ca="1"/>
        <v>6.5883224853310791</v>
      </c>
    </row>
    <row r="648" spans="3:7">
      <c r="C648">
        <f ca="1"/>
        <v>0.30737441675595173</v>
      </c>
      <c r="D648">
        <f ca="1"/>
        <v>0.38268360920990202</v>
      </c>
      <c r="E648">
        <f ca="1"/>
        <v>-0.53895104976033914</v>
      </c>
      <c r="G648">
        <f ca="1"/>
        <v>0.53139401087175009</v>
      </c>
    </row>
    <row r="649" spans="3:7">
      <c r="C649">
        <f ca="1"/>
        <v>0.27100726370051786</v>
      </c>
      <c r="D649">
        <f ca="1"/>
        <v>-1.3143883299419616</v>
      </c>
      <c r="E649">
        <f ca="1"/>
        <v>1.3459127126652206</v>
      </c>
      <c r="G649">
        <f ca="1"/>
        <v>3.6125426489799137</v>
      </c>
    </row>
    <row r="650" spans="3:7">
      <c r="C650">
        <f ca="1"/>
        <v>1.6366268419367731</v>
      </c>
      <c r="D650">
        <f ca="1"/>
        <v>0.34657162510700323</v>
      </c>
      <c r="E650">
        <f ca="1"/>
        <v>0.61400439509286098</v>
      </c>
      <c r="G650">
        <f ca="1"/>
        <v>3.1756607082705943</v>
      </c>
    </row>
    <row r="651" spans="3:7">
      <c r="C651">
        <f ca="1"/>
        <v>-1.1821375637171272</v>
      </c>
      <c r="D651">
        <f ca="1"/>
        <v>0.41325943655727321</v>
      </c>
      <c r="E651">
        <f ca="1"/>
        <v>0.59621180854275468</v>
      </c>
      <c r="G651">
        <f ca="1"/>
        <v>1.9237011021005224</v>
      </c>
    </row>
    <row r="652" spans="3:7">
      <c r="C652">
        <f ca="1"/>
        <v>1.3310280584483696</v>
      </c>
      <c r="D652">
        <f ca="1"/>
        <v>-0.9721739562453533</v>
      </c>
      <c r="E652">
        <f ca="1"/>
        <v>0.50644435352465567</v>
      </c>
      <c r="G652">
        <f ca="1"/>
        <v>2.9732437767955848</v>
      </c>
    </row>
    <row r="653" spans="3:7">
      <c r="C653">
        <f ca="1"/>
        <v>1.6170178910876822</v>
      </c>
      <c r="D653">
        <f ca="1"/>
        <v>-1.2159365959502098</v>
      </c>
      <c r="E653">
        <f ca="1"/>
        <v>1.2752358716530878</v>
      </c>
      <c r="G653">
        <f ca="1"/>
        <v>5.7194751938194504</v>
      </c>
    </row>
    <row r="654" spans="3:7">
      <c r="C654">
        <f ca="1"/>
        <v>-0.17500564406372143</v>
      </c>
      <c r="D654">
        <f ca="1"/>
        <v>1.3436554527135567</v>
      </c>
      <c r="E654">
        <f ca="1"/>
        <v>0.28302285101438213</v>
      </c>
      <c r="G654">
        <f ca="1"/>
        <v>1.91613888525734</v>
      </c>
    </row>
    <row r="655" spans="3:7">
      <c r="C655">
        <f ca="1"/>
        <v>0.57717595552893219</v>
      </c>
      <c r="D655">
        <f ca="1"/>
        <v>-0.83114904513663479</v>
      </c>
      <c r="E655">
        <f ca="1"/>
        <v>2.1062859988644833</v>
      </c>
      <c r="G655">
        <f ca="1"/>
        <v>5.46038152788483</v>
      </c>
    </row>
    <row r="656" spans="3:7">
      <c r="C656">
        <f ca="1"/>
        <v>-0.48120628126887111</v>
      </c>
      <c r="D656">
        <f ca="1"/>
        <v>-0.21788860932070644</v>
      </c>
      <c r="E656">
        <f ca="1"/>
        <v>-0.22542307529140604</v>
      </c>
      <c r="G656">
        <f ca="1"/>
        <v>0.32985049407816225</v>
      </c>
    </row>
    <row r="657" spans="3:7">
      <c r="C657">
        <f ca="1"/>
        <v>-0.23160175706244501</v>
      </c>
      <c r="D657">
        <f ca="1"/>
        <v>-0.2435822627326136</v>
      </c>
      <c r="E657">
        <f ca="1"/>
        <v>6.2986469740984926E-3</v>
      </c>
      <c r="G657">
        <f ca="1"/>
        <v>0.11301136554605611</v>
      </c>
    </row>
    <row r="658" spans="3:7">
      <c r="C658">
        <f ca="1"/>
        <v>-0.15396389292820559</v>
      </c>
      <c r="D658">
        <f ca="1"/>
        <v>-0.79572171583828022</v>
      </c>
      <c r="E658">
        <f ca="1"/>
        <v>-1.4105350830661376</v>
      </c>
      <c r="G658">
        <f ca="1"/>
        <v>2.6464871499426206</v>
      </c>
    </row>
    <row r="659" spans="3:7">
      <c r="C659">
        <f ca="1"/>
        <v>1.491941635622078</v>
      </c>
      <c r="D659">
        <f ca="1"/>
        <v>-0.69636787092983865</v>
      </c>
      <c r="E659">
        <f ca="1"/>
        <v>1.283001677351653</v>
      </c>
      <c r="G659">
        <f ca="1"/>
        <v>4.3569113598531928</v>
      </c>
    </row>
    <row r="660" spans="3:7">
      <c r="C660">
        <f ca="1"/>
        <v>-0.13222355335137795</v>
      </c>
      <c r="D660">
        <f ca="1"/>
        <v>2.7021051903215016</v>
      </c>
      <c r="E660">
        <f ca="1"/>
        <v>-1.0699274879536651</v>
      </c>
      <c r="G660">
        <f ca="1"/>
        <v>8.4636003571021039</v>
      </c>
    </row>
    <row r="661" spans="3:7">
      <c r="C661">
        <f ca="1"/>
        <v>-0.78121670809657595</v>
      </c>
      <c r="D661">
        <f ca="1"/>
        <v>1.3075764153214129</v>
      </c>
      <c r="E661">
        <f ca="1"/>
        <v>-0.86694315469545691</v>
      </c>
      <c r="G661">
        <f ca="1"/>
        <v>3.0716460603873577</v>
      </c>
    </row>
    <row r="662" spans="3:7">
      <c r="C662">
        <f ca="1"/>
        <v>-1.2816053939315688</v>
      </c>
      <c r="D662">
        <f ca="1"/>
        <v>0.74306990339225454</v>
      </c>
      <c r="E662">
        <f ca="1"/>
        <v>-0.90011879075309931</v>
      </c>
      <c r="G662">
        <f ca="1"/>
        <v>3.0048791045486878</v>
      </c>
    </row>
    <row r="663" spans="3:7">
      <c r="C663">
        <f ca="1"/>
        <v>-0.43368368322390338</v>
      </c>
      <c r="D663">
        <f ca="1"/>
        <v>-1.7130639652664819</v>
      </c>
      <c r="E663">
        <f ca="1"/>
        <v>-0.14880498177148427</v>
      </c>
      <c r="G663">
        <f ca="1"/>
        <v>3.1448126087891848</v>
      </c>
    </row>
    <row r="664" spans="3:7">
      <c r="C664">
        <f ca="1"/>
        <v>0.20040426114648818</v>
      </c>
      <c r="D664">
        <f ca="1"/>
        <v>-1.1821363219902508</v>
      </c>
      <c r="E664">
        <f ca="1"/>
        <v>-0.6377659616058875</v>
      </c>
      <c r="G664">
        <f ca="1"/>
        <v>1.8443535734373901</v>
      </c>
    </row>
    <row r="665" spans="3:7">
      <c r="C665">
        <f ca="1"/>
        <v>-1.1081403660968083</v>
      </c>
      <c r="D665">
        <f ca="1"/>
        <v>1.1120400779651562</v>
      </c>
      <c r="E665">
        <f ca="1"/>
        <v>0.97977904321151588</v>
      </c>
      <c r="G665">
        <f ca="1"/>
        <v>3.4245751794903931</v>
      </c>
    </row>
    <row r="666" spans="3:7">
      <c r="C666">
        <f ca="1"/>
        <v>0.79472647018728271</v>
      </c>
      <c r="D666">
        <f ca="1"/>
        <v>1.7946631078819044</v>
      </c>
      <c r="E666">
        <f ca="1"/>
        <v>-0.39639858732270528</v>
      </c>
      <c r="G666">
        <f ca="1"/>
        <v>4.0095376732401098</v>
      </c>
    </row>
    <row r="667" spans="3:7">
      <c r="C667">
        <f ca="1"/>
        <v>-1.4849586157773764</v>
      </c>
      <c r="D667">
        <f ca="1"/>
        <v>-1.1597420565537562</v>
      </c>
      <c r="E667">
        <f ca="1"/>
        <v>-1.2588824368763476</v>
      </c>
      <c r="G667">
        <f ca="1"/>
        <v>5.1348887181867289</v>
      </c>
    </row>
    <row r="668" spans="3:7">
      <c r="C668">
        <f ca="1"/>
        <v>1.0686057833738614</v>
      </c>
      <c r="D668">
        <f ca="1"/>
        <v>-0.93925599711565233</v>
      </c>
      <c r="E668">
        <f ca="1"/>
        <v>-0.30487748190348807</v>
      </c>
      <c r="G668">
        <f ca="1"/>
        <v>2.1170704273495939</v>
      </c>
    </row>
    <row r="669" spans="3:7">
      <c r="C669">
        <f ca="1"/>
        <v>-0.5743557730050699</v>
      </c>
      <c r="D669">
        <f ca="1"/>
        <v>3.2984193854553208E-2</v>
      </c>
      <c r="E669">
        <f ca="1"/>
        <v>2.2023480880303792</v>
      </c>
      <c r="G669">
        <f ca="1"/>
        <v>5.181309611879553</v>
      </c>
    </row>
    <row r="670" spans="3:7">
      <c r="C670">
        <f ca="1"/>
        <v>-0.10958212811588286</v>
      </c>
      <c r="D670">
        <f ca="1"/>
        <v>-0.27143194748977623</v>
      </c>
      <c r="E670">
        <f ca="1"/>
        <v>-3.5581814614748283E-2</v>
      </c>
      <c r="G670">
        <f ca="1"/>
        <v>8.6949610451776724E-2</v>
      </c>
    </row>
    <row r="671" spans="3:7">
      <c r="C671">
        <f ca="1"/>
        <v>1.0267767353035331</v>
      </c>
      <c r="D671">
        <f ca="1"/>
        <v>-0.52659201831156111</v>
      </c>
      <c r="E671">
        <f ca="1"/>
        <v>0.65414701369488748</v>
      </c>
      <c r="G671">
        <f ca="1"/>
        <v>1.7594779334359645</v>
      </c>
    </row>
    <row r="672" spans="3:7">
      <c r="C672">
        <f ca="1"/>
        <v>0.47287568226293097</v>
      </c>
      <c r="D672">
        <f ca="1"/>
        <v>0.55998355857237148</v>
      </c>
      <c r="E672">
        <f ca="1"/>
        <v>-0.79575904887119564</v>
      </c>
      <c r="G672">
        <f ca="1"/>
        <v>1.1704254606073989</v>
      </c>
    </row>
    <row r="673" spans="3:7">
      <c r="C673">
        <f ca="1"/>
        <v>-0.22877153002027203</v>
      </c>
      <c r="D673">
        <f ca="1"/>
        <v>0.12085837971372797</v>
      </c>
      <c r="E673">
        <f ca="1"/>
        <v>0.90551648232422</v>
      </c>
      <c r="G673">
        <f ca="1"/>
        <v>0.88690326065567326</v>
      </c>
    </row>
    <row r="674" spans="3:7">
      <c r="C674">
        <f ca="1"/>
        <v>-1.3447386204944745</v>
      </c>
      <c r="D674">
        <f ca="1"/>
        <v>1.2218934643244324</v>
      </c>
      <c r="E674">
        <f ca="1"/>
        <v>-0.62339358034625791</v>
      </c>
      <c r="G674">
        <f ca="1"/>
        <v>3.6899651516250715</v>
      </c>
    </row>
    <row r="675" spans="3:7">
      <c r="C675">
        <f ca="1"/>
        <v>-0.6809564435493709</v>
      </c>
      <c r="D675">
        <f ca="1"/>
        <v>0.50703736290878909</v>
      </c>
      <c r="E675">
        <f ca="1"/>
        <v>0.19742537303385463</v>
      </c>
      <c r="G675">
        <f ca="1"/>
        <v>0.75976534331446322</v>
      </c>
    </row>
    <row r="676" spans="3:7">
      <c r="C676">
        <f ca="1"/>
        <v>-0.90665650561941513</v>
      </c>
      <c r="D676">
        <f ca="1"/>
        <v>-0.45611510949686185</v>
      </c>
      <c r="E676">
        <f ca="1"/>
        <v>1.3805723171104998</v>
      </c>
      <c r="G676">
        <f ca="1"/>
        <v>2.936046935065197</v>
      </c>
    </row>
    <row r="677" spans="3:7">
      <c r="C677">
        <f ca="1"/>
        <v>-1.4637943786325736</v>
      </c>
      <c r="D677">
        <f ca="1"/>
        <v>0.77162164853413895</v>
      </c>
      <c r="E677">
        <f ca="1"/>
        <v>-0.58619667373221884</v>
      </c>
      <c r="G677">
        <f ca="1"/>
        <v>3.0817204916975816</v>
      </c>
    </row>
    <row r="678" spans="3:7">
      <c r="C678">
        <f ca="1"/>
        <v>0.61828231919043664</v>
      </c>
      <c r="D678">
        <f ca="1"/>
        <v>-0.35041956013090347</v>
      </c>
      <c r="E678">
        <f ca="1"/>
        <v>0.78374637301367212</v>
      </c>
      <c r="G678">
        <f ca="1"/>
        <v>1.1193252715579269</v>
      </c>
    </row>
    <row r="679" spans="3:7">
      <c r="C679">
        <f ca="1"/>
        <v>1.2786957588839076</v>
      </c>
      <c r="D679">
        <f ca="1"/>
        <v>1.4133413954845413</v>
      </c>
      <c r="E679">
        <f ca="1"/>
        <v>4.5911068852988318E-2</v>
      </c>
      <c r="G679">
        <f ca="1"/>
        <v>3.6347045702211069</v>
      </c>
    </row>
    <row r="680" spans="3:7">
      <c r="C680">
        <f ca="1"/>
        <v>3.0665361921262548E-2</v>
      </c>
      <c r="D680">
        <f ca="1"/>
        <v>-1.0067050001277109</v>
      </c>
      <c r="E680">
        <f ca="1"/>
        <v>-1.1178591216269758</v>
      </c>
      <c r="G680">
        <f ca="1"/>
        <v>2.2640043375085304</v>
      </c>
    </row>
    <row r="681" spans="3:7">
      <c r="C681">
        <f ca="1"/>
        <v>1.280735705594688</v>
      </c>
      <c r="D681">
        <f ca="1"/>
        <v>0.86549417866493061</v>
      </c>
      <c r="E681">
        <f ca="1"/>
        <v>-0.95646998525250904</v>
      </c>
      <c r="G681">
        <f ca="1"/>
        <v>3.3041989535769405</v>
      </c>
    </row>
    <row r="682" spans="3:7">
      <c r="C682">
        <f ca="1"/>
        <v>-0.28781457319782688</v>
      </c>
      <c r="D682">
        <f ca="1"/>
        <v>-1.6993362439714739</v>
      </c>
      <c r="E682">
        <f ca="1"/>
        <v>-2.2167929667643675</v>
      </c>
      <c r="G682">
        <f ca="1"/>
        <v>7.8847519561160908</v>
      </c>
    </row>
    <row r="683" spans="3:7">
      <c r="C683">
        <f ca="1"/>
        <v>-2.5848991367064893</v>
      </c>
      <c r="D683">
        <f ca="1"/>
        <v>6.316530727024873E-2</v>
      </c>
      <c r="E683">
        <f ca="1"/>
        <v>0.23620563935041544</v>
      </c>
      <c r="G683">
        <f ca="1"/>
        <v>6.7414865070494381</v>
      </c>
    </row>
    <row r="684" spans="3:7">
      <c r="C684">
        <f ca="1"/>
        <v>-0.13238201369878869</v>
      </c>
      <c r="D684">
        <f ca="1"/>
        <v>-7.3892413665897841E-2</v>
      </c>
      <c r="E684">
        <f ca="1"/>
        <v>0.85619506346502039</v>
      </c>
      <c r="G684">
        <f ca="1"/>
        <v>0.75605507305018871</v>
      </c>
    </row>
    <row r="685" spans="3:7">
      <c r="C685">
        <f ca="1"/>
        <v>0.41162130855009588</v>
      </c>
      <c r="D685">
        <f ca="1"/>
        <v>-2.2660615513069535</v>
      </c>
      <c r="E685">
        <f ca="1"/>
        <v>1.492224596958579</v>
      </c>
      <c r="G685">
        <f ca="1"/>
        <v>7.5312013037323631</v>
      </c>
    </row>
    <row r="686" spans="3:7">
      <c r="C686">
        <f ca="1"/>
        <v>-0.59208045653911145</v>
      </c>
      <c r="D686">
        <f ca="1"/>
        <v>1.1247581544050778</v>
      </c>
      <c r="E686">
        <f ca="1"/>
        <v>0.43029473732082557</v>
      </c>
      <c r="G686">
        <f ca="1"/>
        <v>1.8007937338822775</v>
      </c>
    </row>
    <row r="687" spans="3:7">
      <c r="C687">
        <f ca="1"/>
        <v>-0.32809747354537611</v>
      </c>
      <c r="D687">
        <f ca="1"/>
        <v>-0.7753007618624268</v>
      </c>
      <c r="E687">
        <f ca="1"/>
        <v>-0.63436795750751751</v>
      </c>
      <c r="G687">
        <f ca="1"/>
        <v>1.1111619290035777</v>
      </c>
    </row>
    <row r="688" spans="3:7">
      <c r="C688">
        <f ca="1"/>
        <v>-0.71816667032302994</v>
      </c>
      <c r="D688">
        <f ca="1"/>
        <v>-0.61969541201012235</v>
      </c>
      <c r="E688">
        <f ca="1"/>
        <v>1.3760700257351666</v>
      </c>
      <c r="G688">
        <f ca="1"/>
        <v>2.7933544857560451</v>
      </c>
    </row>
    <row r="689" spans="3:7">
      <c r="C689">
        <f ca="1"/>
        <v>1.1283097586048632</v>
      </c>
      <c r="D689">
        <f ca="1"/>
        <v>-0.27469614749569865</v>
      </c>
      <c r="E689">
        <f ca="1"/>
        <v>0.46096001522511776</v>
      </c>
      <c r="G689">
        <f ca="1"/>
        <v>1.5610250204482838</v>
      </c>
    </row>
    <row r="690" spans="3:7">
      <c r="C690">
        <f ca="1"/>
        <v>-8.9398958108164478E-2</v>
      </c>
      <c r="D690">
        <f ca="1"/>
        <v>2.4918471007168631E-2</v>
      </c>
      <c r="E690">
        <f ca="1"/>
        <v>0.23100236665265927</v>
      </c>
      <c r="G690">
        <f ca="1"/>
        <v>6.1975197307290078E-2</v>
      </c>
    </row>
    <row r="691" spans="3:7">
      <c r="C691">
        <f ca="1"/>
        <v>0.37575708083662424</v>
      </c>
      <c r="D691">
        <f ca="1"/>
        <v>-0.30518693624451182</v>
      </c>
      <c r="E691">
        <f ca="1"/>
        <v>-0.80319114010552017</v>
      </c>
      <c r="G691">
        <f ca="1"/>
        <v>0.87944845739717836</v>
      </c>
    </row>
    <row r="692" spans="3:7">
      <c r="C692">
        <f ca="1"/>
        <v>-0.14424939897656738</v>
      </c>
      <c r="D692">
        <f ca="1"/>
        <v>-0.63377700248703017</v>
      </c>
      <c r="E692">
        <f ca="1"/>
        <v>1.3412714372401549</v>
      </c>
      <c r="G692">
        <f ca="1"/>
        <v>2.2214902463428166</v>
      </c>
    </row>
    <row r="693" spans="3:7">
      <c r="C693">
        <f ca="1"/>
        <v>1.6826348845267751</v>
      </c>
      <c r="D693">
        <f ca="1"/>
        <v>1.4885003767659757</v>
      </c>
      <c r="E693">
        <f ca="1"/>
        <v>-1.1421453154082475</v>
      </c>
      <c r="G693">
        <f ca="1"/>
        <v>6.3513894477678905</v>
      </c>
    </row>
    <row r="694" spans="3:7">
      <c r="C694">
        <f ca="1"/>
        <v>-0.40191907446674829</v>
      </c>
      <c r="D694">
        <f ca="1"/>
        <v>0.92337982790323148</v>
      </c>
      <c r="E694">
        <f ca="1"/>
        <v>0.48393784727994987</v>
      </c>
      <c r="G694">
        <f ca="1"/>
        <v>1.248365089028761</v>
      </c>
    </row>
    <row r="695" spans="3:7">
      <c r="C695">
        <f ca="1"/>
        <v>8.5810946489319848E-2</v>
      </c>
      <c r="D695">
        <f ca="1"/>
        <v>2.2852846128613562</v>
      </c>
      <c r="E695">
        <f ca="1"/>
        <v>-0.14942052016930021</v>
      </c>
      <c r="G695">
        <f ca="1"/>
        <v>5.2522157721659362</v>
      </c>
    </row>
    <row r="696" spans="3:7">
      <c r="C696">
        <f ca="1"/>
        <v>0.90976542739418675</v>
      </c>
      <c r="D696">
        <f ca="1"/>
        <v>0.44385123540401306</v>
      </c>
      <c r="E696">
        <f ca="1"/>
        <v>-1.6463227149835622</v>
      </c>
      <c r="G696">
        <f ca="1"/>
        <v>3.7350555339222433</v>
      </c>
    </row>
    <row r="697" spans="3:7">
      <c r="C697">
        <f ca="1"/>
        <v>-0.39008145984877135</v>
      </c>
      <c r="D697">
        <f ca="1"/>
        <v>-0.592181566967379</v>
      </c>
      <c r="E697">
        <f ca="1"/>
        <v>0.33408496755903833</v>
      </c>
      <c r="G697">
        <f ca="1"/>
        <v>0.61445531912261275</v>
      </c>
    </row>
    <row r="698" spans="3:7">
      <c r="C698">
        <f ca="1"/>
        <v>-1.2788671047786739</v>
      </c>
      <c r="D698">
        <f ca="1"/>
        <v>-0.89664533616746167</v>
      </c>
      <c r="E698">
        <f ca="1"/>
        <v>-1.2479004809777627</v>
      </c>
      <c r="G698">
        <f ca="1"/>
        <v>3.9967295409803798</v>
      </c>
    </row>
    <row r="699" spans="3:7">
      <c r="C699">
        <f ca="1"/>
        <v>1.2267006452189382</v>
      </c>
      <c r="D699">
        <f ca="1"/>
        <v>-0.20810787847346848</v>
      </c>
      <c r="E699">
        <f ca="1"/>
        <v>0.19423854864573473</v>
      </c>
      <c r="G699">
        <f ca="1"/>
        <v>1.5858319758432886</v>
      </c>
    </row>
    <row r="700" spans="3:7">
      <c r="C700">
        <f ca="1"/>
        <v>1.4954391084266909</v>
      </c>
      <c r="D700">
        <f ca="1"/>
        <v>-1.0880793504039721</v>
      </c>
      <c r="E700">
        <f ca="1"/>
        <v>-2.3968687720862535E-2</v>
      </c>
      <c r="G700">
        <f ca="1"/>
        <v>3.4208292977786066</v>
      </c>
    </row>
    <row r="701" spans="3:7">
      <c r="C701">
        <f ca="1"/>
        <v>1.4543712218691656</v>
      </c>
      <c r="D701">
        <f ca="1"/>
        <v>-1.2834061807080619</v>
      </c>
      <c r="E701">
        <f ca="1"/>
        <v>1.0005363385246131</v>
      </c>
      <c r="G701">
        <f ca="1"/>
        <v>4.7634000403891035</v>
      </c>
    </row>
    <row r="702" spans="3:7">
      <c r="C702">
        <f ca="1"/>
        <v>-2.3059735454853243</v>
      </c>
      <c r="D702">
        <f ca="1"/>
        <v>2.3581761909601147</v>
      </c>
      <c r="E702">
        <f ca="1"/>
        <v>0.35757391780520853</v>
      </c>
      <c r="G702">
        <f ca="1"/>
        <v>11.006368046783876</v>
      </c>
    </row>
    <row r="703" spans="3:7">
      <c r="C703">
        <f ca="1"/>
        <v>-0.9845872404771594</v>
      </c>
      <c r="D703">
        <f ca="1"/>
        <v>0.39546093176408226</v>
      </c>
      <c r="E703">
        <f ca="1"/>
        <v>0.68529162755814088</v>
      </c>
      <c r="G703">
        <f ca="1"/>
        <v>1.5954259974634295</v>
      </c>
    </row>
    <row r="704" spans="3:7">
      <c r="C704">
        <f ca="1"/>
        <v>-0.12182271540186713</v>
      </c>
      <c r="D704">
        <f ca="1"/>
        <v>0.54033274890841831</v>
      </c>
      <c r="E704">
        <f ca="1"/>
        <v>-0.55984534807006292</v>
      </c>
      <c r="G704">
        <f ca="1"/>
        <v>0.62022706728650201</v>
      </c>
    </row>
    <row r="705" spans="3:7">
      <c r="C705">
        <f ca="1"/>
        <v>0.36628735261405032</v>
      </c>
      <c r="D705">
        <f ca="1"/>
        <v>-0.20352235184936421</v>
      </c>
      <c r="E705">
        <f ca="1"/>
        <v>-0.68350585778431994</v>
      </c>
      <c r="G705">
        <f ca="1"/>
        <v>0.64276803001278504</v>
      </c>
    </row>
    <row r="706" spans="3:7">
      <c r="C706">
        <f ca="1"/>
        <v>-0.6462068302551166</v>
      </c>
      <c r="D706">
        <f ca="1"/>
        <v>-0.57925560196969406</v>
      </c>
      <c r="E706">
        <f ca="1"/>
        <v>0.27935863628933927</v>
      </c>
      <c r="G706">
        <f ca="1"/>
        <v>0.83116156755107706</v>
      </c>
    </row>
    <row r="707" spans="3:7">
      <c r="C707">
        <f ca="1"/>
        <v>2.2980214568062491</v>
      </c>
      <c r="D707">
        <f ca="1"/>
        <v>-0.86410282335982946</v>
      </c>
      <c r="E707">
        <f ca="1"/>
        <v>-1.2056057637005753</v>
      </c>
      <c r="G707">
        <f ca="1"/>
        <v>7.4810615627483914</v>
      </c>
    </row>
    <row r="708" spans="3:7">
      <c r="C708">
        <f ca="1"/>
        <v>-1.0576614718149759</v>
      </c>
      <c r="D708">
        <f ca="1"/>
        <v>-0.58060778138392</v>
      </c>
      <c r="E708">
        <f ca="1"/>
        <v>0.79432400555999216</v>
      </c>
      <c r="G708">
        <f ca="1"/>
        <v>2.0867038105742495</v>
      </c>
    </row>
    <row r="709" spans="3:7">
      <c r="C709">
        <f ca="1"/>
        <v>1.4336835172490519</v>
      </c>
      <c r="D709">
        <f ca="1"/>
        <v>-1.6147660464238225</v>
      </c>
      <c r="E709">
        <f ca="1"/>
        <v>0.88452330075423924</v>
      </c>
      <c r="G709">
        <f ca="1"/>
        <v>5.4452992818920096</v>
      </c>
    </row>
    <row r="710" spans="3:7">
      <c r="C710">
        <f ca="1"/>
        <v>-0.35597311661373304</v>
      </c>
      <c r="D710">
        <f ca="1"/>
        <v>-0.17189067431928409</v>
      </c>
      <c r="E710">
        <f ca="1"/>
        <v>1.1908648535813195</v>
      </c>
      <c r="G710">
        <f ca="1"/>
        <v>1.5744223631648904</v>
      </c>
    </row>
    <row r="711" spans="3:7">
      <c r="C711">
        <f ca="1"/>
        <v>1.4692293855780139</v>
      </c>
      <c r="D711">
        <f ca="1"/>
        <v>0.60291329189310927</v>
      </c>
      <c r="E711">
        <f ca="1"/>
        <v>-0.60630046192114462</v>
      </c>
      <c r="G711">
        <f ca="1"/>
        <v>2.8897396751131272</v>
      </c>
    </row>
    <row r="712" spans="3:7">
      <c r="C712">
        <f ca="1"/>
        <v>-1.3843358220318951</v>
      </c>
      <c r="D712">
        <f ca="1"/>
        <v>2.263156515164618</v>
      </c>
      <c r="E712">
        <f ca="1"/>
        <v>1.2579002595015419E-2</v>
      </c>
      <c r="G712">
        <f ca="1"/>
        <v>7.0384213115990661</v>
      </c>
    </row>
    <row r="713" spans="3:7">
      <c r="C713">
        <f ca="1"/>
        <v>-1.422452921515839</v>
      </c>
      <c r="D713">
        <f ca="1"/>
        <v>-0.55205167189399518</v>
      </c>
      <c r="E713">
        <f ca="1"/>
        <v>-0.21000094397215602</v>
      </c>
      <c r="G713">
        <f ca="1"/>
        <v>2.3722337588390978</v>
      </c>
    </row>
    <row r="714" spans="3:7">
      <c r="C714">
        <f ca="1"/>
        <v>0.19715262165751263</v>
      </c>
      <c r="D714">
        <f ca="1"/>
        <v>0.27505506247124961</v>
      </c>
      <c r="E714">
        <f ca="1"/>
        <v>0.68938331053332191</v>
      </c>
      <c r="G714">
        <f ca="1"/>
        <v>0.58977379245937589</v>
      </c>
    </row>
    <row r="715" spans="3:7">
      <c r="C715">
        <f ca="1"/>
        <v>-1.6518560667721693</v>
      </c>
      <c r="D715">
        <f ca="1"/>
        <v>0.11314504552136082</v>
      </c>
      <c r="E715">
        <f ca="1"/>
        <v>-0.10349157553467332</v>
      </c>
      <c r="G715">
        <f ca="1"/>
        <v>2.7521407728647014</v>
      </c>
    </row>
    <row r="716" spans="3:7">
      <c r="C716">
        <f ca="1"/>
        <v>0.66631898023753766</v>
      </c>
      <c r="D716">
        <f ca="1"/>
        <v>0.49837784153540915</v>
      </c>
      <c r="E716">
        <f ca="1"/>
        <v>-1.178027665571624</v>
      </c>
      <c r="G716">
        <f ca="1"/>
        <v>2.0801106372104154</v>
      </c>
    </row>
    <row r="717" spans="3:7">
      <c r="C717">
        <f ca="1"/>
        <v>0.10556640234018427</v>
      </c>
      <c r="D717">
        <f ca="1"/>
        <v>0.12567295171589921</v>
      </c>
      <c r="E717">
        <f ca="1"/>
        <v>1.6499021849609028</v>
      </c>
      <c r="G717">
        <f ca="1"/>
        <v>2.7491151760347976</v>
      </c>
    </row>
    <row r="718" spans="3:7">
      <c r="C718">
        <f ca="1"/>
        <v>-0.2921033808267281</v>
      </c>
      <c r="D718">
        <f ca="1"/>
        <v>0.18402005357316217</v>
      </c>
      <c r="E718">
        <f ca="1"/>
        <v>4.2860312119401944E-2</v>
      </c>
      <c r="G718">
        <f ca="1"/>
        <v>0.12102477156244658</v>
      </c>
    </row>
    <row r="719" spans="3:7">
      <c r="C719">
        <f ca="1"/>
        <v>0.73340906428723573</v>
      </c>
      <c r="D719">
        <f ca="1"/>
        <v>0.12680397972003715</v>
      </c>
      <c r="E719">
        <f ca="1"/>
        <v>-0.78346470999304052</v>
      </c>
      <c r="G719">
        <f ca="1"/>
        <v>1.1677850566559973</v>
      </c>
    </row>
    <row r="720" spans="3:7">
      <c r="C720">
        <f ca="1"/>
        <v>0.91018294022721791</v>
      </c>
      <c r="D720">
        <f ca="1"/>
        <v>1.8615228838880546</v>
      </c>
      <c r="E720">
        <f ca="1"/>
        <v>-0.93273588176920175</v>
      </c>
      <c r="G720">
        <f ca="1"/>
        <v>5.163696657059333</v>
      </c>
    </row>
    <row r="721" spans="3:7">
      <c r="C721">
        <f ca="1"/>
        <v>-0.39453114613201212</v>
      </c>
      <c r="D721">
        <f ca="1"/>
        <v>0.89896706382488445</v>
      </c>
      <c r="E721">
        <f ca="1"/>
        <v>8.7387764955390246E-2</v>
      </c>
      <c r="G721">
        <f ca="1"/>
        <v>0.97143322857407144</v>
      </c>
    </row>
    <row r="722" spans="3:7">
      <c r="C722">
        <f ca="1"/>
        <v>-0.36362580772935066</v>
      </c>
      <c r="D722">
        <f ca="1"/>
        <v>-1.2104563774778223</v>
      </c>
      <c r="E722">
        <f ca="1"/>
        <v>-0.17081885424079193</v>
      </c>
      <c r="G722">
        <f ca="1"/>
        <v>1.6266074507876918</v>
      </c>
    </row>
    <row r="723" spans="3:7">
      <c r="C723">
        <f ca="1"/>
        <v>-2.2870151313521672</v>
      </c>
      <c r="D723">
        <f ca="1"/>
        <v>1.3088382434002794</v>
      </c>
      <c r="E723">
        <f ca="1"/>
        <v>1.0809980563114709</v>
      </c>
      <c r="G723">
        <f ca="1"/>
        <v>8.1120525561700774</v>
      </c>
    </row>
    <row r="724" spans="3:7">
      <c r="C724">
        <f ca="1"/>
        <v>-1.4048034952578177</v>
      </c>
      <c r="D724">
        <f ca="1"/>
        <v>-1.5070008966124535</v>
      </c>
      <c r="E724">
        <f ca="1"/>
        <v>-0.82555258648579599</v>
      </c>
      <c r="G724">
        <f ca="1"/>
        <v>4.9260616357327081</v>
      </c>
    </row>
    <row r="725" spans="3:7">
      <c r="C725">
        <f ca="1"/>
        <v>0.91551910508420897</v>
      </c>
      <c r="D725">
        <f ca="1"/>
        <v>-0.3087086951100606</v>
      </c>
      <c r="E725">
        <f ca="1"/>
        <v>1.7083735136270926</v>
      </c>
      <c r="G725">
        <f ca="1"/>
        <v>3.8520163522733251</v>
      </c>
    </row>
    <row r="726" spans="3:7">
      <c r="C726">
        <f ca="1"/>
        <v>-1.2010719907170304</v>
      </c>
      <c r="D726">
        <f ca="1"/>
        <v>1.063241762214769</v>
      </c>
      <c r="E726">
        <f ca="1"/>
        <v>0.80864153466574562</v>
      </c>
      <c r="G726">
        <f ca="1"/>
        <v>3.2269581033891099</v>
      </c>
    </row>
    <row r="727" spans="3:7">
      <c r="C727">
        <f ca="1"/>
        <v>1.2354355602531775</v>
      </c>
      <c r="D727">
        <f ca="1"/>
        <v>0.53572574647427751</v>
      </c>
      <c r="E727">
        <f ca="1"/>
        <v>0.17783566023792294</v>
      </c>
      <c r="G727">
        <f ca="1"/>
        <v>1.8449286210257623</v>
      </c>
    </row>
    <row r="728" spans="3:7">
      <c r="C728">
        <f ca="1"/>
        <v>-0.57968904030225654</v>
      </c>
      <c r="D728">
        <f ca="1"/>
        <v>-0.62452446387113181</v>
      </c>
      <c r="E728">
        <f ca="1"/>
        <v>-0.22068446116069354</v>
      </c>
      <c r="G728">
        <f ca="1"/>
        <v>0.77477182081786145</v>
      </c>
    </row>
    <row r="729" spans="3:7">
      <c r="C729">
        <f ca="1"/>
        <v>-2.7604889894182617E-2</v>
      </c>
      <c r="D729">
        <f ca="1"/>
        <v>-1.5574503403144839</v>
      </c>
      <c r="E729">
        <f ca="1"/>
        <v>0.85558138877213186</v>
      </c>
      <c r="G729">
        <f ca="1"/>
        <v>3.1584331053050216</v>
      </c>
    </row>
    <row r="730" spans="3:7">
      <c r="C730">
        <f ca="1"/>
        <v>-1.1084649238646507</v>
      </c>
      <c r="D730">
        <f ca="1"/>
        <v>0.51191462229209761</v>
      </c>
      <c r="E730">
        <f ca="1"/>
        <v>-1.8138488602050751</v>
      </c>
      <c r="G730">
        <f ca="1"/>
        <v>4.7807987556219773</v>
      </c>
    </row>
    <row r="731" spans="3:7">
      <c r="C731">
        <f ca="1"/>
        <v>-0.55073958906069087</v>
      </c>
      <c r="D731">
        <f ca="1"/>
        <v>-0.97974215840683965</v>
      </c>
      <c r="E731">
        <f ca="1"/>
        <v>-5.7194869227055044E-2</v>
      </c>
      <c r="G731">
        <f ca="1"/>
        <v>1.2664800449843316</v>
      </c>
    </row>
    <row r="732" spans="3:7">
      <c r="C732">
        <f ca="1"/>
        <v>0.99695106803737954</v>
      </c>
      <c r="D732">
        <f ca="1"/>
        <v>0.46473074473437698</v>
      </c>
      <c r="E732">
        <f ca="1"/>
        <v>-0.41863703386616163</v>
      </c>
      <c r="G732">
        <f ca="1"/>
        <v>1.3851430632864983</v>
      </c>
    </row>
    <row r="733" spans="3:7">
      <c r="C733">
        <f ca="1"/>
        <v>-1.0031964483144586</v>
      </c>
      <c r="D733">
        <f ca="1"/>
        <v>2.6356139249703174</v>
      </c>
      <c r="E733">
        <f ca="1"/>
        <v>0.68820274860352926</v>
      </c>
      <c r="G733">
        <f ca="1"/>
        <v>8.4264868985936392</v>
      </c>
    </row>
    <row r="734" spans="3:7">
      <c r="C734">
        <f ca="1"/>
        <v>1.1748098851281434</v>
      </c>
      <c r="D734">
        <f ca="1"/>
        <v>0.75884260740711629</v>
      </c>
      <c r="E734">
        <f ca="1"/>
        <v>0.41080761295987572</v>
      </c>
      <c r="G734">
        <f ca="1"/>
        <v>2.1247832638770232</v>
      </c>
    </row>
    <row r="735" spans="3:7">
      <c r="C735">
        <f ca="1"/>
        <v>0.19195951109587969</v>
      </c>
      <c r="D735">
        <f ca="1"/>
        <v>-0.35831949775489175</v>
      </c>
      <c r="E735">
        <f ca="1"/>
        <v>0.18096100059628398</v>
      </c>
      <c r="G735">
        <f ca="1"/>
        <v>0.19798820010829532</v>
      </c>
    </row>
    <row r="736" spans="3:7">
      <c r="C736">
        <f ca="1"/>
        <v>0.89985897775388535</v>
      </c>
      <c r="D736">
        <f ca="1"/>
        <v>2.1950476127471754</v>
      </c>
      <c r="E736">
        <f ca="1"/>
        <v>-0.51499446164971663</v>
      </c>
      <c r="G736">
        <f ca="1"/>
        <v>5.8931994976012234</v>
      </c>
    </row>
    <row r="737" spans="3:7">
      <c r="C737">
        <f ca="1"/>
        <v>-0.29187449073373406</v>
      </c>
      <c r="D737">
        <f ca="1"/>
        <v>0.86725270801670407</v>
      </c>
      <c r="E737">
        <f ca="1"/>
        <v>-0.76957802476405401</v>
      </c>
      <c r="G737">
        <f ca="1"/>
        <v>1.4295683141031261</v>
      </c>
    </row>
    <row r="738" spans="3:7">
      <c r="C738">
        <f ca="1"/>
        <v>-1.5118229217229751</v>
      </c>
      <c r="D738">
        <f ca="1"/>
        <v>0.27780566328927447</v>
      </c>
      <c r="E738">
        <f ca="1"/>
        <v>1.8190541234868489</v>
      </c>
      <c r="G738">
        <f ca="1"/>
        <v>5.6717424373770946</v>
      </c>
    </row>
    <row r="739" spans="3:7">
      <c r="C739">
        <f ca="1"/>
        <v>-1.5327895104912386</v>
      </c>
      <c r="D739">
        <f ca="1"/>
        <v>-0.62158265763050946</v>
      </c>
      <c r="E739">
        <f ca="1"/>
        <v>-1.5512152374334942</v>
      </c>
      <c r="G739">
        <f ca="1"/>
        <v>5.1420773965848294</v>
      </c>
    </row>
    <row r="740" spans="3:7">
      <c r="C740">
        <f ca="1"/>
        <v>1.4437804785563741</v>
      </c>
      <c r="D740">
        <f ca="1"/>
        <v>4.2144122279637923E-2</v>
      </c>
      <c r="E740">
        <f ca="1"/>
        <v>-0.32803680591195661</v>
      </c>
      <c r="G740">
        <f ca="1"/>
        <v>2.1938863433361124</v>
      </c>
    </row>
    <row r="741" spans="3:7">
      <c r="C741">
        <f ca="1"/>
        <v>-1.4082919539613927</v>
      </c>
      <c r="D741">
        <f ca="1"/>
        <v>-0.9575604080522927</v>
      </c>
      <c r="E741">
        <f ca="1"/>
        <v>1.8794771150124363</v>
      </c>
      <c r="G741">
        <f ca="1"/>
        <v>6.4326423885171415</v>
      </c>
    </row>
    <row r="742" spans="3:7">
      <c r="C742">
        <f ca="1"/>
        <v>-0.86125779125501489</v>
      </c>
      <c r="D742">
        <f ca="1"/>
        <v>0.71485809873337947</v>
      </c>
      <c r="E742">
        <f ca="1"/>
        <v>1.3154714235890246</v>
      </c>
      <c r="G742">
        <f ca="1"/>
        <v>2.9832521506015039</v>
      </c>
    </row>
    <row r="743" spans="3:7">
      <c r="C743">
        <f ca="1"/>
        <v>1.4354069600405279</v>
      </c>
      <c r="D743">
        <f ca="1"/>
        <v>0.46975203559755324</v>
      </c>
      <c r="E743">
        <f ca="1"/>
        <v>-1.0022942105245007</v>
      </c>
      <c r="G743">
        <f ca="1"/>
        <v>3.285653800331767</v>
      </c>
    </row>
    <row r="744" spans="3:7">
      <c r="C744">
        <f ca="1"/>
        <v>-0.47879190888998718</v>
      </c>
      <c r="D744">
        <f ca="1"/>
        <v>0.33152555850884413</v>
      </c>
      <c r="E744">
        <f ca="1"/>
        <v>-0.71856609534236093</v>
      </c>
      <c r="G744">
        <f ca="1"/>
        <v>0.85548812133868579</v>
      </c>
    </row>
    <row r="745" spans="3:7">
      <c r="C745">
        <f ca="1"/>
        <v>-1.7911126672776732</v>
      </c>
      <c r="D745">
        <f ca="1"/>
        <v>0.96195354754483264</v>
      </c>
      <c r="E745">
        <f ca="1"/>
        <v>-1.5335199057153019</v>
      </c>
      <c r="G745">
        <f ca="1"/>
        <v>6.4851225157416978</v>
      </c>
    </row>
    <row r="746" spans="3:7">
      <c r="C746">
        <f ca="1"/>
        <v>-1.4895972222831246</v>
      </c>
      <c r="D746">
        <f ca="1"/>
        <v>-0.18349767271988546</v>
      </c>
      <c r="E746">
        <f ca="1"/>
        <v>0.16547878779113612</v>
      </c>
      <c r="G746">
        <f ca="1"/>
        <v>2.2799545097360387</v>
      </c>
    </row>
    <row r="747" spans="3:7">
      <c r="C747">
        <f ca="1"/>
        <v>1.4703709520119528</v>
      </c>
      <c r="D747">
        <f ca="1"/>
        <v>-0.92165031266754005</v>
      </c>
      <c r="E747">
        <f ca="1"/>
        <v>0.65591184185270546</v>
      </c>
      <c r="G747">
        <f ca="1"/>
        <v>3.4416503796433191</v>
      </c>
    </row>
    <row r="748" spans="3:7">
      <c r="C748">
        <f ca="1"/>
        <v>0.49761172249535868</v>
      </c>
      <c r="D748">
        <f ca="1"/>
        <v>0.1530277837369238</v>
      </c>
      <c r="E748">
        <f ca="1"/>
        <v>-0.39626463850962679</v>
      </c>
      <c r="G748">
        <f ca="1"/>
        <v>0.4280605926933978</v>
      </c>
    </row>
    <row r="749" spans="3:7">
      <c r="C749">
        <f ca="1"/>
        <v>-1.885637830625142</v>
      </c>
      <c r="D749">
        <f ca="1"/>
        <v>-0.69134156359915877</v>
      </c>
      <c r="E749">
        <f ca="1"/>
        <v>-1.0468163187913351</v>
      </c>
      <c r="G749">
        <f ca="1"/>
        <v>5.1294075911322636</v>
      </c>
    </row>
    <row r="750" spans="3:7">
      <c r="C750">
        <f ca="1"/>
        <v>-0.177187474937295</v>
      </c>
      <c r="D750">
        <f ca="1"/>
        <v>-0.52829676116605873</v>
      </c>
      <c r="E750">
        <f ca="1"/>
        <v>0.60439325841872238</v>
      </c>
      <c r="G750">
        <f ca="1"/>
        <v>0.67578407995520284</v>
      </c>
    </row>
    <row r="751" spans="3:7">
      <c r="C751">
        <f ca="1"/>
        <v>-1.4008531094863039</v>
      </c>
      <c r="D751">
        <f ca="1"/>
        <v>-1.6832316664178051</v>
      </c>
      <c r="E751">
        <f ca="1"/>
        <v>-0.43139197903142096</v>
      </c>
      <c r="G751">
        <f ca="1"/>
        <v>4.9817573167617537</v>
      </c>
    </row>
    <row r="752" spans="3:7">
      <c r="C752">
        <f ca="1"/>
        <v>-0.21648579960962491</v>
      </c>
      <c r="D752">
        <f ca="1"/>
        <v>-0.52251384326595041</v>
      </c>
      <c r="E752">
        <f ca="1"/>
        <v>-0.56558790922935731</v>
      </c>
      <c r="G752">
        <f ca="1"/>
        <v>0.63977650090360849</v>
      </c>
    </row>
    <row r="753" spans="3:7">
      <c r="C753">
        <f ca="1"/>
        <v>0.15289921638136514</v>
      </c>
      <c r="D753">
        <f ca="1"/>
        <v>0.21391739908451801</v>
      </c>
      <c r="E753">
        <f ca="1"/>
        <v>-1.6388638556350228</v>
      </c>
      <c r="G753">
        <f ca="1"/>
        <v>2.7550135613080133</v>
      </c>
    </row>
    <row r="754" spans="3:7">
      <c r="C754">
        <f ca="1"/>
        <v>-0.63596984508868515</v>
      </c>
      <c r="D754">
        <f ca="1"/>
        <v>-0.80969191755735559</v>
      </c>
      <c r="E754">
        <f ca="1"/>
        <v>1.7244029252848418</v>
      </c>
      <c r="G754">
        <f ca="1"/>
        <v>4.0336240939507535</v>
      </c>
    </row>
    <row r="755" spans="3:7">
      <c r="C755">
        <f ca="1"/>
        <v>0.24819979662488365</v>
      </c>
      <c r="D755">
        <f ca="1"/>
        <v>0.4521792072513236</v>
      </c>
      <c r="E755">
        <f ca="1"/>
        <v>-0.79855820982649739</v>
      </c>
      <c r="G755">
        <f ca="1"/>
        <v>0.90376438899636924</v>
      </c>
    </row>
    <row r="756" spans="3:7">
      <c r="C756">
        <f ca="1"/>
        <v>-1.4159209777699024</v>
      </c>
      <c r="D756">
        <f ca="1"/>
        <v>0.5066440994721394</v>
      </c>
      <c r="E756">
        <f ca="1"/>
        <v>-0.37851410640753747</v>
      </c>
      <c r="G756">
        <f ca="1"/>
        <v>2.4047933875683078</v>
      </c>
    </row>
    <row r="757" spans="3:7">
      <c r="C757">
        <f ca="1"/>
        <v>-0.22282544208261038</v>
      </c>
      <c r="D757">
        <f ca="1"/>
        <v>1.1903054680871319</v>
      </c>
      <c r="E757">
        <f ca="1"/>
        <v>0.54024543133346614</v>
      </c>
      <c r="G757">
        <f ca="1"/>
        <v>1.7583434110741198</v>
      </c>
    </row>
    <row r="758" spans="3:7">
      <c r="C758">
        <f ca="1"/>
        <v>-1.4342119396145316</v>
      </c>
      <c r="D758">
        <f ca="1"/>
        <v>0.77897422005418915</v>
      </c>
      <c r="E758">
        <f ca="1"/>
        <v>-1.402661506824818</v>
      </c>
      <c r="G758">
        <f ca="1"/>
        <v>4.6312240259699786</v>
      </c>
    </row>
    <row r="759" spans="3:7">
      <c r="C759">
        <f ca="1"/>
        <v>0.2292491871777298</v>
      </c>
      <c r="D759">
        <f ca="1"/>
        <v>1.3814306324448915</v>
      </c>
      <c r="E759">
        <f ca="1"/>
        <v>-1.3399610580901327</v>
      </c>
      <c r="G759">
        <f ca="1"/>
        <v>3.756401419276771</v>
      </c>
    </row>
    <row r="760" spans="3:7">
      <c r="C760">
        <f ca="1"/>
        <v>-0.66134115806562488</v>
      </c>
      <c r="D760">
        <f ca="1"/>
        <v>1.0617280399273161</v>
      </c>
      <c r="E760">
        <f ca="1"/>
        <v>0.5846595405105397</v>
      </c>
      <c r="G760">
        <f ca="1"/>
        <v>1.9064653364294779</v>
      </c>
    </row>
    <row r="761" spans="3:7">
      <c r="C761">
        <f ca="1"/>
        <v>0.61784722775914203</v>
      </c>
      <c r="D761">
        <f ca="1"/>
        <v>-7.7339417360433135E-2</v>
      </c>
      <c r="E761">
        <f ca="1"/>
        <v>-0.6497094575647695</v>
      </c>
      <c r="G761">
        <f ca="1"/>
        <v>0.80983896157641544</v>
      </c>
    </row>
    <row r="762" spans="3:7">
      <c r="C762">
        <f ca="1"/>
        <v>-1.5053514216139072</v>
      </c>
      <c r="D762">
        <f ca="1"/>
        <v>-0.14563304905378596</v>
      </c>
      <c r="E762">
        <f ca="1"/>
        <v>0.7916982109795424</v>
      </c>
      <c r="G762">
        <f ca="1"/>
        <v>2.9140779447999221</v>
      </c>
    </row>
    <row r="763" spans="3:7">
      <c r="C763">
        <f ca="1"/>
        <v>-0.54382699288421232</v>
      </c>
      <c r="D763">
        <f ca="1"/>
        <v>-1.0892028767467776</v>
      </c>
      <c r="E763">
        <f ca="1"/>
        <v>-1.1347672207325077</v>
      </c>
      <c r="G763">
        <f ca="1"/>
        <v>2.7698073501519209</v>
      </c>
    </row>
    <row r="764" spans="3:7">
      <c r="C764">
        <f ca="1"/>
        <v>-0.25939025847116071</v>
      </c>
      <c r="D764">
        <f ca="1"/>
        <v>0.89590200750543303</v>
      </c>
      <c r="E764">
        <f ca="1"/>
        <v>0.93897761213107911</v>
      </c>
      <c r="G764">
        <f ca="1"/>
        <v>1.7516026693253837</v>
      </c>
    </row>
    <row r="765" spans="3:7">
      <c r="C765">
        <f ca="1"/>
        <v>1.2361789615199932</v>
      </c>
      <c r="D765">
        <f ca="1"/>
        <v>0.51673262211055038</v>
      </c>
      <c r="E765">
        <f ca="1"/>
        <v>0.27205619495048133</v>
      </c>
      <c r="G765">
        <f ca="1"/>
        <v>1.869165600868828</v>
      </c>
    </row>
    <row r="766" spans="3:7">
      <c r="C766">
        <f ca="1"/>
        <v>-1.1554281112061753</v>
      </c>
      <c r="D766">
        <f ca="1"/>
        <v>-0.28975798815194581</v>
      </c>
      <c r="E766">
        <f ca="1"/>
        <v>-0.6510161662890388</v>
      </c>
      <c r="G766">
        <f ca="1"/>
        <v>1.8427958606330104</v>
      </c>
    </row>
    <row r="767" spans="3:7">
      <c r="C767">
        <f ca="1"/>
        <v>-0.50609317939379861</v>
      </c>
      <c r="D767">
        <f ca="1"/>
        <v>1.4495406577306751</v>
      </c>
      <c r="E767">
        <f ca="1"/>
        <v>-0.87657585053880371</v>
      </c>
      <c r="G767">
        <f ca="1"/>
        <v>3.1256836463910291</v>
      </c>
    </row>
    <row r="768" spans="3:7">
      <c r="C768">
        <f ca="1"/>
        <v>-1.0479797463166165</v>
      </c>
      <c r="D768">
        <f ca="1"/>
        <v>-1.5870088601627947</v>
      </c>
      <c r="E768">
        <f ca="1"/>
        <v>-0.91853709588615706</v>
      </c>
      <c r="G768">
        <f ca="1"/>
        <v>4.4605690674440286</v>
      </c>
    </row>
    <row r="769" spans="3:7">
      <c r="C769">
        <f ca="1"/>
        <v>-0.61750554948882097</v>
      </c>
      <c r="D769">
        <f ca="1"/>
        <v>-5.6119741540887273E-2</v>
      </c>
      <c r="E769">
        <f ca="1"/>
        <v>1.2394224319898752</v>
      </c>
      <c r="G769">
        <f ca="1"/>
        <v>1.9206304939598036</v>
      </c>
    </row>
    <row r="770" spans="3:7">
      <c r="C770">
        <f ca="1"/>
        <v>0.7359778736220729</v>
      </c>
      <c r="D770">
        <f ca="1"/>
        <v>0.12799070218790945</v>
      </c>
      <c r="E770">
        <f ca="1"/>
        <v>-2.9676348573599727</v>
      </c>
      <c r="G770">
        <f ca="1"/>
        <v>9.3649016969257666</v>
      </c>
    </row>
    <row r="771" spans="3:7">
      <c r="C771">
        <f ca="1"/>
        <v>-0.75858775213927709</v>
      </c>
      <c r="D771">
        <f ca="1"/>
        <v>-1.214215778666426</v>
      </c>
      <c r="E771">
        <f ca="1"/>
        <v>1.7707203603417752</v>
      </c>
      <c r="G771">
        <f ca="1"/>
        <v>5.1852259293871423</v>
      </c>
    </row>
    <row r="772" spans="3:7">
      <c r="C772">
        <f ca="1"/>
        <v>2.5440449545857189</v>
      </c>
      <c r="D772">
        <f ca="1"/>
        <v>-3.668588344210677</v>
      </c>
      <c r="E772">
        <f ca="1"/>
        <v>-0.54196517737102823</v>
      </c>
      <c r="G772">
        <f ca="1"/>
        <v>20.2244314237143</v>
      </c>
    </row>
    <row r="773" spans="3:7">
      <c r="C773">
        <f ca="1"/>
        <v>0.59672400528861314</v>
      </c>
      <c r="D773">
        <f ca="1"/>
        <v>0.37733226331417147</v>
      </c>
      <c r="E773">
        <f ca="1"/>
        <v>1.8981515180594903</v>
      </c>
      <c r="G773">
        <f ca="1"/>
        <v>4.1014383609370277</v>
      </c>
    </row>
    <row r="774" spans="3:7">
      <c r="C774">
        <f ca="1"/>
        <v>-1.5880955082099242</v>
      </c>
      <c r="D774">
        <f ca="1"/>
        <v>1.1237048174246864</v>
      </c>
      <c r="E774">
        <f ca="1"/>
        <v>-0.21155879527352095</v>
      </c>
      <c r="G774">
        <f ca="1"/>
        <v>3.8295169837575687</v>
      </c>
    </row>
    <row r="775" spans="3:7">
      <c r="C775">
        <f ca="1"/>
        <v>-4.5437094641058551E-2</v>
      </c>
      <c r="D775">
        <f ca="1"/>
        <v>7.5450621792559472E-2</v>
      </c>
      <c r="E775">
        <f ca="1"/>
        <v>0.52276768965696285</v>
      </c>
      <c r="G775">
        <f ca="1"/>
        <v>0.28104338324758299</v>
      </c>
    </row>
    <row r="776" spans="3:7">
      <c r="C776">
        <f ca="1"/>
        <v>-0.71394842054960606</v>
      </c>
      <c r="D776">
        <f ca="1"/>
        <v>-0.8344746295550679</v>
      </c>
      <c r="E776">
        <f ca="1"/>
        <v>1.3209595985499361</v>
      </c>
      <c r="G776">
        <f ca="1"/>
        <v>2.9510045155775533</v>
      </c>
    </row>
    <row r="777" spans="3:7">
      <c r="C777">
        <f ca="1"/>
        <v>-0.16347537302267531</v>
      </c>
      <c r="D777">
        <f ca="1"/>
        <v>0.5580274821694724</v>
      </c>
      <c r="E777">
        <f ca="1"/>
        <v>-1.7366000877619834</v>
      </c>
      <c r="G777">
        <f ca="1"/>
        <v>3.3538987332562318</v>
      </c>
    </row>
    <row r="778" spans="3:7">
      <c r="C778">
        <f ca="1"/>
        <v>1.6724095891277424</v>
      </c>
      <c r="D778">
        <f ca="1"/>
        <v>1.1434917670818492</v>
      </c>
      <c r="E778">
        <f ca="1"/>
        <v>-0.5219547173550998</v>
      </c>
      <c r="G778">
        <f ca="1"/>
        <v>4.3769639821596362</v>
      </c>
    </row>
    <row r="779" spans="3:7">
      <c r="C779">
        <f ca="1"/>
        <v>-1.2363098497783689</v>
      </c>
      <c r="D779">
        <f ca="1"/>
        <v>0.34998799147527127</v>
      </c>
      <c r="E779">
        <f ca="1"/>
        <v>1.1345926942247475</v>
      </c>
      <c r="G779">
        <f ca="1"/>
        <v>2.9382542206240787</v>
      </c>
    </row>
    <row r="780" spans="3:7">
      <c r="C780">
        <f ca="1"/>
        <v>-0.79723080767650822</v>
      </c>
      <c r="D780">
        <f ca="1"/>
        <v>0.83178064438245947</v>
      </c>
      <c r="E780">
        <f ca="1"/>
        <v>-0.17788328653318047</v>
      </c>
      <c r="G780">
        <f ca="1"/>
        <v>1.3590784647056826</v>
      </c>
    </row>
    <row r="781" spans="3:7">
      <c r="C781">
        <f ca="1"/>
        <v>-0.75735767892512706</v>
      </c>
      <c r="D781">
        <f ca="1"/>
        <v>-1.3030803205600401</v>
      </c>
      <c r="E781">
        <f ca="1"/>
        <v>0.55432651560229473</v>
      </c>
      <c r="G781">
        <f ca="1"/>
        <v>2.5788868615574936</v>
      </c>
    </row>
    <row r="782" spans="3:7">
      <c r="C782">
        <f ca="1"/>
        <v>0.49713237289238149</v>
      </c>
      <c r="D782">
        <f ca="1"/>
        <v>-0.87860504225574954</v>
      </c>
      <c r="E782">
        <f ca="1"/>
        <v>0.81632626730559998</v>
      </c>
      <c r="G782">
        <f ca="1"/>
        <v>1.6854759911479311</v>
      </c>
    </row>
    <row r="783" spans="3:7">
      <c r="C783">
        <f ca="1"/>
        <v>9.2489984817185233E-2</v>
      </c>
      <c r="D783">
        <f ca="1"/>
        <v>-0.57180513019980406</v>
      </c>
      <c r="E783">
        <f ca="1"/>
        <v>1.7885354607994222</v>
      </c>
      <c r="G783">
        <f ca="1"/>
        <v>3.5343745987512993</v>
      </c>
    </row>
    <row r="784" spans="3:7">
      <c r="C784">
        <f ca="1"/>
        <v>-0.67397458399985499</v>
      </c>
      <c r="D784">
        <f ca="1"/>
        <v>1.5557918864949407</v>
      </c>
      <c r="E784">
        <f ca="1"/>
        <v>1.0052654370021319</v>
      </c>
      <c r="G784">
        <f ca="1"/>
        <v>3.8852887327923513</v>
      </c>
    </row>
    <row r="785" spans="3:7">
      <c r="C785">
        <f ca="1"/>
        <v>-2.1843135221704908</v>
      </c>
      <c r="D785">
        <f ca="1"/>
        <v>6.6621057841624781E-2</v>
      </c>
      <c r="E785">
        <f ca="1"/>
        <v>-1.9648962890839783</v>
      </c>
      <c r="G785">
        <f ca="1"/>
        <v>8.6364813553407807</v>
      </c>
    </row>
    <row r="786" spans="3:7">
      <c r="C786">
        <f ca="1"/>
        <v>0.39957665889757066</v>
      </c>
      <c r="D786">
        <f ca="1"/>
        <v>0.72236023804077831</v>
      </c>
      <c r="E786">
        <f ca="1"/>
        <v>-1.2708214216525315</v>
      </c>
      <c r="G786">
        <f ca="1"/>
        <v>2.296452905569037</v>
      </c>
    </row>
    <row r="787" spans="3:7">
      <c r="C787">
        <f ca="1"/>
        <v>-1.6289189741666805</v>
      </c>
      <c r="D787">
        <f ca="1"/>
        <v>-0.21979101430391837</v>
      </c>
      <c r="E787">
        <f ca="1"/>
        <v>5.4427831518301786E-2</v>
      </c>
      <c r="G787">
        <f ca="1"/>
        <v>2.7046475032127608</v>
      </c>
    </row>
    <row r="788" spans="3:7">
      <c r="C788">
        <f ca="1"/>
        <v>-1.5501779386752899</v>
      </c>
      <c r="D788">
        <f ca="1"/>
        <v>0.63661348286566966</v>
      </c>
      <c r="E788">
        <f ca="1"/>
        <v>1.8271094012780633</v>
      </c>
      <c r="G788">
        <f ca="1"/>
        <v>6.1466571323606125</v>
      </c>
    </row>
    <row r="789" spans="3:7">
      <c r="C789">
        <f ca="1"/>
        <v>-9.6313160732267894E-2</v>
      </c>
      <c r="D789">
        <f ca="1"/>
        <v>-0.24436916896807648</v>
      </c>
      <c r="E789">
        <f ca="1"/>
        <v>0.54055606996616057</v>
      </c>
      <c r="G789">
        <f ca="1"/>
        <v>0.36119338044964866</v>
      </c>
    </row>
    <row r="790" spans="3:7">
      <c r="C790">
        <f ca="1"/>
        <v>0.52530011058438209</v>
      </c>
      <c r="D790">
        <f ca="1"/>
        <v>-1.5849994328784309</v>
      </c>
      <c r="E790">
        <f ca="1"/>
        <v>0.91979433467804039</v>
      </c>
      <c r="G790">
        <f ca="1"/>
        <v>3.6341850265107305</v>
      </c>
    </row>
    <row r="791" spans="3:7">
      <c r="C791">
        <f ca="1"/>
        <v>-0.20373144272273203</v>
      </c>
      <c r="D791">
        <f ca="1"/>
        <v>-0.26257015294532332</v>
      </c>
      <c r="E791">
        <f ca="1"/>
        <v>-0.60636190356600439</v>
      </c>
      <c r="G791">
        <f ca="1"/>
        <v>0.47812434406780469</v>
      </c>
    </row>
    <row r="792" spans="3:7">
      <c r="C792">
        <f ca="1"/>
        <v>-0.81278793187685194</v>
      </c>
      <c r="D792">
        <f ca="1"/>
        <v>1.9321620655612541</v>
      </c>
      <c r="E792">
        <f ca="1"/>
        <v>-0.94644549799386235</v>
      </c>
      <c r="G792">
        <f ca="1"/>
        <v>5.2896335504714322</v>
      </c>
    </row>
    <row r="793" spans="3:7">
      <c r="C793">
        <f ca="1"/>
        <v>-0.68820561053460338</v>
      </c>
      <c r="D793">
        <f ca="1"/>
        <v>1.7144632465421954</v>
      </c>
      <c r="E793">
        <f ca="1"/>
        <v>0.82985016321140281</v>
      </c>
      <c r="G793">
        <f ca="1"/>
        <v>4.1016624794973024</v>
      </c>
    </row>
    <row r="794" spans="3:7">
      <c r="C794">
        <f ca="1"/>
        <v>0.35578694715042952</v>
      </c>
      <c r="D794">
        <f ca="1"/>
        <v>-0.29351821045780346</v>
      </c>
      <c r="E794">
        <f ca="1"/>
        <v>-0.28619779883781726</v>
      </c>
      <c r="G794">
        <f ca="1"/>
        <v>0.29464647169258568</v>
      </c>
    </row>
    <row r="795" spans="3:7">
      <c r="C795">
        <f ca="1"/>
        <v>1.0897743137263449</v>
      </c>
      <c r="D795">
        <f ca="1"/>
        <v>8.113397658625536E-2</v>
      </c>
      <c r="E795">
        <f ca="1"/>
        <v>1.3931059139093054</v>
      </c>
      <c r="G795">
        <f ca="1"/>
        <v>3.134934864383506</v>
      </c>
    </row>
    <row r="796" spans="3:7">
      <c r="C796">
        <f ca="1"/>
        <v>-0.30396251003054015</v>
      </c>
      <c r="D796">
        <f ca="1"/>
        <v>-0.57523098999033284</v>
      </c>
      <c r="E796">
        <f ca="1"/>
        <v>-1.0788755417453466</v>
      </c>
      <c r="G796">
        <f ca="1"/>
        <v>1.5872563339256398</v>
      </c>
    </row>
    <row r="797" spans="3:7">
      <c r="C797">
        <f ca="1"/>
        <v>1.2046025539214835</v>
      </c>
      <c r="D797">
        <f ca="1"/>
        <v>7.5655427470292289E-2</v>
      </c>
      <c r="E797">
        <f ca="1"/>
        <v>-0.20595708968680201</v>
      </c>
      <c r="G797">
        <f ca="1"/>
        <v>1.4992093794121308</v>
      </c>
    </row>
    <row r="798" spans="3:7">
      <c r="C798">
        <f ca="1"/>
        <v>2.0702281862447332E-2</v>
      </c>
      <c r="D798">
        <f ca="1"/>
        <v>-1.1431506957585826</v>
      </c>
      <c r="E798">
        <f ca="1"/>
        <v>0.1480911912952502</v>
      </c>
      <c r="G798">
        <f ca="1"/>
        <v>1.32915309862689</v>
      </c>
    </row>
    <row r="799" spans="3:7">
      <c r="C799">
        <f ca="1"/>
        <v>-0.95827331233793434</v>
      </c>
      <c r="D799">
        <f ca="1"/>
        <v>-0.76048118874655479</v>
      </c>
      <c r="E799">
        <f ca="1"/>
        <v>-1.0475261714467974</v>
      </c>
      <c r="G799">
        <f ca="1"/>
        <v>2.5939304594424746</v>
      </c>
    </row>
    <row r="800" spans="3:7">
      <c r="C800">
        <f ca="1"/>
        <v>-0.23209891363533861</v>
      </c>
      <c r="D800">
        <f ca="1"/>
        <v>0.53953712770758266</v>
      </c>
      <c r="E800">
        <f ca="1"/>
        <v>-0.24977636783461984</v>
      </c>
      <c r="G800">
        <f ca="1"/>
        <v>0.40735845181430808</v>
      </c>
    </row>
    <row r="801" spans="3:7">
      <c r="C801">
        <f ca="1"/>
        <v>-0.25713591436386779</v>
      </c>
      <c r="D801">
        <f ca="1"/>
        <v>1.7457349384189975</v>
      </c>
      <c r="E801">
        <f ca="1"/>
        <v>-1.0085721128984901</v>
      </c>
      <c r="G801">
        <f ca="1"/>
        <v>4.1309270605890482</v>
      </c>
    </row>
    <row r="802" spans="3:7">
      <c r="C802">
        <f ca="1"/>
        <v>-0.38806361414039614</v>
      </c>
      <c r="D802">
        <f ca="1"/>
        <v>0.12933288760452441</v>
      </c>
      <c r="E802">
        <f ca="1"/>
        <v>0.22198578129294153</v>
      </c>
      <c r="G802">
        <f ca="1"/>
        <v>0.21659805153206849</v>
      </c>
    </row>
    <row r="803" spans="3:7">
      <c r="C803">
        <f ca="1"/>
        <v>-2.0199037674191955</v>
      </c>
      <c r="D803">
        <f ca="1"/>
        <v>-0.83747282564955017</v>
      </c>
      <c r="E803">
        <f ca="1"/>
        <v>-1.0067081104479325</v>
      </c>
      <c r="G803">
        <f ca="1"/>
        <v>5.7948331829773485</v>
      </c>
    </row>
    <row r="804" spans="3:7">
      <c r="C804">
        <f ca="1"/>
        <v>0.64749424332793759</v>
      </c>
      <c r="D804">
        <f ca="1"/>
        <v>-0.79340984696609151</v>
      </c>
      <c r="E804">
        <f ca="1"/>
        <v>-1.0018843186722826</v>
      </c>
      <c r="G804">
        <f ca="1"/>
        <v>2.0525201684069989</v>
      </c>
    </row>
    <row r="805" spans="3:7">
      <c r="C805">
        <f ca="1"/>
        <v>0.81410741084087412</v>
      </c>
      <c r="D805">
        <f ca="1"/>
        <v>0.62650334414690256</v>
      </c>
      <c r="E805">
        <f ca="1"/>
        <v>1.1232628871702728</v>
      </c>
      <c r="G805">
        <f ca="1"/>
        <v>2.3169968303073811</v>
      </c>
    </row>
    <row r="806" spans="3:7">
      <c r="C806">
        <f ca="1"/>
        <v>0.31748977673262407</v>
      </c>
      <c r="D806">
        <f ca="1"/>
        <v>0.3164877957333575</v>
      </c>
      <c r="E806">
        <f ca="1"/>
        <v>1.7259779829333783</v>
      </c>
      <c r="G806">
        <f ca="1"/>
        <v>3.1799642807486639</v>
      </c>
    </row>
    <row r="807" spans="3:7">
      <c r="C807">
        <f ca="1"/>
        <v>-9.3676415799991794E-2</v>
      </c>
      <c r="D807">
        <f ca="1"/>
        <v>1.875098043959863</v>
      </c>
      <c r="E807">
        <f ca="1"/>
        <v>-1.5337394628364636</v>
      </c>
      <c r="G807">
        <f ca="1"/>
        <v>5.877124685201121</v>
      </c>
    </row>
    <row r="808" spans="3:7">
      <c r="C808">
        <f ca="1"/>
        <v>-0.15708666258825807</v>
      </c>
      <c r="D808">
        <f ca="1"/>
        <v>0.7388595990613096</v>
      </c>
      <c r="E808">
        <f ca="1"/>
        <v>-0.67196678614846683</v>
      </c>
      <c r="G808">
        <f ca="1"/>
        <v>1.0221290883748557</v>
      </c>
    </row>
    <row r="809" spans="3:7">
      <c r="C809">
        <f ca="1"/>
        <v>-5.932323873727402E-2</v>
      </c>
      <c r="D809">
        <f ca="1"/>
        <v>2.6402204096869712E-2</v>
      </c>
      <c r="E809">
        <f ca="1"/>
        <v>1.1664650706397175</v>
      </c>
      <c r="G809">
        <f ca="1"/>
        <v>1.3648570840579735</v>
      </c>
    </row>
    <row r="810" spans="3:7">
      <c r="C810">
        <f ca="1"/>
        <v>6.2176543123705796E-2</v>
      </c>
      <c r="D810">
        <f ca="1"/>
        <v>2.2607563497784162</v>
      </c>
      <c r="E810">
        <f ca="1"/>
        <v>0.420981597097905</v>
      </c>
      <c r="G810">
        <f ca="1"/>
        <v>5.2921107006733452</v>
      </c>
    </row>
    <row r="811" spans="3:7">
      <c r="C811">
        <f ca="1"/>
        <v>-0.1847673884370658</v>
      </c>
      <c r="D811">
        <f ca="1"/>
        <v>0.22832678133783973</v>
      </c>
      <c r="E811">
        <f ca="1"/>
        <v>-0.59134414401671853</v>
      </c>
      <c r="G811">
        <f ca="1"/>
        <v>0.43596000356881681</v>
      </c>
    </row>
    <row r="812" spans="3:7">
      <c r="C812">
        <f ca="1"/>
        <v>-1.4109540462038905</v>
      </c>
      <c r="D812">
        <f ca="1"/>
        <v>0.9162748607886666</v>
      </c>
      <c r="E812">
        <f ca="1"/>
        <v>0.33772138232445759</v>
      </c>
      <c r="G812">
        <f ca="1"/>
        <v>2.9444066730915637</v>
      </c>
    </row>
    <row r="813" spans="3:7">
      <c r="C813">
        <f ca="1"/>
        <v>-0.89075591670868692</v>
      </c>
      <c r="D813">
        <f ca="1"/>
        <v>-0.30508254528406498</v>
      </c>
      <c r="E813">
        <f ca="1"/>
        <v>-4.3732646369608136E-2</v>
      </c>
      <c r="G813">
        <f ca="1"/>
        <v>0.8884340069470259</v>
      </c>
    </row>
    <row r="814" spans="3:7">
      <c r="C814">
        <f ca="1"/>
        <v>-0.24960613868361936</v>
      </c>
      <c r="D814">
        <f ca="1"/>
        <v>-0.3052244285074045</v>
      </c>
      <c r="E814">
        <f ca="1"/>
        <v>-0.86201632633609648</v>
      </c>
      <c r="G814">
        <f ca="1"/>
        <v>0.89853732309619749</v>
      </c>
    </row>
    <row r="815" spans="3:7">
      <c r="C815">
        <f ca="1"/>
        <v>0.55823513906597166</v>
      </c>
      <c r="D815">
        <f ca="1"/>
        <v>1.8643559036692223</v>
      </c>
      <c r="E815">
        <f ca="1"/>
        <v>-2.6591392145786239</v>
      </c>
      <c r="G815">
        <f ca="1"/>
        <v>10.858470768544109</v>
      </c>
    </row>
    <row r="816" spans="3:7">
      <c r="C816">
        <f ca="1"/>
        <v>0.41818974071380605</v>
      </c>
      <c r="D816">
        <f ca="1"/>
        <v>0.9894755979755534</v>
      </c>
      <c r="E816">
        <f ca="1"/>
        <v>0.40049406502890628</v>
      </c>
      <c r="G816">
        <f ca="1"/>
        <v>1.3143401143507372</v>
      </c>
    </row>
    <row r="817" spans="3:7">
      <c r="C817">
        <f ca="1"/>
        <v>2.2636079379695584</v>
      </c>
      <c r="D817">
        <f ca="1"/>
        <v>-1.7752805139071419</v>
      </c>
      <c r="E817">
        <f ca="1"/>
        <v>-0.53458660171759509</v>
      </c>
      <c r="G817">
        <f ca="1"/>
        <v>8.5613246346331682</v>
      </c>
    </row>
    <row r="818" spans="3:7">
      <c r="C818">
        <f ca="1"/>
        <v>-1.4505321179133679</v>
      </c>
      <c r="D818">
        <f ca="1"/>
        <v>0.569599148991487</v>
      </c>
      <c r="E818">
        <f ca="1"/>
        <v>-1.8217160538903938</v>
      </c>
      <c r="G818">
        <f ca="1"/>
        <v>5.7471359966320552</v>
      </c>
    </row>
    <row r="819" spans="3:7">
      <c r="C819">
        <f ca="1"/>
        <v>0.69860687539167232</v>
      </c>
      <c r="D819">
        <f ca="1"/>
        <v>1.058611704927837</v>
      </c>
      <c r="E819">
        <f ca="1"/>
        <v>2.518732375237712</v>
      </c>
      <c r="G819">
        <f ca="1"/>
        <v>7.952723086225344</v>
      </c>
    </row>
    <row r="820" spans="3:7">
      <c r="C820">
        <f ca="1"/>
        <v>-0.29261089250080397</v>
      </c>
      <c r="D820">
        <f ca="1"/>
        <v>0.66301468953797471</v>
      </c>
      <c r="E820">
        <f ca="1"/>
        <v>1.2424945807655503</v>
      </c>
      <c r="G820">
        <f ca="1"/>
        <v>2.0690023961850148</v>
      </c>
    </row>
    <row r="821" spans="3:7">
      <c r="C821">
        <f ca="1"/>
        <v>-0.69770154872751844</v>
      </c>
      <c r="D821">
        <f ca="1"/>
        <v>0.20121301680066556</v>
      </c>
      <c r="E821">
        <f ca="1"/>
        <v>0.57077951776060687</v>
      </c>
      <c r="G821">
        <f ca="1"/>
        <v>0.85306338712183361</v>
      </c>
    </row>
    <row r="822" spans="3:7">
      <c r="C822">
        <f ca="1"/>
        <v>0.60652005059830549</v>
      </c>
      <c r="D822">
        <f ca="1"/>
        <v>-0.6540351801389408</v>
      </c>
      <c r="E822">
        <f ca="1"/>
        <v>1.7755609504382728</v>
      </c>
      <c r="G822">
        <f ca="1"/>
        <v>3.9482452773584105</v>
      </c>
    </row>
    <row r="823" spans="3:7">
      <c r="C823">
        <f ca="1"/>
        <v>-0.76280550455367258</v>
      </c>
      <c r="D823">
        <f ca="1"/>
        <v>0.36982814184201529</v>
      </c>
      <c r="E823">
        <f ca="1"/>
        <v>0.73413137743387158</v>
      </c>
      <c r="G823">
        <f ca="1"/>
        <v>1.2575939716086544</v>
      </c>
    </row>
    <row r="824" spans="3:7">
      <c r="C824">
        <f ca="1"/>
        <v>-0.98799870543971025</v>
      </c>
      <c r="D824">
        <f ca="1"/>
        <v>-0.64084321437628033</v>
      </c>
      <c r="E824">
        <f ca="1"/>
        <v>0.40270005351024041</v>
      </c>
      <c r="G824">
        <f ca="1"/>
        <v>1.5489888004598169</v>
      </c>
    </row>
    <row r="825" spans="3:7">
      <c r="C825">
        <f ca="1"/>
        <v>-0.56433285732545535</v>
      </c>
      <c r="D825">
        <f ca="1"/>
        <v>0.64563508747998177</v>
      </c>
      <c r="E825">
        <f ca="1"/>
        <v>-5.1737200838469735E-2</v>
      </c>
      <c r="G825">
        <f ca="1"/>
        <v>0.73799297799299668</v>
      </c>
    </row>
    <row r="826" spans="3:7">
      <c r="C826">
        <f ca="1"/>
        <v>1.1057407060544511</v>
      </c>
      <c r="D826">
        <f ca="1"/>
        <v>-0.1252546334654773</v>
      </c>
      <c r="E826">
        <f ca="1"/>
        <v>-1.6012710168111506</v>
      </c>
      <c r="G826">
        <f ca="1"/>
        <v>3.8024201015097834</v>
      </c>
    </row>
    <row r="827" spans="3:7">
      <c r="C827">
        <f ca="1"/>
        <v>-1.0423065254992505</v>
      </c>
      <c r="D827">
        <f ca="1"/>
        <v>0.35647245357148727</v>
      </c>
      <c r="E827">
        <f ca="1"/>
        <v>-1.5903322319551021</v>
      </c>
      <c r="G827">
        <f ca="1"/>
        <v>3.7426321112488927</v>
      </c>
    </row>
    <row r="828" spans="3:7">
      <c r="C828">
        <f ca="1"/>
        <v>0.73093623113727191</v>
      </c>
      <c r="D828">
        <f ca="1"/>
        <v>-0.5827789198332054</v>
      </c>
      <c r="E828">
        <f ca="1"/>
        <v>0.36241285993720201</v>
      </c>
      <c r="G828">
        <f ca="1"/>
        <v>1.0052421244389791</v>
      </c>
    </row>
    <row r="829" spans="3:7">
      <c r="C829">
        <f ca="1"/>
        <v>0.24768917802464591</v>
      </c>
      <c r="D829">
        <f ca="1"/>
        <v>-0.67269101233970419</v>
      </c>
      <c r="E829">
        <f ca="1"/>
        <v>0.82053713196419475</v>
      </c>
      <c r="G829">
        <f ca="1"/>
        <v>1.187144311925167</v>
      </c>
    </row>
    <row r="830" spans="3:7">
      <c r="C830">
        <f ca="1"/>
        <v>0.87628504329201018</v>
      </c>
      <c r="D830">
        <f ca="1"/>
        <v>-1.5643926695127195</v>
      </c>
      <c r="E830">
        <f ca="1"/>
        <v>0.48606838484366355</v>
      </c>
      <c r="G830">
        <f ca="1"/>
        <v>3.4514623762669405</v>
      </c>
    </row>
    <row r="831" spans="3:7">
      <c r="C831">
        <f ca="1"/>
        <v>-0.33492618574620497</v>
      </c>
      <c r="D831">
        <f ca="1"/>
        <v>-1.0055888166466824</v>
      </c>
      <c r="E831">
        <f ca="1"/>
        <v>0.4760951439415364</v>
      </c>
      <c r="G831">
        <f ca="1"/>
        <v>1.3500510041480887</v>
      </c>
    </row>
    <row r="832" spans="3:7">
      <c r="C832">
        <f ca="1"/>
        <v>-0.968790736085544</v>
      </c>
      <c r="D832">
        <f ca="1"/>
        <v>0.68736685514828355</v>
      </c>
      <c r="E832">
        <f ca="1"/>
        <v>0.2611632943402098</v>
      </c>
      <c r="G832">
        <f ca="1"/>
        <v>1.4792349501922426</v>
      </c>
    </row>
    <row r="833" spans="3:7">
      <c r="C833">
        <f ca="1"/>
        <v>-1.2849387946641284</v>
      </c>
      <c r="D833">
        <f ca="1"/>
        <v>0.13287343469006568</v>
      </c>
      <c r="E833">
        <f ca="1"/>
        <v>0.60189893580332399</v>
      </c>
      <c r="G833">
        <f ca="1"/>
        <v>2.0310053846004124</v>
      </c>
    </row>
    <row r="834" spans="3:7">
      <c r="C834">
        <f ca="1"/>
        <v>1.5564650449955562</v>
      </c>
      <c r="D834">
        <f ca="1"/>
        <v>-0.13336624359161225</v>
      </c>
      <c r="E834">
        <f ca="1"/>
        <v>0.17909633770357222</v>
      </c>
      <c r="G834">
        <f ca="1"/>
        <v>2.4724454894015877</v>
      </c>
    </row>
    <row r="835" spans="3:7">
      <c r="C835">
        <f ca="1"/>
        <v>3.7318730457315444E-2</v>
      </c>
      <c r="D835">
        <f ca="1"/>
        <v>1.5417156855181247</v>
      </c>
      <c r="E835">
        <f ca="1"/>
        <v>0.26731193601680953</v>
      </c>
      <c r="G835">
        <f ca="1"/>
        <v>2.4497356137526216</v>
      </c>
    </row>
    <row r="836" spans="3:7">
      <c r="C836">
        <f ca="1"/>
        <v>-0.10162359492509596</v>
      </c>
      <c r="D836">
        <f ca="1"/>
        <v>0.34241839805665031</v>
      </c>
      <c r="E836">
        <f ca="1"/>
        <v>1.9690764660659938</v>
      </c>
      <c r="G836">
        <f ca="1"/>
        <v>4.0048398435881261</v>
      </c>
    </row>
    <row r="837" spans="3:7">
      <c r="C837">
        <f ca="1"/>
        <v>-0.12497784226639083</v>
      </c>
      <c r="D837">
        <f ca="1"/>
        <v>-9.0692633527248281E-2</v>
      </c>
      <c r="E837">
        <f ca="1"/>
        <v>-0.45090637367139547</v>
      </c>
      <c r="G837">
        <f ca="1"/>
        <v>0.22716117265115873</v>
      </c>
    </row>
    <row r="838" spans="3:7">
      <c r="C838">
        <f ca="1"/>
        <v>2.5122781264596647E-2</v>
      </c>
      <c r="D838">
        <f ca="1"/>
        <v>-0.62728179739457757</v>
      </c>
      <c r="E838">
        <f ca="1"/>
        <v>-0.20909315593752129</v>
      </c>
      <c r="G838">
        <f ca="1"/>
        <v>0.43783355534095325</v>
      </c>
    </row>
    <row r="839" spans="3:7">
      <c r="C839">
        <f ca="1"/>
        <v>-1.1930187187545551</v>
      </c>
      <c r="D839">
        <f ca="1"/>
        <v>-0.38220103752415291</v>
      </c>
      <c r="E839">
        <f ca="1"/>
        <v>0.80875469516342058</v>
      </c>
      <c r="G839">
        <f ca="1"/>
        <v>2.2234554533321766</v>
      </c>
    </row>
    <row r="840" spans="3:7">
      <c r="C840">
        <f ca="1"/>
        <v>2.9205374511453604E-2</v>
      </c>
      <c r="D840">
        <f ca="1"/>
        <v>-0.67957431665206036</v>
      </c>
      <c r="E840">
        <f ca="1"/>
        <v>1.2103440808496704</v>
      </c>
      <c r="G840">
        <f ca="1"/>
        <v>1.9276069998013026</v>
      </c>
    </row>
    <row r="841" spans="3:7">
      <c r="C841">
        <f ca="1"/>
        <v>-1.0844811013397737</v>
      </c>
      <c r="D841">
        <f ca="1"/>
        <v>-0.13084794793834478</v>
      </c>
      <c r="E841">
        <f ca="1"/>
        <v>0.56162551599815913</v>
      </c>
      <c r="G841">
        <f ca="1"/>
        <v>1.5086436648630028</v>
      </c>
    </row>
    <row r="842" spans="3:7">
      <c r="C842">
        <f ca="1"/>
        <v>0.45571231203021817</v>
      </c>
      <c r="D842">
        <f ca="1"/>
        <v>-0.74185145408040998</v>
      </c>
      <c r="E842">
        <f ca="1"/>
        <v>-0.52317872815100785</v>
      </c>
      <c r="G842">
        <f ca="1"/>
        <v>1.0317332728468518</v>
      </c>
    </row>
    <row r="843" spans="3:7">
      <c r="C843">
        <f ca="1"/>
        <v>-0.52508273808899153</v>
      </c>
      <c r="D843">
        <f ca="1"/>
        <v>1.3651414734438969E-2</v>
      </c>
      <c r="E843">
        <f ca="1"/>
        <v>0.12478150993381905</v>
      </c>
      <c r="G843">
        <f ca="1"/>
        <v>0.29146866818464789</v>
      </c>
    </row>
    <row r="844" spans="3:7">
      <c r="C844">
        <f ca="1"/>
        <v>1.0584482180817545</v>
      </c>
      <c r="D844">
        <f ca="1"/>
        <v>-2.9191098880438964</v>
      </c>
      <c r="E844">
        <f ca="1"/>
        <v>-1.4256222445703051E-3</v>
      </c>
      <c r="G844">
        <f ca="1"/>
        <v>9.6415172012348744</v>
      </c>
    </row>
    <row r="845" spans="3:7">
      <c r="C845">
        <f ca="1"/>
        <v>1.0671275608164648</v>
      </c>
      <c r="D845">
        <f ca="1"/>
        <v>0.11865473357597016</v>
      </c>
      <c r="E845">
        <f ca="1"/>
        <v>-0.71730887903500995</v>
      </c>
      <c r="G845">
        <f ca="1"/>
        <v>1.6673722047965447</v>
      </c>
    </row>
    <row r="846" spans="3:7">
      <c r="C846">
        <f ca="1"/>
        <v>1.0213921405719479</v>
      </c>
      <c r="D846">
        <f ca="1"/>
        <v>-0.23408862750616646</v>
      </c>
      <c r="E846">
        <f ca="1"/>
        <v>0.1032061730731533</v>
      </c>
      <c r="G846">
        <f ca="1"/>
        <v>1.1086909045102724</v>
      </c>
    </row>
    <row r="847" spans="3:7">
      <c r="C847">
        <f ca="1"/>
        <v>9.3886560130933792E-3</v>
      </c>
      <c r="D847">
        <f ca="1"/>
        <v>-0.14348542909576067</v>
      </c>
      <c r="E847">
        <f ca="1"/>
        <v>-0.72679140226137096</v>
      </c>
      <c r="G847">
        <f ca="1"/>
        <v>0.5489019576255767</v>
      </c>
    </row>
    <row r="848" spans="3:7">
      <c r="C848">
        <f ca="1"/>
        <v>0.48298485905713368</v>
      </c>
      <c r="D848">
        <f ca="1"/>
        <v>-0.12397285035509338</v>
      </c>
      <c r="E848">
        <f ca="1"/>
        <v>-0.39794792028444015</v>
      </c>
      <c r="G848">
        <f ca="1"/>
        <v>0.40700618896231677</v>
      </c>
    </row>
    <row r="849" spans="3:7">
      <c r="C849">
        <f ca="1"/>
        <v>0.13364548118750746</v>
      </c>
      <c r="D849">
        <f ca="1"/>
        <v>-3.0929106683463923</v>
      </c>
      <c r="E849">
        <f ca="1"/>
        <v>1.9980623264402919</v>
      </c>
      <c r="G849">
        <f ca="1"/>
        <v>13.576210577352761</v>
      </c>
    </row>
    <row r="850" spans="3:7">
      <c r="C850">
        <f ca="1"/>
        <v>-0.17739786590630979</v>
      </c>
      <c r="D850">
        <f ca="1"/>
        <v>0.39359590805285044</v>
      </c>
      <c r="E850">
        <f ca="1"/>
        <v>-2.0620287186163351</v>
      </c>
      <c r="G850">
        <f ca="1"/>
        <v>4.4383501780625858</v>
      </c>
    </row>
    <row r="851" spans="3:7">
      <c r="C851">
        <f ca="1"/>
        <v>-3.844667095206971</v>
      </c>
      <c r="D851">
        <f ca="1"/>
        <v>2.9052542158721738E-2</v>
      </c>
      <c r="E851">
        <f ca="1"/>
        <v>-6.6144450803085078E-2</v>
      </c>
      <c r="G851">
        <f ca="1"/>
        <v>14.786684211545134</v>
      </c>
    </row>
    <row r="852" spans="3:7">
      <c r="C852">
        <f ca="1"/>
        <v>-1.3986911670935507</v>
      </c>
      <c r="D852">
        <f ca="1"/>
        <v>-2.0022976785031821</v>
      </c>
      <c r="E852">
        <f ca="1"/>
        <v>2.1108927228551195</v>
      </c>
      <c r="G852">
        <f ca="1"/>
        <v>10.421401061647451</v>
      </c>
    </row>
    <row r="853" spans="3:7">
      <c r="C853">
        <f ca="1"/>
        <v>-0.61374507798053968</v>
      </c>
      <c r="D853">
        <f ca="1"/>
        <v>-1.4274695903978998</v>
      </c>
      <c r="E853">
        <f ca="1"/>
        <v>0.3262892486494201</v>
      </c>
      <c r="G853">
        <f ca="1"/>
        <v>2.5208171260402894</v>
      </c>
    </row>
    <row r="854" spans="3:7">
      <c r="C854">
        <f ca="1"/>
        <v>0.69159084434549389</v>
      </c>
      <c r="D854">
        <f ca="1"/>
        <v>-0.65758646973003243</v>
      </c>
      <c r="E854">
        <f ca="1"/>
        <v>-0.12133333646990367</v>
      </c>
      <c r="G854">
        <f ca="1"/>
        <v>0.9254396396934389</v>
      </c>
    </row>
    <row r="855" spans="3:7">
      <c r="C855">
        <f ca="1"/>
        <v>-7.7269146064236072E-2</v>
      </c>
      <c r="D855">
        <f ca="1"/>
        <v>2.1859834254248494</v>
      </c>
      <c r="E855">
        <f ca="1"/>
        <v>0.22466445208848321</v>
      </c>
      <c r="G855">
        <f ca="1"/>
        <v>4.834968173197872</v>
      </c>
    </row>
    <row r="856" spans="3:7">
      <c r="C856">
        <f ca="1"/>
        <v>0.49994811091490565</v>
      </c>
      <c r="D856">
        <f ca="1"/>
        <v>0.3550638538736412</v>
      </c>
      <c r="E856">
        <f ca="1"/>
        <v>0.67949690994714684</v>
      </c>
      <c r="G856">
        <f ca="1"/>
        <v>0.83773450456270626</v>
      </c>
    </row>
    <row r="857" spans="3:7">
      <c r="C857">
        <f ca="1"/>
        <v>5.5492062640936084E-2</v>
      </c>
      <c r="D857">
        <f ca="1"/>
        <v>0.21421671891862787</v>
      </c>
      <c r="E857">
        <f ca="1"/>
        <v>0.36143727908472012</v>
      </c>
      <c r="G857">
        <f ca="1"/>
        <v>0.17960507839257384</v>
      </c>
    </row>
    <row r="858" spans="3:7">
      <c r="C858">
        <f ca="1"/>
        <v>0.60546910091705675</v>
      </c>
      <c r="D858">
        <f ca="1"/>
        <v>0.34015952257482729</v>
      </c>
      <c r="E858">
        <f ca="1"/>
        <v>0.20270888616080404</v>
      </c>
      <c r="G858">
        <f ca="1"/>
        <v>0.52339222549219733</v>
      </c>
    </row>
    <row r="859" spans="3:7">
      <c r="C859">
        <f ca="1"/>
        <v>0.55928806708018752</v>
      </c>
      <c r="D859">
        <f ca="1"/>
        <v>-0.75882953549547083</v>
      </c>
      <c r="E859">
        <f ca="1"/>
        <v>0.27045162762853836</v>
      </c>
      <c r="G859">
        <f ca="1"/>
        <v>0.96176948880548985</v>
      </c>
    </row>
    <row r="860" spans="3:7">
      <c r="C860">
        <f ca="1"/>
        <v>-0.86105618701294151</v>
      </c>
      <c r="D860">
        <f ca="1"/>
        <v>1.2104644970841141</v>
      </c>
      <c r="E860">
        <f ca="1"/>
        <v>-1.0799356817309651</v>
      </c>
      <c r="G860">
        <f ca="1"/>
        <v>3.3729031325700873</v>
      </c>
    </row>
    <row r="861" spans="3:7">
      <c r="C861">
        <f ca="1"/>
        <v>-0.16183622296639905</v>
      </c>
      <c r="D861">
        <f ca="1"/>
        <v>0.51544753272040811</v>
      </c>
      <c r="E861">
        <f ca="1"/>
        <v>-0.86001742465288411</v>
      </c>
      <c r="G861">
        <f ca="1"/>
        <v>1.0315070927581655</v>
      </c>
    </row>
    <row r="862" spans="3:7">
      <c r="C862">
        <f ca="1"/>
        <v>1.7411120484711815</v>
      </c>
      <c r="D862">
        <f ca="1"/>
        <v>0.58718564893487757</v>
      </c>
      <c r="E862">
        <f ca="1"/>
        <v>0.96505689974840025</v>
      </c>
      <c r="G862">
        <f ca="1"/>
        <v>4.3075929713985808</v>
      </c>
    </row>
    <row r="863" spans="3:7">
      <c r="C863">
        <f ca="1"/>
        <v>1.0432827060688901E-2</v>
      </c>
      <c r="D863">
        <f ca="1"/>
        <v>-9.8713275335029133E-2</v>
      </c>
      <c r="E863">
        <f ca="1"/>
        <v>-0.33124587825868784</v>
      </c>
      <c r="G863">
        <f ca="1"/>
        <v>0.11957698647121696</v>
      </c>
    </row>
    <row r="864" spans="3:7">
      <c r="C864">
        <f ca="1"/>
        <v>0.47452704331325823</v>
      </c>
      <c r="D864">
        <f ca="1"/>
        <v>0.53384288297425775</v>
      </c>
      <c r="E864">
        <f ca="1"/>
        <v>1.7412403090884268</v>
      </c>
      <c r="G864">
        <f ca="1"/>
        <v>3.54208195253225</v>
      </c>
    </row>
    <row r="865" spans="3:7">
      <c r="C865">
        <f ca="1"/>
        <v>-0.50526031338374555</v>
      </c>
      <c r="D865">
        <f ca="1"/>
        <v>-0.99385214718693715</v>
      </c>
      <c r="E865">
        <f ca="1"/>
        <v>0.82392430145903761</v>
      </c>
      <c r="G865">
        <f ca="1"/>
        <v>1.9218813292834893</v>
      </c>
    </row>
    <row r="866" spans="3:7">
      <c r="C866">
        <f ca="1"/>
        <v>-1.9202523087936685E-2</v>
      </c>
      <c r="D866">
        <f ca="1"/>
        <v>-1.3697263430764879</v>
      </c>
      <c r="E866">
        <f ca="1"/>
        <v>0.73822019257996274</v>
      </c>
      <c r="G866">
        <f ca="1"/>
        <v>2.4214880445434286</v>
      </c>
    </row>
    <row r="867" spans="3:7">
      <c r="C867">
        <f ca="1"/>
        <v>0.46802326939056105</v>
      </c>
      <c r="D867">
        <f ca="1"/>
        <v>0.36394079697083331</v>
      </c>
      <c r="E867">
        <f ca="1"/>
        <v>-2.6658417116410854E-4</v>
      </c>
      <c r="G867">
        <f ca="1"/>
        <v>0.35149875545791531</v>
      </c>
    </row>
    <row r="868" spans="3:7">
      <c r="C868">
        <f ca="1"/>
        <v>0.87004408474637107</v>
      </c>
      <c r="D868">
        <f ca="1"/>
        <v>0.78498665343539298</v>
      </c>
      <c r="E868">
        <f ca="1"/>
        <v>-9.9931466737112534E-2</v>
      </c>
      <c r="G868">
        <f ca="1"/>
        <v>1.3831670535180791</v>
      </c>
    </row>
    <row r="869" spans="3:7">
      <c r="C869">
        <f ca="1"/>
        <v>0.72129394874678132</v>
      </c>
      <c r="D869">
        <f ca="1"/>
        <v>0.7257444782837047</v>
      </c>
      <c r="E869">
        <f ca="1"/>
        <v>6.0284465325488756E-2</v>
      </c>
      <c r="G869">
        <f ca="1"/>
        <v>1.0506042250175911</v>
      </c>
    </row>
    <row r="870" spans="3:7">
      <c r="C870">
        <f ca="1"/>
        <v>-0.30381168542634152</v>
      </c>
      <c r="D870">
        <f ca="1"/>
        <v>-1.0953286593437108</v>
      </c>
      <c r="E870">
        <f ca="1"/>
        <v>0.44490653838458394</v>
      </c>
      <c r="G870">
        <f ca="1"/>
        <v>1.4899882400786384</v>
      </c>
    </row>
    <row r="871" spans="3:7">
      <c r="C871">
        <f ca="1"/>
        <v>0.58390461666500049</v>
      </c>
      <c r="D871">
        <f ca="1"/>
        <v>1.1568279671080535</v>
      </c>
      <c r="E871">
        <f ca="1"/>
        <v>-0.60824604253024406</v>
      </c>
      <c r="G871">
        <f ca="1"/>
        <v>2.0491587950997561</v>
      </c>
    </row>
    <row r="872" spans="3:7">
      <c r="C872">
        <f ca="1"/>
        <v>-1.6072550521638276</v>
      </c>
      <c r="D872">
        <f ca="1"/>
        <v>1.0127745406727733</v>
      </c>
      <c r="E872">
        <f ca="1"/>
        <v>-0.43299143674596663</v>
      </c>
      <c r="G872">
        <f ca="1"/>
        <v>3.7964626572364315</v>
      </c>
    </row>
    <row r="873" spans="3:7">
      <c r="C873">
        <f ca="1"/>
        <v>-0.50634664059623913</v>
      </c>
      <c r="D873">
        <f ca="1"/>
        <v>1.0469332579549975</v>
      </c>
      <c r="E873">
        <f ca="1"/>
        <v>-1.0597714038601722</v>
      </c>
      <c r="G873">
        <f ca="1"/>
        <v>2.4755715954951221</v>
      </c>
    </row>
    <row r="874" spans="3:7">
      <c r="C874">
        <f ca="1"/>
        <v>-0.42478983274682541</v>
      </c>
      <c r="D874">
        <f ca="1"/>
        <v>0.38820161829526539</v>
      </c>
      <c r="E874">
        <f ca="1"/>
        <v>0.57337268131926289</v>
      </c>
      <c r="G874">
        <f ca="1"/>
        <v>0.65990313013537982</v>
      </c>
    </row>
    <row r="875" spans="3:7">
      <c r="C875">
        <f ca="1"/>
        <v>1.0902370535357842</v>
      </c>
      <c r="D875">
        <f ca="1"/>
        <v>0.91340227020688169</v>
      </c>
      <c r="E875">
        <f ca="1"/>
        <v>1.2197690961361938</v>
      </c>
      <c r="G875">
        <f ca="1"/>
        <v>3.5107571880103809</v>
      </c>
    </row>
    <row r="876" spans="3:7">
      <c r="C876">
        <f ca="1"/>
        <v>0.24045465687106721</v>
      </c>
      <c r="D876">
        <f ca="1"/>
        <v>6.4508057370952832E-2</v>
      </c>
      <c r="E876">
        <f ca="1"/>
        <v>1.5316720583911054</v>
      </c>
      <c r="G876">
        <f ca="1"/>
        <v>2.4079990259328028</v>
      </c>
    </row>
    <row r="877" spans="3:7">
      <c r="C877">
        <f ca="1"/>
        <v>0.2310003097785715</v>
      </c>
      <c r="D877">
        <f ca="1"/>
        <v>1.1092807026181104</v>
      </c>
      <c r="E877">
        <f ca="1"/>
        <v>-0.94792938410604943</v>
      </c>
      <c r="G877">
        <f ca="1"/>
        <v>2.1824349375703989</v>
      </c>
    </row>
    <row r="878" spans="3:7">
      <c r="C878">
        <f ca="1"/>
        <v>1.2509270170973423</v>
      </c>
      <c r="D878">
        <f ca="1"/>
        <v>0.12651024337941849</v>
      </c>
      <c r="E878">
        <f ca="1"/>
        <v>6.6411592489398513E-2</v>
      </c>
      <c r="G878">
        <f ca="1"/>
        <v>1.5852337434009522</v>
      </c>
    </row>
    <row r="879" spans="3:7">
      <c r="C879">
        <f ca="1"/>
        <v>-0.32767610155790405</v>
      </c>
      <c r="D879">
        <f ca="1"/>
        <v>-0.64511332416788891</v>
      </c>
      <c r="E879">
        <f ca="1"/>
        <v>-0.6283780504363895</v>
      </c>
      <c r="G879">
        <f ca="1"/>
        <v>0.91840180282136719</v>
      </c>
    </row>
    <row r="880" spans="3:7">
      <c r="C880">
        <f ca="1"/>
        <v>-7.1461505223077357E-2</v>
      </c>
      <c r="D880">
        <f ca="1"/>
        <v>0.12911529749434181</v>
      </c>
      <c r="E880">
        <f ca="1"/>
        <v>-0.98003183029112273</v>
      </c>
      <c r="G880">
        <f ca="1"/>
        <v>0.98223989515956822</v>
      </c>
    </row>
    <row r="881" spans="3:7">
      <c r="C881">
        <f ca="1"/>
        <v>-0.21225481246927255</v>
      </c>
      <c r="D881">
        <f ca="1"/>
        <v>2.0023911554815861</v>
      </c>
      <c r="E881">
        <f ca="1"/>
        <v>-0.2521826758808467</v>
      </c>
      <c r="G881">
        <f ca="1"/>
        <v>4.1182185469816721</v>
      </c>
    </row>
    <row r="882" spans="3:7">
      <c r="C882">
        <f ca="1"/>
        <v>0.31559236937053742</v>
      </c>
      <c r="D882">
        <f ca="1"/>
        <v>2.2542282545545365</v>
      </c>
      <c r="E882">
        <f ca="1"/>
        <v>1.9164394189231875</v>
      </c>
      <c r="G882">
        <f ca="1"/>
        <v>8.853883613639546</v>
      </c>
    </row>
    <row r="883" spans="3:7">
      <c r="C883">
        <f ca="1"/>
        <v>0.64644351092923458</v>
      </c>
      <c r="D883">
        <f ca="1"/>
        <v>5.2725085054771692E-2</v>
      </c>
      <c r="E883">
        <f ca="1"/>
        <v>1.3702429716389051</v>
      </c>
      <c r="G883">
        <f ca="1"/>
        <v>2.2982349487423654</v>
      </c>
    </row>
    <row r="884" spans="3:7">
      <c r="C884">
        <f ca="1"/>
        <v>-0.39304655131551813</v>
      </c>
      <c r="D884">
        <f ca="1"/>
        <v>1.2483965981977743</v>
      </c>
      <c r="E884">
        <f ca="1"/>
        <v>-0.48968841398998303</v>
      </c>
      <c r="G884">
        <f ca="1"/>
        <v>1.9527744006888221</v>
      </c>
    </row>
    <row r="885" spans="3:7">
      <c r="C885">
        <f ca="1"/>
        <v>-0.72149357265520231</v>
      </c>
      <c r="D885">
        <f ca="1"/>
        <v>-0.17284999934267983</v>
      </c>
      <c r="E885">
        <f ca="1"/>
        <v>0.11229261279906023</v>
      </c>
      <c r="G885">
        <f ca="1"/>
        <v>0.5630397285447718</v>
      </c>
    </row>
    <row r="886" spans="3:7">
      <c r="C886">
        <f ca="1"/>
        <v>9.343408864513722E-2</v>
      </c>
      <c r="D886">
        <f ca="1"/>
        <v>0.33880477087996802</v>
      </c>
      <c r="E886">
        <f ca="1"/>
        <v>0.9990307240430113</v>
      </c>
      <c r="G886">
        <f ca="1"/>
        <v>1.1215809892738784</v>
      </c>
    </row>
    <row r="887" spans="3:7">
      <c r="C887">
        <f ca="1"/>
        <v>1.1211563846394061</v>
      </c>
      <c r="D887">
        <f ca="1"/>
        <v>-0.62283449053173456</v>
      </c>
      <c r="E887">
        <f ca="1"/>
        <v>-8.6695280638505873E-2</v>
      </c>
      <c r="G887">
        <f ca="1"/>
        <v>1.6524305130986188</v>
      </c>
    </row>
    <row r="888" spans="3:7">
      <c r="C888">
        <f ca="1"/>
        <v>1.2263985514445337</v>
      </c>
      <c r="D888">
        <f ca="1"/>
        <v>0.46462864722277536</v>
      </c>
      <c r="E888">
        <f ca="1"/>
        <v>6.0280023015067116E-2</v>
      </c>
      <c r="G888">
        <f ca="1"/>
        <v>1.7235668679800138</v>
      </c>
    </row>
    <row r="889" spans="3:7">
      <c r="C889">
        <f ca="1"/>
        <v>0.76020587008111618</v>
      </c>
      <c r="D889">
        <f ca="1"/>
        <v>-0.38453034712683021</v>
      </c>
      <c r="E889">
        <f ca="1"/>
        <v>0.28216761423002407</v>
      </c>
      <c r="G889">
        <f ca="1"/>
        <v>0.80539511528753116</v>
      </c>
    </row>
    <row r="890" spans="3:7">
      <c r="C890">
        <f ca="1"/>
        <v>-0.17859564140503739</v>
      </c>
      <c r="D890">
        <f ca="1"/>
        <v>-0.5447851884870315</v>
      </c>
      <c r="E890">
        <f ca="1"/>
        <v>0.10335384910285741</v>
      </c>
      <c r="G890">
        <f ca="1"/>
        <v>0.33936932284810339</v>
      </c>
    </row>
    <row r="891" spans="3:7">
      <c r="C891">
        <f ca="1"/>
        <v>0.48721969224945649</v>
      </c>
      <c r="D891">
        <f ca="1"/>
        <v>-0.83871516532311674</v>
      </c>
      <c r="E891">
        <f ca="1"/>
        <v>-0.70367606570979757</v>
      </c>
      <c r="G891">
        <f ca="1"/>
        <v>1.4359861625114574</v>
      </c>
    </row>
    <row r="892" spans="3:7">
      <c r="C892">
        <f ca="1"/>
        <v>0.94193625649607826</v>
      </c>
      <c r="D892">
        <f ca="1"/>
        <v>2.0894708030740774</v>
      </c>
      <c r="E892">
        <f ca="1"/>
        <v>-0.22913122258083574</v>
      </c>
      <c r="G892">
        <f ca="1"/>
        <v>5.3056332653622649</v>
      </c>
    </row>
    <row r="893" spans="3:7">
      <c r="C893">
        <f ca="1"/>
        <v>-0.51406297417433922</v>
      </c>
      <c r="D893">
        <f ca="1"/>
        <v>1.3022165317728929</v>
      </c>
      <c r="E893">
        <f ca="1"/>
        <v>-1.878625240176159</v>
      </c>
      <c r="G893">
        <f ca="1"/>
        <v>5.4892614300665201</v>
      </c>
    </row>
    <row r="894" spans="3:7">
      <c r="C894">
        <f ca="1"/>
        <v>1.1993332750969168</v>
      </c>
      <c r="D894">
        <f ca="1"/>
        <v>-0.32104558298177044</v>
      </c>
      <c r="E894">
        <f ca="1"/>
        <v>0.99543509645379291</v>
      </c>
      <c r="G894">
        <f ca="1"/>
        <v>2.5323616023587734</v>
      </c>
    </row>
    <row r="895" spans="3:7">
      <c r="C895">
        <f ca="1"/>
        <v>0.37156052477735424</v>
      </c>
      <c r="D895">
        <f ca="1"/>
        <v>0.28996323155877402</v>
      </c>
      <c r="E895">
        <f ca="1"/>
        <v>1.3772862678477322</v>
      </c>
      <c r="G895">
        <f ca="1"/>
        <v>2.1190533628307655</v>
      </c>
    </row>
    <row r="896" spans="3:7">
      <c r="C896">
        <f ca="1"/>
        <v>-3.7785636759039981E-2</v>
      </c>
      <c r="D896">
        <f ca="1"/>
        <v>1.0919030620998205</v>
      </c>
      <c r="E896">
        <f ca="1"/>
        <v>-0.59314756060730323</v>
      </c>
      <c r="G896">
        <f ca="1"/>
        <v>1.5455040800226447</v>
      </c>
    </row>
    <row r="897" spans="3:7">
      <c r="C897">
        <f ca="1"/>
        <v>-9.6024409458548843E-3</v>
      </c>
      <c r="D897">
        <f ca="1"/>
        <v>0.51698329837476498</v>
      </c>
      <c r="E897">
        <f ca="1"/>
        <v>-0.25338082240316079</v>
      </c>
      <c r="G897">
        <f ca="1"/>
        <v>0.33156577883227201</v>
      </c>
    </row>
    <row r="898" spans="3:7">
      <c r="C898">
        <f ca="1"/>
        <v>-1.3405930872808518</v>
      </c>
      <c r="D898">
        <f ca="1"/>
        <v>1.3319045278905379</v>
      </c>
      <c r="E898">
        <f ca="1"/>
        <v>0.31283013834495199</v>
      </c>
      <c r="G898">
        <f ca="1"/>
        <v>3.6690221925374442</v>
      </c>
    </row>
    <row r="899" spans="3:7">
      <c r="C899">
        <f ca="1"/>
        <v>0.26142850907028797</v>
      </c>
      <c r="D899">
        <f ca="1"/>
        <v>-1.6581093987226512</v>
      </c>
      <c r="E899">
        <f ca="1"/>
        <v>-0.67372019551071682</v>
      </c>
      <c r="G899">
        <f ca="1"/>
        <v>3.2715705453261039</v>
      </c>
    </row>
    <row r="900" spans="3:7">
      <c r="C900">
        <f ca="1"/>
        <v>4.908842818790041E-3</v>
      </c>
      <c r="D900">
        <f ca="1"/>
        <v>-0.27900845062568952</v>
      </c>
      <c r="E900">
        <f ca="1"/>
        <v>-1.1516672021156231</v>
      </c>
      <c r="G900">
        <f ca="1"/>
        <v>1.404207156687195</v>
      </c>
    </row>
    <row r="901" spans="3:7">
      <c r="C901">
        <f ca="1"/>
        <v>-0.2436106056079963</v>
      </c>
      <c r="D901">
        <f ca="1"/>
        <v>-1.285831495626552</v>
      </c>
      <c r="E901">
        <f ca="1"/>
        <v>-0.92455349779721818</v>
      </c>
      <c r="G901">
        <f ca="1"/>
        <v>2.5675079325989811</v>
      </c>
    </row>
    <row r="902" spans="3:7">
      <c r="C902">
        <f ca="1"/>
        <v>0.10904151935271413</v>
      </c>
      <c r="D902">
        <f ca="1"/>
        <v>0.32773481287339401</v>
      </c>
      <c r="E902">
        <f ca="1"/>
        <v>-0.6565435720969488</v>
      </c>
      <c r="G902">
        <f ca="1"/>
        <v>0.55034962257372833</v>
      </c>
    </row>
    <row r="903" spans="3:7">
      <c r="C903">
        <f ca="1"/>
        <v>-0.86366976033173637</v>
      </c>
      <c r="D903">
        <f ca="1"/>
        <v>-0.19293478059318511</v>
      </c>
      <c r="E903">
        <f ca="1"/>
        <v>-2.0405258991239297</v>
      </c>
      <c r="G903">
        <f ca="1"/>
        <v>4.9468952294695407</v>
      </c>
    </row>
    <row r="904" spans="3:7">
      <c r="C904">
        <f ca="1"/>
        <v>-0.3133080060283509</v>
      </c>
      <c r="D904">
        <f ca="1"/>
        <v>0.26231552677501363</v>
      </c>
      <c r="E904">
        <f ca="1"/>
        <v>0.53126717496581422</v>
      </c>
      <c r="G904">
        <f ca="1"/>
        <v>0.44921615342487115</v>
      </c>
    </row>
    <row r="905" spans="3:7">
      <c r="C905">
        <f ca="1"/>
        <v>-1.5417141505946668</v>
      </c>
      <c r="D905">
        <f ca="1"/>
        <v>0.17138445815827694</v>
      </c>
      <c r="E905">
        <f ca="1"/>
        <v>0.20879461768224705</v>
      </c>
      <c r="G905">
        <f ca="1"/>
        <v>2.4498503470151167</v>
      </c>
    </row>
    <row r="906" spans="3:7">
      <c r="C906">
        <f ca="1"/>
        <v>1.8730604888404412</v>
      </c>
      <c r="D906">
        <f ca="1"/>
        <v>-0.22959106091261244</v>
      </c>
      <c r="E906">
        <f ca="1"/>
        <v>-2.5625147463293594</v>
      </c>
      <c r="G906">
        <f ca="1"/>
        <v>10.127549475261592</v>
      </c>
    </row>
    <row r="907" spans="3:7">
      <c r="C907">
        <f ca="1"/>
        <v>1.4704746992409208</v>
      </c>
      <c r="D907">
        <f ca="1"/>
        <v>1.0689528856196477</v>
      </c>
      <c r="E907">
        <f ca="1"/>
        <v>-0.48146104647619781</v>
      </c>
      <c r="G907">
        <f ca="1"/>
        <v>3.5367608520562035</v>
      </c>
    </row>
    <row r="908" spans="3:7">
      <c r="C908">
        <f ca="1"/>
        <v>1.1591289620099896</v>
      </c>
      <c r="D908">
        <f ca="1"/>
        <v>-2.0475489069925499</v>
      </c>
      <c r="E908">
        <f ca="1"/>
        <v>2.6910644846663185</v>
      </c>
      <c r="G908">
        <f ca="1"/>
        <v>12.77786453772914</v>
      </c>
    </row>
    <row r="909" spans="3:7">
      <c r="C909">
        <f ca="1"/>
        <v>2.6175971866649865</v>
      </c>
      <c r="D909">
        <f ca="1"/>
        <v>-0.68246004279597627</v>
      </c>
      <c r="E909">
        <f ca="1"/>
        <v>-0.97609100754347333</v>
      </c>
      <c r="G909">
        <f ca="1"/>
        <v>8.2703203966567713</v>
      </c>
    </row>
    <row r="910" spans="3:7">
      <c r="C910">
        <f ca="1"/>
        <v>1.9142600795821496</v>
      </c>
      <c r="D910">
        <f ca="1"/>
        <v>1.226023067346522</v>
      </c>
      <c r="E910">
        <f ca="1"/>
        <v>-0.88112483614949189</v>
      </c>
      <c r="G910">
        <f ca="1"/>
        <v>5.9439051908271008</v>
      </c>
    </row>
    <row r="911" spans="3:7">
      <c r="C911">
        <f ca="1"/>
        <v>-0.73789096046128433</v>
      </c>
      <c r="D911">
        <f ca="1"/>
        <v>9.9793032535205328E-2</v>
      </c>
      <c r="E911">
        <f ca="1"/>
        <v>0.3565942616981021</v>
      </c>
      <c r="G911">
        <f ca="1"/>
        <v>0.68160118634906364</v>
      </c>
    </row>
    <row r="912" spans="3:7">
      <c r="C912">
        <f ca="1"/>
        <v>-0.14954280380479651</v>
      </c>
      <c r="D912">
        <f ca="1"/>
        <v>-1.0365249044986939</v>
      </c>
      <c r="E912">
        <f ca="1"/>
        <v>1.4798174536579836</v>
      </c>
      <c r="G912">
        <f ca="1"/>
        <v>3.2866066239666245</v>
      </c>
    </row>
    <row r="913" spans="3:7">
      <c r="C913">
        <f ca="1"/>
        <v>0.63987846506232993</v>
      </c>
      <c r="D913">
        <f ca="1"/>
        <v>-0.32434286231745546</v>
      </c>
      <c r="E913">
        <f ca="1"/>
        <v>0.25440152659091386</v>
      </c>
      <c r="G913">
        <f ca="1"/>
        <v>0.57936287911859063</v>
      </c>
    </row>
    <row r="914" spans="3:7">
      <c r="C914">
        <f ca="1"/>
        <v>-1.8038797733253578</v>
      </c>
      <c r="D914">
        <f ca="1"/>
        <v>0.14625405205165287</v>
      </c>
      <c r="E914">
        <f ca="1"/>
        <v>-0.20573734718152881</v>
      </c>
      <c r="G914">
        <f ca="1"/>
        <v>3.3177003403791647</v>
      </c>
    </row>
    <row r="915" spans="3:7">
      <c r="C915">
        <f ca="1"/>
        <v>-0.54718582442819552</v>
      </c>
      <c r="D915">
        <f ca="1"/>
        <v>0.33184090011643019</v>
      </c>
      <c r="E915">
        <f ca="1"/>
        <v>0.88301581687657082</v>
      </c>
      <c r="G915">
        <f ca="1"/>
        <v>1.1892476422994442</v>
      </c>
    </row>
    <row r="916" spans="3:7">
      <c r="C916">
        <f ca="1"/>
        <v>1.7303040199291146</v>
      </c>
      <c r="D916">
        <f ca="1"/>
        <v>-0.14907446928152332</v>
      </c>
      <c r="E916">
        <f ca="1"/>
        <v>0.92663049449152946</v>
      </c>
      <c r="G916">
        <f ca="1"/>
        <v>3.8748192720960382</v>
      </c>
    </row>
    <row r="917" spans="3:7">
      <c r="C917">
        <f ca="1"/>
        <v>-1.2124984491917801</v>
      </c>
      <c r="D917">
        <f ca="1"/>
        <v>0.46908106565481611</v>
      </c>
      <c r="E917">
        <f ca="1"/>
        <v>1.0981476125779204</v>
      </c>
      <c r="G917">
        <f ca="1"/>
        <v>2.8961177144589159</v>
      </c>
    </row>
    <row r="918" spans="3:7">
      <c r="C918">
        <f ca="1"/>
        <v>-1.7589170444273194</v>
      </c>
      <c r="D918">
        <f ca="1"/>
        <v>-0.59295209676587368</v>
      </c>
      <c r="E918">
        <f ca="1"/>
        <v>-1.3765275820145317</v>
      </c>
      <c r="G918">
        <f ca="1"/>
        <v>5.3402095422827562</v>
      </c>
    </row>
    <row r="919" spans="3:7">
      <c r="C919">
        <f ca="1"/>
        <v>-0.69647477494110677</v>
      </c>
      <c r="D919">
        <f ca="1"/>
        <v>-0.19528707065292616</v>
      </c>
      <c r="E919">
        <f ca="1"/>
        <v>0.89156307517889166</v>
      </c>
      <c r="G919">
        <f ca="1"/>
        <v>1.3180988691159081</v>
      </c>
    </row>
    <row r="920" spans="3:7">
      <c r="C920">
        <f ca="1"/>
        <v>0.33105641321482898</v>
      </c>
      <c r="D920">
        <f ca="1"/>
        <v>0.95450835699812209</v>
      </c>
      <c r="E920">
        <f ca="1"/>
        <v>1.0184297483997943E-2</v>
      </c>
      <c r="G920">
        <f ca="1"/>
        <v>1.0207882722251647</v>
      </c>
    </row>
    <row r="921" spans="3:7">
      <c r="C921">
        <f ca="1"/>
        <v>0.23206987890914929</v>
      </c>
      <c r="D921">
        <f ca="1"/>
        <v>-0.42209463620685733</v>
      </c>
      <c r="E921">
        <f ca="1"/>
        <v>0.54323679680145287</v>
      </c>
      <c r="G921">
        <f ca="1"/>
        <v>0.52712652801060944</v>
      </c>
    </row>
    <row r="922" spans="3:7">
      <c r="C922">
        <f ca="1"/>
        <v>2.722644506780175</v>
      </c>
      <c r="D922">
        <f ca="1"/>
        <v>-0.49410155778672332</v>
      </c>
      <c r="E922">
        <f ca="1"/>
        <v>0.63193708416093197</v>
      </c>
      <c r="G922">
        <f ca="1"/>
        <v>8.056273938045349</v>
      </c>
    </row>
    <row r="923" spans="3:7">
      <c r="C923">
        <f ca="1"/>
        <v>-0.28439416561114228</v>
      </c>
      <c r="D923">
        <f ca="1"/>
        <v>-1.1904181079306526</v>
      </c>
      <c r="E923">
        <f ca="1"/>
        <v>1.411775105519419</v>
      </c>
      <c r="G923">
        <f ca="1"/>
        <v>3.4910842616872193</v>
      </c>
    </row>
    <row r="924" spans="3:7">
      <c r="C924">
        <f ca="1"/>
        <v>0.93121108255424501</v>
      </c>
      <c r="D924">
        <f ca="1"/>
        <v>4.16721401661726</v>
      </c>
      <c r="E924">
        <f ca="1"/>
        <v>-0.78251560209073923</v>
      </c>
      <c r="G924">
        <f ca="1"/>
        <v>18.845157408078638</v>
      </c>
    </row>
    <row r="925" spans="3:7">
      <c r="C925">
        <f ca="1"/>
        <v>-1.1043036979278846</v>
      </c>
      <c r="D925">
        <f ca="1"/>
        <v>-0.74366962060175168</v>
      </c>
      <c r="E925">
        <f ca="1"/>
        <v>0.39890134117926562</v>
      </c>
      <c r="G925">
        <f ca="1"/>
        <v>1.9316534418577709</v>
      </c>
    </row>
    <row r="926" spans="3:7">
      <c r="C926">
        <f ca="1"/>
        <v>-0.63388924838257565</v>
      </c>
      <c r="D926">
        <f ca="1"/>
        <v>1.372317507959945</v>
      </c>
      <c r="E926">
        <f ca="1"/>
        <v>2.5243640151296765</v>
      </c>
      <c r="G926">
        <f ca="1"/>
        <v>8.6574846027500421</v>
      </c>
    </row>
    <row r="927" spans="3:7">
      <c r="C927">
        <f ca="1"/>
        <v>0.51815054809205041</v>
      </c>
      <c r="D927">
        <f ca="1"/>
        <v>0.55236359467884732</v>
      </c>
      <c r="E927">
        <f ca="1"/>
        <v>-0.15728660638844513</v>
      </c>
      <c r="G927">
        <f ca="1"/>
        <v>0.5983246077638239</v>
      </c>
    </row>
    <row r="928" spans="3:7">
      <c r="C928">
        <f ca="1"/>
        <v>1.1256787033147819</v>
      </c>
      <c r="D928">
        <f ca="1"/>
        <v>5.5517880832586294E-3</v>
      </c>
      <c r="E928">
        <f ca="1"/>
        <v>-1.6002011453578497</v>
      </c>
      <c r="G928">
        <f ca="1"/>
        <v>3.827827071051944</v>
      </c>
    </row>
    <row r="929" spans="3:7">
      <c r="C929">
        <f ca="1"/>
        <v>1.8002443409227327</v>
      </c>
      <c r="D929">
        <f ca="1"/>
        <v>0.67096223571979774</v>
      </c>
      <c r="E929">
        <f ca="1"/>
        <v>-1.7770172126795341</v>
      </c>
      <c r="G929">
        <f ca="1"/>
        <v>6.8488601829457743</v>
      </c>
    </row>
    <row r="930" spans="3:7">
      <c r="C930">
        <f ca="1"/>
        <v>0.88167208354030147</v>
      </c>
      <c r="D930">
        <f ca="1"/>
        <v>-1.8859820710812008</v>
      </c>
      <c r="E930">
        <f ca="1"/>
        <v>1.708072937702551</v>
      </c>
      <c r="G930">
        <f ca="1"/>
        <v>7.2517871958458535</v>
      </c>
    </row>
    <row r="931" spans="3:7">
      <c r="C931">
        <f ca="1"/>
        <v>-0.30296675152082447</v>
      </c>
      <c r="D931">
        <f ca="1"/>
        <v>-8.270909033321544E-2</v>
      </c>
      <c r="E931">
        <f ca="1"/>
        <v>0.37217066231067836</v>
      </c>
      <c r="G931">
        <f ca="1"/>
        <v>0.23714064803559798</v>
      </c>
    </row>
    <row r="932" spans="3:7">
      <c r="C932">
        <f ca="1"/>
        <v>3.0525158518446736</v>
      </c>
      <c r="D932">
        <f ca="1"/>
        <v>-0.7811977518459593</v>
      </c>
      <c r="E932">
        <f ca="1"/>
        <v>0.83652478801005092</v>
      </c>
      <c r="G932">
        <f ca="1"/>
        <v>10.627896674207454</v>
      </c>
    </row>
    <row r="933" spans="3:7">
      <c r="C933">
        <f ca="1"/>
        <v>-0.325509214097215</v>
      </c>
      <c r="D933">
        <f ca="1"/>
        <v>1.7328907892198722</v>
      </c>
      <c r="E933">
        <f ca="1"/>
        <v>-0.16566783388767797</v>
      </c>
      <c r="G933">
        <f ca="1"/>
        <v>3.1363125670102932</v>
      </c>
    </row>
    <row r="934" spans="3:7">
      <c r="C934">
        <f ca="1"/>
        <v>1.9618147756481299</v>
      </c>
      <c r="D934">
        <f ca="1"/>
        <v>0.7686432254310841</v>
      </c>
      <c r="E934">
        <f ca="1"/>
        <v>-0.37880572668682</v>
      </c>
      <c r="G934">
        <f ca="1"/>
        <v>4.5830234005231523</v>
      </c>
    </row>
    <row r="935" spans="3:7">
      <c r="C935">
        <f ca="1"/>
        <v>0.15471776040715834</v>
      </c>
      <c r="D935">
        <f ca="1"/>
        <v>1.3828335234784557</v>
      </c>
      <c r="E935">
        <f ca="1"/>
        <v>-0.80006754337071517</v>
      </c>
      <c r="G935">
        <f ca="1"/>
        <v>2.5762742129964984</v>
      </c>
    </row>
    <row r="936" spans="3:7">
      <c r="C936">
        <f ca="1"/>
        <v>-0.93878505242912069</v>
      </c>
      <c r="D936">
        <f ca="1"/>
        <v>0.21623234466870181</v>
      </c>
      <c r="E936">
        <f ca="1"/>
        <v>-0.86408445557107871</v>
      </c>
      <c r="G936">
        <f ca="1"/>
        <v>1.6747157479048387</v>
      </c>
    </row>
    <row r="937" spans="3:7">
      <c r="C937">
        <f ca="1"/>
        <v>1.6760565139077654</v>
      </c>
      <c r="D937">
        <f ca="1"/>
        <v>-1.7617584140351354</v>
      </c>
      <c r="E937">
        <f ca="1"/>
        <v>-2.18144983834036</v>
      </c>
      <c r="G937">
        <f ca="1"/>
        <v>10.671681544431429</v>
      </c>
    </row>
    <row r="938" spans="3:7">
      <c r="C938">
        <f ca="1"/>
        <v>-0.16083383594830794</v>
      </c>
      <c r="D938">
        <f ca="1"/>
        <v>0.28661721283697389</v>
      </c>
      <c r="E938">
        <f ca="1"/>
        <v>1.0785128041629095</v>
      </c>
      <c r="G938">
        <f ca="1"/>
        <v>1.2712068182236249</v>
      </c>
    </row>
    <row r="939" spans="3:7">
      <c r="C939">
        <f ca="1"/>
        <v>2.4457605385267831</v>
      </c>
      <c r="D939">
        <f ca="1"/>
        <v>-0.35490556024547049</v>
      </c>
      <c r="E939">
        <f ca="1"/>
        <v>-0.29275018993860141</v>
      </c>
      <c r="G939">
        <f ca="1"/>
        <v>6.1934052422170582</v>
      </c>
    </row>
    <row r="940" spans="3:7">
      <c r="C940">
        <f ca="1"/>
        <v>-0.19741320887632688</v>
      </c>
      <c r="D940">
        <f ca="1"/>
        <v>-9.4304004619320703E-2</v>
      </c>
      <c r="E940">
        <f ca="1"/>
        <v>-6.1865194491299555E-2</v>
      </c>
      <c r="G940">
        <f ca="1"/>
        <v>5.1692522615535447E-2</v>
      </c>
    </row>
    <row r="941" spans="3:7">
      <c r="C941">
        <f ca="1"/>
        <v>-0.32300600606139818</v>
      </c>
      <c r="D941">
        <f ca="1"/>
        <v>0.94773260409672044</v>
      </c>
      <c r="E941">
        <f ca="1"/>
        <v>1.5163100037584909</v>
      </c>
      <c r="G941">
        <f ca="1"/>
        <v>3.3017259963177619</v>
      </c>
    </row>
    <row r="942" spans="3:7">
      <c r="C942">
        <f ca="1"/>
        <v>5.6599716109021085E-2</v>
      </c>
      <c r="D942">
        <f ca="1"/>
        <v>1.7311942820847064</v>
      </c>
      <c r="E942">
        <f ca="1"/>
        <v>0.63464500693841863</v>
      </c>
      <c r="G942">
        <f ca="1"/>
        <v>3.4030114550182695</v>
      </c>
    </row>
    <row r="943" spans="3:7">
      <c r="C943">
        <f ca="1"/>
        <v>0.25722160400783284</v>
      </c>
      <c r="D943">
        <f ca="1"/>
        <v>-2.2914937437890011</v>
      </c>
      <c r="E943">
        <f ca="1"/>
        <v>-4.8477728807011886E-2</v>
      </c>
      <c r="G943">
        <f ca="1"/>
        <v>5.3194566215827805</v>
      </c>
    </row>
    <row r="944" spans="3:7">
      <c r="C944">
        <f ca="1"/>
        <v>0.29404812893252646</v>
      </c>
      <c r="D944">
        <f ca="1"/>
        <v>-0.73620718447276801</v>
      </c>
      <c r="E944">
        <f ca="1"/>
        <v>-9.556154718560296E-2</v>
      </c>
      <c r="G944">
        <f ca="1"/>
        <v>0.63759732989854612</v>
      </c>
    </row>
    <row r="945" spans="3:7">
      <c r="C945">
        <f ca="1"/>
        <v>0.52797485660135524</v>
      </c>
      <c r="D945">
        <f ca="1"/>
        <v>5.1045882413986658E-4</v>
      </c>
      <c r="E945">
        <f ca="1"/>
        <v>-0.26588296995584576</v>
      </c>
      <c r="G945">
        <f ca="1"/>
        <v>0.34945146348397388</v>
      </c>
    </row>
    <row r="946" spans="3:7">
      <c r="C946">
        <f ca="1"/>
        <v>-0.10859923922501313</v>
      </c>
      <c r="D946">
        <f ca="1"/>
        <v>0.49871057688571291</v>
      </c>
      <c r="E946">
        <f ca="1"/>
        <v>-0.1653822580410936</v>
      </c>
      <c r="G946">
        <f ca="1"/>
        <v>0.28785732553270305</v>
      </c>
    </row>
    <row r="947" spans="3:7">
      <c r="C947">
        <f ca="1"/>
        <v>1.0023636921616748</v>
      </c>
      <c r="D947">
        <f ca="1"/>
        <v>-7.1329947890980155E-2</v>
      </c>
      <c r="E947">
        <f ca="1"/>
        <v>0.56073329028067787</v>
      </c>
      <c r="G947">
        <f ca="1"/>
        <v>1.3242427556591096</v>
      </c>
    </row>
    <row r="948" spans="3:7">
      <c r="C948">
        <f ca="1"/>
        <v>-0.14203498112509905</v>
      </c>
      <c r="D948">
        <f ca="1"/>
        <v>-0.82761191251329147</v>
      </c>
      <c r="E948">
        <f ca="1"/>
        <v>5.2838116487014405E-2</v>
      </c>
      <c r="G948">
        <f ca="1"/>
        <v>0.70790728015101057</v>
      </c>
    </row>
    <row r="949" spans="3:7">
      <c r="C949">
        <f ca="1"/>
        <v>0.55118231556119968</v>
      </c>
      <c r="D949">
        <f ca="1"/>
        <v>8.5565737481612447E-2</v>
      </c>
      <c r="E949">
        <f ca="1"/>
        <v>1.8586875691357738E-2</v>
      </c>
      <c r="G949">
        <f ca="1"/>
        <v>0.3114689123661441</v>
      </c>
    </row>
    <row r="950" spans="3:7">
      <c r="C950">
        <f ca="1"/>
        <v>-0.53287452440949612</v>
      </c>
      <c r="D950">
        <f ca="1"/>
        <v>1.314072800344237</v>
      </c>
      <c r="E950">
        <f ca="1"/>
        <v>3.9080160663913344E-2</v>
      </c>
      <c r="G950">
        <f ca="1"/>
        <v>2.0122698423267091</v>
      </c>
    </row>
    <row r="951" spans="3:7">
      <c r="C951">
        <f ca="1"/>
        <v>-0.49949949928215326</v>
      </c>
      <c r="D951">
        <f ca="1"/>
        <v>0.4932816960110521</v>
      </c>
      <c r="E951">
        <f ca="1"/>
        <v>1.7597934240815787</v>
      </c>
      <c r="G951">
        <f ca="1"/>
        <v>3.5896994768434292</v>
      </c>
    </row>
    <row r="952" spans="3:7">
      <c r="C952">
        <f ca="1"/>
        <v>0.85568375784471218</v>
      </c>
      <c r="D952">
        <f ca="1"/>
        <v>-0.78173497573672401</v>
      </c>
      <c r="E952">
        <f ca="1"/>
        <v>0.21849922349219603</v>
      </c>
      <c r="G952">
        <f ca="1"/>
        <v>1.3910461763960371</v>
      </c>
    </row>
    <row r="953" spans="3:7">
      <c r="C953">
        <f ca="1"/>
        <v>0.35818097605271632</v>
      </c>
      <c r="D953">
        <f ca="1"/>
        <v>-1.1588025718988117E-2</v>
      </c>
      <c r="E953">
        <f ca="1"/>
        <v>-0.51278667544579093</v>
      </c>
      <c r="G953">
        <f ca="1"/>
        <v>0.39137806846088741</v>
      </c>
    </row>
    <row r="954" spans="3:7">
      <c r="C954">
        <f ca="1"/>
        <v>1.9746036593510687</v>
      </c>
      <c r="D954">
        <f ca="1"/>
        <v>-0.22354433876029695</v>
      </c>
      <c r="E954">
        <f ca="1"/>
        <v>0.53876294135175085</v>
      </c>
      <c r="G954">
        <f ca="1"/>
        <v>4.2392971898884007</v>
      </c>
    </row>
    <row r="955" spans="3:7">
      <c r="C955">
        <f ca="1"/>
        <v>-0.68182757050727416</v>
      </c>
      <c r="D955">
        <f ca="1"/>
        <v>0.97558875592882843</v>
      </c>
      <c r="E955">
        <f ca="1"/>
        <v>0.19464045400228416</v>
      </c>
      <c r="G955">
        <f ca="1"/>
        <v>1.4545471629328264</v>
      </c>
    </row>
    <row r="956" spans="3:7">
      <c r="C956">
        <f ca="1"/>
        <v>0.82107268156673319</v>
      </c>
      <c r="D956">
        <f ca="1"/>
        <v>0.30051889455099484</v>
      </c>
      <c r="E956">
        <f ca="1"/>
        <v>0.40696349964490458</v>
      </c>
      <c r="G956">
        <f ca="1"/>
        <v>0.93009124444056623</v>
      </c>
    </row>
    <row r="957" spans="3:7">
      <c r="C957">
        <f ca="1"/>
        <v>1.1183397967567765</v>
      </c>
      <c r="D957">
        <f ca="1"/>
        <v>0.74485396825216599</v>
      </c>
      <c r="E957">
        <f ca="1"/>
        <v>0.31194069985614742</v>
      </c>
      <c r="G957">
        <f ca="1"/>
        <v>1.90279833525773</v>
      </c>
    </row>
    <row r="958" spans="3:7">
      <c r="C958">
        <f ca="1"/>
        <v>0.13767992270556925</v>
      </c>
      <c r="D958">
        <f ca="1"/>
        <v>0.83396716341662913</v>
      </c>
      <c r="E958">
        <f ca="1"/>
        <v>-0.73864781604809293</v>
      </c>
      <c r="G958">
        <f ca="1"/>
        <v>1.2600575869260076</v>
      </c>
    </row>
    <row r="959" spans="3:7">
      <c r="C959">
        <f ca="1"/>
        <v>-1.4085167513525112</v>
      </c>
      <c r="D959">
        <f ca="1"/>
        <v>0.13673600441263567</v>
      </c>
      <c r="E959">
        <f ca="1"/>
        <v>-0.18553047295337272</v>
      </c>
      <c r="G959">
        <f ca="1"/>
        <v>2.0370377301376665</v>
      </c>
    </row>
    <row r="960" spans="3:7">
      <c r="C960">
        <f ca="1"/>
        <v>1.0500452645838954</v>
      </c>
      <c r="D960">
        <f ca="1"/>
        <v>-0.71876468851901498</v>
      </c>
      <c r="E960">
        <f ca="1"/>
        <v>6.3742648790802214E-2</v>
      </c>
      <c r="G960">
        <f ca="1"/>
        <v>1.6232808604117668</v>
      </c>
    </row>
    <row r="961" spans="3:7">
      <c r="C961">
        <f ca="1"/>
        <v>-0.67432133850998688</v>
      </c>
      <c r="D961">
        <f ca="1"/>
        <v>-0.41212373486335468</v>
      </c>
      <c r="E961">
        <f ca="1"/>
        <v>-2.0557484166852915</v>
      </c>
      <c r="G961">
        <f ca="1"/>
        <v>4.8506567931117042</v>
      </c>
    </row>
    <row r="962" spans="3:7">
      <c r="C962">
        <f ca="1"/>
        <v>1.1652856701165664</v>
      </c>
      <c r="D962">
        <f ca="1"/>
        <v>0.69542046931595958</v>
      </c>
      <c r="E962">
        <f ca="1"/>
        <v>1.6061551169101087</v>
      </c>
      <c r="G962">
        <f ca="1"/>
        <v>4.4212345816991689</v>
      </c>
    </row>
    <row r="963" spans="3:7">
      <c r="C963">
        <f ca="1"/>
        <v>-0.85246154609708547</v>
      </c>
      <c r="D963">
        <f ca="1"/>
        <v>-1.3737844354130833</v>
      </c>
      <c r="E963">
        <f ca="1"/>
        <v>-1.5278097856916906</v>
      </c>
      <c r="G963">
        <f ca="1"/>
        <v>4.9481771038127667</v>
      </c>
    </row>
    <row r="964" spans="3:7">
      <c r="C964">
        <f ca="1"/>
        <v>-0.47477826722519867</v>
      </c>
      <c r="D964">
        <f ca="1"/>
        <v>-0.50799850364144805</v>
      </c>
      <c r="E964">
        <f ca="1"/>
        <v>-0.32924600999823073</v>
      </c>
      <c r="G964">
        <f ca="1"/>
        <v>0.59187981783106747</v>
      </c>
    </row>
    <row r="965" spans="3:7">
      <c r="C965">
        <f ca="1"/>
        <v>0.34980707117171622</v>
      </c>
      <c r="D965">
        <f ca="1"/>
        <v>-0.57815673379329557</v>
      </c>
      <c r="E965">
        <f ca="1"/>
        <v>-2.6001575363079286</v>
      </c>
      <c r="G965">
        <f ca="1"/>
        <v>7.2174494094911825</v>
      </c>
    </row>
    <row r="966" spans="3:7">
      <c r="C966">
        <f ca="1"/>
        <v>1.3513850185328717</v>
      </c>
      <c r="D966">
        <f ca="1"/>
        <v>1.123315522920691</v>
      </c>
      <c r="E966">
        <f ca="1"/>
        <v>7.1113879397250182E-2</v>
      </c>
      <c r="G966">
        <f ca="1"/>
        <v>3.093136416192602</v>
      </c>
    </row>
    <row r="967" spans="3:7">
      <c r="C967">
        <f ca="1"/>
        <v>-1.8077309199365894</v>
      </c>
      <c r="D967">
        <f ca="1"/>
        <v>-6.7955206750275735E-2</v>
      </c>
      <c r="E967">
        <f ca="1"/>
        <v>0.36028272076998225</v>
      </c>
      <c r="G967">
        <f ca="1"/>
        <v>3.4023126279046814</v>
      </c>
    </row>
    <row r="968" spans="3:7">
      <c r="C968">
        <f ca="1"/>
        <v>0.53332871276695037</v>
      </c>
      <c r="D968">
        <f ca="1"/>
        <v>0.21887392905284506</v>
      </c>
      <c r="E968">
        <f ca="1"/>
        <v>5.8778418153295285E-2</v>
      </c>
      <c r="G968">
        <f ca="1"/>
        <v>0.33580021512128577</v>
      </c>
    </row>
    <row r="969" spans="3:7">
      <c r="C969">
        <f ca="1"/>
        <v>0.26242301531881007</v>
      </c>
      <c r="D969">
        <f ca="1"/>
        <v>-3.2079109240945205</v>
      </c>
      <c r="E969">
        <f ca="1"/>
        <v>0.16649588229585319</v>
      </c>
      <c r="G969">
        <f ca="1"/>
        <v>10.38727921471545</v>
      </c>
    </row>
    <row r="970" spans="3:7">
      <c r="C970">
        <f ca="1"/>
        <v>-0.98030940039363446</v>
      </c>
      <c r="D970">
        <f ca="1"/>
        <v>-1.6957487758026015</v>
      </c>
      <c r="E970">
        <f ca="1"/>
        <v>-0.61795018980244865</v>
      </c>
      <c r="G970">
        <f ca="1"/>
        <v>4.2184328682130312</v>
      </c>
    </row>
    <row r="971" spans="3:7">
      <c r="C971">
        <f ca="1"/>
        <v>-0.64186506446632807</v>
      </c>
      <c r="D971">
        <f ca="1"/>
        <v>0.45580001343649468</v>
      </c>
      <c r="E971">
        <f ca="1"/>
        <v>0.58551671857631804</v>
      </c>
      <c r="G971">
        <f ca="1"/>
        <v>0.96257424096345146</v>
      </c>
    </row>
    <row r="972" spans="3:7">
      <c r="C972">
        <f ca="1"/>
        <v>6.3042475939244225E-2</v>
      </c>
      <c r="D972">
        <f ca="1"/>
        <v>-0.18946245980345727</v>
      </c>
      <c r="E972">
        <f ca="1"/>
        <v>-0.69817326213520114</v>
      </c>
      <c r="G972">
        <f ca="1"/>
        <v>0.52731628140783515</v>
      </c>
    </row>
    <row r="973" spans="3:7">
      <c r="C973">
        <f ca="1"/>
        <v>-0.35634608023637543</v>
      </c>
      <c r="D973">
        <f ca="1"/>
        <v>-0.30076308015072378</v>
      </c>
      <c r="E973">
        <f ca="1"/>
        <v>-3.3740644354413991E-2</v>
      </c>
      <c r="G973">
        <f ca="1"/>
        <v>0.21857939036303103</v>
      </c>
    </row>
    <row r="974" spans="3:7">
      <c r="C974">
        <f ca="1"/>
        <v>-0.57543281046039585</v>
      </c>
      <c r="D974">
        <f ca="1"/>
        <v>-1.6045696995517007</v>
      </c>
      <c r="E974">
        <f ca="1"/>
        <v>0.28413936239803034</v>
      </c>
      <c r="G974">
        <f ca="1"/>
        <v>2.9865020173377439</v>
      </c>
    </row>
    <row r="975" spans="3:7">
      <c r="C975">
        <f ca="1"/>
        <v>0.22864851785717547</v>
      </c>
      <c r="D975">
        <f ca="1"/>
        <v>0.33545558888246946</v>
      </c>
      <c r="E975">
        <f ca="1"/>
        <v>-1.7879901288661515</v>
      </c>
      <c r="G975">
        <f ca="1"/>
        <v>3.3617192977535648</v>
      </c>
    </row>
    <row r="976" spans="3:7">
      <c r="C976">
        <f ca="1"/>
        <v>-0.15348820245659658</v>
      </c>
      <c r="D976">
        <f ca="1"/>
        <v>0.47913498947747046</v>
      </c>
      <c r="E976">
        <f ca="1"/>
        <v>0.71515088932219839</v>
      </c>
      <c r="G976">
        <f ca="1"/>
        <v>0.76456976093326423</v>
      </c>
    </row>
    <row r="977" spans="3:7">
      <c r="C977">
        <f ca="1"/>
        <v>1.32381817879119</v>
      </c>
      <c r="D977">
        <f ca="1"/>
        <v>3.7163046400203438E-2</v>
      </c>
      <c r="E977">
        <f ca="1"/>
        <v>-1.4480856285930954</v>
      </c>
      <c r="G977">
        <f ca="1"/>
        <v>3.8508276502536267</v>
      </c>
    </row>
    <row r="978" spans="3:7">
      <c r="C978">
        <f ca="1"/>
        <v>-2.464744160332319</v>
      </c>
      <c r="D978">
        <f ca="1"/>
        <v>-0.5219870156387757</v>
      </c>
      <c r="E978">
        <f ca="1"/>
        <v>-0.48446149862489352</v>
      </c>
      <c r="G978">
        <f ca="1"/>
        <v>6.5821371640376212</v>
      </c>
    </row>
    <row r="979" spans="3:7">
      <c r="C979">
        <f ca="1"/>
        <v>0.63926155653484729</v>
      </c>
      <c r="D979">
        <f ca="1"/>
        <v>0.85777423575444189</v>
      </c>
      <c r="E979">
        <f ca="1"/>
        <v>-0.88069214457109846</v>
      </c>
      <c r="G979">
        <f ca="1"/>
        <v>1.9200506306967133</v>
      </c>
    </row>
    <row r="980" spans="3:7">
      <c r="C980">
        <f ca="1"/>
        <v>-0.20760402867731728</v>
      </c>
      <c r="D980">
        <f ca="1"/>
        <v>0.44064037812044266</v>
      </c>
      <c r="E980">
        <f ca="1"/>
        <v>-1.0515013639048281</v>
      </c>
      <c r="G980">
        <f ca="1"/>
        <v>1.3429184938468928</v>
      </c>
    </row>
    <row r="981" spans="3:7">
      <c r="C981">
        <f ca="1"/>
        <v>1.7852449038960909</v>
      </c>
      <c r="D981">
        <f ca="1"/>
        <v>-0.5770646262814797</v>
      </c>
      <c r="E981">
        <f ca="1"/>
        <v>0.17892757105325874</v>
      </c>
      <c r="G981">
        <f ca="1"/>
        <v>3.5521180254753655</v>
      </c>
    </row>
    <row r="982" spans="3:7">
      <c r="C982">
        <f ca="1"/>
        <v>0.64460158237905418</v>
      </c>
      <c r="D982">
        <f ca="1"/>
        <v>0.73011568445787522</v>
      </c>
      <c r="E982">
        <f ca="1"/>
        <v>1.0429881738610176</v>
      </c>
      <c r="G982">
        <f ca="1"/>
        <v>2.0364044435109125</v>
      </c>
    </row>
    <row r="983" spans="3:7">
      <c r="C983">
        <f ca="1"/>
        <v>-0.61424431321485973</v>
      </c>
      <c r="D983">
        <f ca="1"/>
        <v>-1.6581231766705975</v>
      </c>
      <c r="E983">
        <f ca="1"/>
        <v>2.5205994384204962</v>
      </c>
      <c r="G983">
        <f ca="1"/>
        <v>9.4800900742947096</v>
      </c>
    </row>
    <row r="984" spans="3:7">
      <c r="C984">
        <f ca="1"/>
        <v>0.17083856046286702</v>
      </c>
      <c r="D984">
        <f ca="1"/>
        <v>2.5936476615901909</v>
      </c>
      <c r="E984">
        <f ca="1"/>
        <v>-2.8496609031173022E-2</v>
      </c>
      <c r="G984">
        <f ca="1"/>
        <v>6.7570060629395661</v>
      </c>
    </row>
    <row r="985" spans="3:7">
      <c r="C985">
        <f ca="1"/>
        <v>-1.8118935325082077</v>
      </c>
      <c r="D985">
        <f ca="1"/>
        <v>0.63756893036773354</v>
      </c>
      <c r="E985">
        <f ca="1"/>
        <v>-0.22600566033533795</v>
      </c>
      <c r="G985">
        <f ca="1"/>
        <v>3.7405308726189395</v>
      </c>
    </row>
    <row r="986" spans="3:7">
      <c r="C986">
        <f ca="1"/>
        <v>0.47154017784920033</v>
      </c>
      <c r="D986">
        <f ca="1"/>
        <v>0.9236643317930866</v>
      </c>
      <c r="E986">
        <f ca="1"/>
        <v>-0.63837173145027382</v>
      </c>
      <c r="G986">
        <f ca="1"/>
        <v>1.4830244046676451</v>
      </c>
    </row>
    <row r="987" spans="3:7">
      <c r="C987">
        <f ca="1"/>
        <v>-1.0402937356412167</v>
      </c>
      <c r="D987">
        <f ca="1"/>
        <v>-0.81518648052887266</v>
      </c>
      <c r="E987">
        <f ca="1"/>
        <v>-1.1284134381950739</v>
      </c>
      <c r="G987">
        <f ca="1"/>
        <v>3.0200569419506356</v>
      </c>
    </row>
    <row r="988" spans="3:7">
      <c r="C988">
        <f ca="1"/>
        <v>-0.32677553589355018</v>
      </c>
      <c r="D988">
        <f ca="1"/>
        <v>-0.45530780011150707</v>
      </c>
      <c r="E988">
        <f ca="1"/>
        <v>-2.085362959800662</v>
      </c>
      <c r="G988">
        <f ca="1"/>
        <v>4.662826117809475</v>
      </c>
    </row>
    <row r="989" spans="3:7">
      <c r="C989">
        <f ca="1"/>
        <v>-1.0220922045267715</v>
      </c>
      <c r="D989">
        <f ca="1"/>
        <v>0.50386573323756434</v>
      </c>
      <c r="E989">
        <f ca="1"/>
        <v>-0.34203662527934542</v>
      </c>
      <c r="G989">
        <f ca="1"/>
        <v>1.4155422047179076</v>
      </c>
    </row>
    <row r="990" spans="3:7">
      <c r="C990">
        <f ca="1"/>
        <v>-0.28489692966327068</v>
      </c>
      <c r="D990">
        <f ca="1"/>
        <v>-0.72600475324359826</v>
      </c>
      <c r="E990">
        <f ca="1"/>
        <v>0.10651368566474956</v>
      </c>
      <c r="G990">
        <f ca="1"/>
        <v>0.61959432749774568</v>
      </c>
    </row>
    <row r="991" spans="3:7">
      <c r="C991">
        <f ca="1"/>
        <v>-0.67316056827814164</v>
      </c>
      <c r="D991">
        <f ca="1"/>
        <v>0.23480310360956208</v>
      </c>
      <c r="E991">
        <f ca="1"/>
        <v>-0.285783636748417</v>
      </c>
      <c r="G991">
        <f ca="1"/>
        <v>0.58994993518238448</v>
      </c>
    </row>
    <row r="992" spans="3:7">
      <c r="C992">
        <f ca="1"/>
        <v>0.38212016844595326</v>
      </c>
      <c r="D992">
        <f ca="1"/>
        <v>0.6248161087868962</v>
      </c>
      <c r="E992">
        <f ca="1"/>
        <v>-0.79003442173238314</v>
      </c>
      <c r="G992">
        <f ca="1"/>
        <v>1.1605653804547833</v>
      </c>
    </row>
    <row r="993" spans="3:7">
      <c r="C993">
        <f ca="1"/>
        <v>-1.0601627089999748</v>
      </c>
      <c r="D993">
        <f ca="1"/>
        <v>3.2744028512845476</v>
      </c>
      <c r="E993">
        <f ca="1"/>
        <v>0.42885921738233174</v>
      </c>
      <c r="G993">
        <f ca="1"/>
        <v>12.029579230388325</v>
      </c>
    </row>
    <row r="994" spans="3:7">
      <c r="C994">
        <f ca="1"/>
        <v>4.5204547898468783E-2</v>
      </c>
      <c r="D994">
        <f ca="1"/>
        <v>-1.7329085824679797</v>
      </c>
      <c r="E994">
        <f ca="1"/>
        <v>9.2583224077018786E-3</v>
      </c>
      <c r="G994">
        <f ca="1"/>
        <v>3.0051013228756926</v>
      </c>
    </row>
    <row r="995" spans="3:7">
      <c r="C995">
        <f ca="1"/>
        <v>-1.8273599936462347E-2</v>
      </c>
      <c r="D995">
        <f ca="1"/>
        <v>-1.137649466854006</v>
      </c>
      <c r="E995">
        <f ca="1"/>
        <v>0.5429763044895477</v>
      </c>
      <c r="G995">
        <f ca="1"/>
        <v>1.5894035011249681</v>
      </c>
    </row>
    <row r="996" spans="3:7">
      <c r="C996">
        <f ca="1"/>
        <v>-9.9201582345124745E-2</v>
      </c>
      <c r="D996">
        <f ca="1"/>
        <v>-0.28961762885732711</v>
      </c>
      <c r="E996">
        <f ca="1"/>
        <v>1.0731123215089888</v>
      </c>
      <c r="G996">
        <f ca="1"/>
        <v>1.2452893794591284</v>
      </c>
    </row>
    <row r="997" spans="3:7">
      <c r="C997">
        <f ca="1"/>
        <v>-0.49616471021185582</v>
      </c>
      <c r="D997">
        <f ca="1"/>
        <v>1.0384397925702993</v>
      </c>
      <c r="E997">
        <f ca="1"/>
        <v>-0.35029697830004336</v>
      </c>
      <c r="G997">
        <f ca="1"/>
        <v>1.4472445954592024</v>
      </c>
    </row>
    <row r="998" spans="3:7">
      <c r="C998">
        <f ca="1"/>
        <v>-1.8789554952368979</v>
      </c>
      <c r="D998">
        <f ca="1"/>
        <v>-0.80593789132217319</v>
      </c>
      <c r="E998">
        <f ca="1"/>
        <v>1.2863208385397233</v>
      </c>
      <c r="G998">
        <f ca="1"/>
        <v>5.8346309374113039</v>
      </c>
    </row>
    <row r="999" spans="3:7">
      <c r="C999">
        <f ca="1"/>
        <v>1.8548752580633801</v>
      </c>
      <c r="D999">
        <f ca="1"/>
        <v>1.5052150856274658</v>
      </c>
      <c r="E999">
        <f ca="1"/>
        <v>-6.8722016613069245E-2</v>
      </c>
      <c r="G999">
        <f ca="1"/>
        <v>5.7109573925435564</v>
      </c>
    </row>
    <row r="1000" spans="3:7">
      <c r="C1000">
        <f ca="1"/>
        <v>-0.31611417702489408</v>
      </c>
      <c r="D1000">
        <f ca="1"/>
        <v>1.1853385911414691</v>
      </c>
      <c r="E1000">
        <f ca="1"/>
        <v>1.3241617470672853</v>
      </c>
      <c r="G1000">
        <f ca="1"/>
        <v>3.258360080961654</v>
      </c>
    </row>
    <row r="1001" spans="3:7">
      <c r="C1001">
        <f ca="1"/>
        <v>1.0985188548710529</v>
      </c>
      <c r="D1001">
        <f ca="1"/>
        <v>-1.2907578364850716</v>
      </c>
      <c r="E1001">
        <f ca="1"/>
        <v>2.356359196555815</v>
      </c>
      <c r="G1001">
        <f ca="1"/>
        <v>8.4252281301479979</v>
      </c>
    </row>
    <row r="1002" spans="3:7">
      <c r="C1002">
        <f ca="1"/>
        <v>-0.19982591363925392</v>
      </c>
      <c r="D1002">
        <f ca="1"/>
        <v>-1.1872067041566698</v>
      </c>
      <c r="E1002">
        <f ca="1"/>
        <v>-0.13641401985877452</v>
      </c>
      <c r="G1002">
        <f ca="1"/>
        <v>1.4679989389703352</v>
      </c>
    </row>
    <row r="1003" spans="3:7">
      <c r="C1003">
        <f ca="1"/>
        <v>-0.19573212447637581</v>
      </c>
      <c r="D1003">
        <f ca="1"/>
        <v>0.68359840827403373</v>
      </c>
      <c r="E1003">
        <f ca="1"/>
        <v>-0.94089940513734716</v>
      </c>
      <c r="G1003">
        <f ca="1"/>
        <v>1.3909095389346418</v>
      </c>
    </row>
    <row r="1004" spans="3:7">
      <c r="C1004">
        <f ca="1"/>
        <v>-1.0227337742517981</v>
      </c>
      <c r="D1004">
        <f ca="1"/>
        <v>0.249700373479876</v>
      </c>
      <c r="E1004">
        <f ca="1"/>
        <v>1.533261021601837</v>
      </c>
      <c r="G1004">
        <f ca="1"/>
        <v>3.4592240098748261</v>
      </c>
    </row>
    <row r="1005" spans="3:7">
      <c r="C1005">
        <f ca="1"/>
        <v>-0.72616707444410267</v>
      </c>
      <c r="D1005">
        <f ca="1"/>
        <v>-0.17258016227620868</v>
      </c>
      <c r="E1005">
        <f ca="1"/>
        <v>0.20399918783112958</v>
      </c>
      <c r="G1005">
        <f ca="1"/>
        <v>0.59871820105374995</v>
      </c>
    </row>
    <row r="1006" spans="3:7">
      <c r="C1006">
        <f ca="1"/>
        <v>-0.12806016096560777</v>
      </c>
      <c r="D1006">
        <f ca="1"/>
        <v>0.27986461344519314</v>
      </c>
      <c r="E1006">
        <f ca="1"/>
        <v>0.73188428102919645</v>
      </c>
      <c r="G1006">
        <f ca="1"/>
        <v>0.63037820750298856</v>
      </c>
    </row>
    <row r="1007" spans="3:7">
      <c r="C1007">
        <f ca="1"/>
        <v>-0.62106215125841824</v>
      </c>
      <c r="D1007">
        <f ca="1"/>
        <v>-0.16538363056818708</v>
      </c>
      <c r="E1007">
        <f ca="1"/>
        <v>1.0812810261819057</v>
      </c>
      <c r="G1007">
        <f ca="1"/>
        <v>1.5822385985666438</v>
      </c>
    </row>
    <row r="1008" spans="3:7">
      <c r="C1008">
        <f ca="1"/>
        <v>0.23132778287822042</v>
      </c>
      <c r="D1008">
        <f ca="1"/>
        <v>0.45798460498332144</v>
      </c>
      <c r="E1008">
        <f ca="1"/>
        <v>-1.3337377507152759</v>
      </c>
      <c r="G1008">
        <f ca="1"/>
        <v>2.0421188292161254</v>
      </c>
    </row>
    <row r="1009" spans="3:7">
      <c r="C1009">
        <f ca="1"/>
        <v>0.57575441310613928</v>
      </c>
      <c r="D1009">
        <f ca="1"/>
        <v>0.47362433321544811</v>
      </c>
      <c r="E1009">
        <f ca="1"/>
        <v>-0.53937919107052579</v>
      </c>
      <c r="G1009">
        <f ca="1"/>
        <v>0.84674306498486751</v>
      </c>
    </row>
    <row r="1010" spans="3:7">
      <c r="C1010">
        <f ca="1"/>
        <v>0.16334450609448323</v>
      </c>
      <c r="D1010">
        <f ca="1"/>
        <v>-1.144934751869197</v>
      </c>
      <c r="E1010">
        <f ca="1"/>
        <v>1.7033096513491171E-2</v>
      </c>
      <c r="G1010">
        <f ca="1"/>
        <v>1.3378471400858682</v>
      </c>
    </row>
    <row r="1011" spans="3:7">
      <c r="C1011">
        <f ca="1"/>
        <v>0.596138795680213</v>
      </c>
      <c r="D1011">
        <f ca="1"/>
        <v>0.67511553065709762</v>
      </c>
      <c r="E1011">
        <f ca="1"/>
        <v>0.70828472679238796</v>
      </c>
      <c r="G1011">
        <f ca="1"/>
        <v>1.312829697656837</v>
      </c>
    </row>
    <row r="1012" spans="3:7">
      <c r="C1012">
        <f ca="1"/>
        <v>-0.21016727018992604</v>
      </c>
      <c r="D1012">
        <f ca="1"/>
        <v>3.9375246490264575E-2</v>
      </c>
      <c r="E1012">
        <f ca="1"/>
        <v>0.54830463940328455</v>
      </c>
      <c r="G1012">
        <f ca="1"/>
        <v>0.34635866908642038</v>
      </c>
    </row>
    <row r="1013" spans="3:7">
      <c r="C1013">
        <f ca="1"/>
        <v>0.25109632772744062</v>
      </c>
      <c r="D1013">
        <f ca="1"/>
        <v>0.63432670722985185</v>
      </c>
      <c r="E1013">
        <f ca="1"/>
        <v>1.0386991977297484</v>
      </c>
      <c r="G1013">
        <f ca="1"/>
        <v>1.5443157606676954</v>
      </c>
    </row>
    <row r="1014" spans="3:7">
      <c r="C1014">
        <f ca="1"/>
        <v>0.21839581087701718</v>
      </c>
      <c r="D1014">
        <f ca="1"/>
        <v>-1.2676784020878449</v>
      </c>
      <c r="E1014">
        <f ca="1"/>
        <v>-0.60195088145840092</v>
      </c>
      <c r="G1014">
        <f ca="1"/>
        <v>2.0170501250171675</v>
      </c>
    </row>
    <row r="1015" spans="3:7">
      <c r="C1015">
        <f ca="1"/>
        <v>0.35661503037720382</v>
      </c>
      <c r="D1015">
        <f ca="1"/>
        <v>0.16088030162735581</v>
      </c>
      <c r="E1015">
        <f ca="1"/>
        <v>-1.4611746902991416</v>
      </c>
      <c r="G1015">
        <f ca="1"/>
        <v>2.2880882269134353</v>
      </c>
    </row>
    <row r="1016" spans="3:7">
      <c r="C1016">
        <f ca="1"/>
        <v>-6.4692722564596211E-2</v>
      </c>
      <c r="D1016">
        <f ca="1"/>
        <v>0.18474472636944209</v>
      </c>
      <c r="E1016">
        <f ca="1"/>
        <v>0.26211578148858627</v>
      </c>
      <c r="G1016">
        <f ca="1"/>
        <v>0.10702044517951215</v>
      </c>
    </row>
    <row r="1017" spans="3:7">
      <c r="C1017">
        <f ca="1"/>
        <v>-0.85640961621721945</v>
      </c>
      <c r="D1017">
        <f ca="1"/>
        <v>-0.3116273029188612</v>
      </c>
      <c r="E1017">
        <f ca="1"/>
        <v>9.3651889741979702E-2</v>
      </c>
      <c r="G1017">
        <f ca="1"/>
        <v>0.83931968312605276</v>
      </c>
    </row>
    <row r="1018" spans="3:7">
      <c r="C1018">
        <f ca="1"/>
        <v>-0.51952639696734182</v>
      </c>
      <c r="D1018">
        <f ca="1"/>
        <v>-0.78938281675266087</v>
      </c>
      <c r="E1018">
        <f ca="1"/>
        <v>-0.90023302920726977</v>
      </c>
      <c r="G1018">
        <f ca="1"/>
        <v>1.7034524154059301</v>
      </c>
    </row>
    <row r="1019" spans="3:7">
      <c r="C1019">
        <f ca="1"/>
        <v>0.60482243160477089</v>
      </c>
      <c r="D1019">
        <f ca="1"/>
        <v>-0.39306554241317626</v>
      </c>
      <c r="E1019">
        <f ca="1"/>
        <v>0.68046255915425347</v>
      </c>
      <c r="G1019">
        <f ca="1"/>
        <v>0.98333998881562823</v>
      </c>
    </row>
    <row r="1020" spans="3:7">
      <c r="C1020">
        <f ca="1"/>
        <v>0.17184251164733702</v>
      </c>
      <c r="D1020">
        <f ca="1"/>
        <v>-0.94739117367989789</v>
      </c>
      <c r="E1020">
        <f ca="1"/>
        <v>-0.79160474487262944</v>
      </c>
      <c r="G1020">
        <f ca="1"/>
        <v>1.5537179568807002</v>
      </c>
    </row>
    <row r="1021" spans="3:7">
      <c r="C1021">
        <f ca="1"/>
        <v>-1.1267456660386392</v>
      </c>
      <c r="D1021">
        <f ca="1"/>
        <v>0.45327517859412009</v>
      </c>
      <c r="E1021">
        <f ca="1"/>
        <v>-1.1166331628500978</v>
      </c>
      <c r="G1021">
        <f ca="1"/>
        <v>2.7218838038430011</v>
      </c>
    </row>
    <row r="1022" spans="3:7">
      <c r="C1022">
        <f ca="1"/>
        <v>0.50228899064135135</v>
      </c>
      <c r="D1022">
        <f ca="1"/>
        <v>-1.4998221780719456</v>
      </c>
      <c r="E1022">
        <f ca="1"/>
        <v>0.32484155249178426</v>
      </c>
      <c r="G1022">
        <f ca="1"/>
        <v>2.607282830181255</v>
      </c>
    </row>
    <row r="1023" spans="3:7">
      <c r="C1023">
        <f ca="1"/>
        <v>0.48498643034839339</v>
      </c>
      <c r="D1023">
        <f ca="1"/>
        <v>-0.76472061923540935</v>
      </c>
      <c r="E1023">
        <f ca="1"/>
        <v>-0.26735555999755384</v>
      </c>
      <c r="G1023">
        <f ca="1"/>
        <v>0.89148845856747061</v>
      </c>
    </row>
    <row r="1024" spans="3:7">
      <c r="C1024">
        <f ca="1"/>
        <v>1.7660102636137633</v>
      </c>
      <c r="D1024">
        <f ca="1"/>
        <v>1.7671530981455781</v>
      </c>
      <c r="E1024">
        <f ca="1"/>
        <v>-2.0069026601311879E-2</v>
      </c>
      <c r="G1024">
        <f ca="1"/>
        <v>6.2420250893033931</v>
      </c>
    </row>
    <row r="1025" spans="3:7">
      <c r="C1025">
        <f ca="1"/>
        <v>9.2431082873186035E-2</v>
      </c>
      <c r="D1025">
        <f ca="1"/>
        <v>-1.1010951943394596</v>
      </c>
      <c r="E1025">
        <f ca="1"/>
        <v>-1.8329840928148027</v>
      </c>
      <c r="G1025">
        <f ca="1"/>
        <v>4.5807848165906675</v>
      </c>
    </row>
    <row r="1026" spans="3:7">
      <c r="C1026">
        <f ca="1"/>
        <v>0.26636210330343107</v>
      </c>
      <c r="D1026">
        <f ca="1"/>
        <v>1.686921287663838</v>
      </c>
      <c r="E1026">
        <f ca="1"/>
        <v>1.6158240299284381</v>
      </c>
      <c r="G1026">
        <f ca="1"/>
        <v>5.5275394965438274</v>
      </c>
    </row>
    <row r="1027" spans="3:7">
      <c r="C1027">
        <f ca="1"/>
        <v>-1.4121385940019078</v>
      </c>
      <c r="D1027">
        <f ca="1"/>
        <v>-0.60894380897814937</v>
      </c>
      <c r="E1027">
        <f ca="1"/>
        <v>-0.30272355962048431</v>
      </c>
      <c r="G1027">
        <f ca="1"/>
        <v>2.4565895247117986</v>
      </c>
    </row>
    <row r="1028" spans="3:7">
      <c r="C1028">
        <f ca="1"/>
        <v>-0.30533136683777506</v>
      </c>
      <c r="D1028">
        <f ca="1"/>
        <v>2.2747481214217768</v>
      </c>
      <c r="E1028">
        <f ca="1"/>
        <v>1.2193013511760666</v>
      </c>
      <c r="G1028">
        <f ca="1"/>
        <v>6.7544020444667083</v>
      </c>
    </row>
    <row r="1029" spans="3:7">
      <c r="C1029">
        <f ca="1"/>
        <v>0.238309978308475</v>
      </c>
      <c r="D1029">
        <f ca="1"/>
        <v>0.32320431155168877</v>
      </c>
      <c r="E1029">
        <f ca="1"/>
        <v>-2.3323391141798462</v>
      </c>
      <c r="G1029">
        <f ca="1"/>
        <v>5.6010584163002166</v>
      </c>
    </row>
    <row r="1030" spans="3:7">
      <c r="C1030">
        <f ca="1"/>
        <v>-2.1166697773014675</v>
      </c>
      <c r="D1030">
        <f ca="1"/>
        <v>-2.3730993256176154</v>
      </c>
      <c r="E1030">
        <f ca="1"/>
        <v>-0.4338366634193252</v>
      </c>
      <c r="G1030">
        <f ca="1"/>
        <v>10.300105605915038</v>
      </c>
    </row>
    <row r="1031" spans="3:7">
      <c r="C1031">
        <f ca="1"/>
        <v>0.53168367672409422</v>
      </c>
      <c r="D1031">
        <f ca="1"/>
        <v>-0.52081500450272655</v>
      </c>
      <c r="E1031">
        <f ca="1"/>
        <v>0.47114112575822648</v>
      </c>
      <c r="G1031">
        <f ca="1"/>
        <v>0.77590976139075507</v>
      </c>
    </row>
    <row r="1032" spans="3:7">
      <c r="C1032">
        <f ca="1"/>
        <v>-2.0942066425710499</v>
      </c>
      <c r="D1032">
        <f ca="1"/>
        <v>0.13549712681993803</v>
      </c>
      <c r="E1032">
        <f ca="1"/>
        <v>0.87821510493580479</v>
      </c>
      <c r="G1032">
        <f ca="1"/>
        <v>5.175322703702574</v>
      </c>
    </row>
    <row r="1033" spans="3:7">
      <c r="C1033">
        <f ca="1"/>
        <v>-1.0053343240145409</v>
      </c>
      <c r="D1033">
        <f ca="1"/>
        <v>-1.1628857724023198</v>
      </c>
      <c r="E1033">
        <f ca="1"/>
        <v>1.0969387241718191</v>
      </c>
      <c r="G1033">
        <f ca="1"/>
        <v>3.5662749872852122</v>
      </c>
    </row>
    <row r="1034" spans="3:7">
      <c r="C1034">
        <f ca="1"/>
        <v>-0.26032166617755104</v>
      </c>
      <c r="D1034">
        <f ca="1"/>
        <v>-1.024010032995057</v>
      </c>
      <c r="E1034">
        <f ca="1"/>
        <v>0.7866554097392221</v>
      </c>
      <c r="G1034">
        <f ca="1"/>
        <v>1.7351906512279776</v>
      </c>
    </row>
    <row r="1035" spans="3:7">
      <c r="C1035">
        <f ca="1"/>
        <v>-0.23761480898927731</v>
      </c>
      <c r="D1035">
        <f ca="1"/>
        <v>0.2479913545757266</v>
      </c>
      <c r="E1035">
        <f ca="1"/>
        <v>1.839303032201113</v>
      </c>
      <c r="G1035">
        <f ca="1"/>
        <v>3.5009961536595231</v>
      </c>
    </row>
    <row r="1036" spans="3:7">
      <c r="C1036">
        <f ca="1"/>
        <v>1.1504530500512868</v>
      </c>
      <c r="D1036">
        <f ca="1"/>
        <v>0.38540191350327702</v>
      </c>
      <c r="E1036">
        <f ca="1"/>
        <v>1.3450820599843356E-2</v>
      </c>
      <c r="G1036">
        <f ca="1"/>
        <v>1.4722577798791052</v>
      </c>
    </row>
    <row r="1037" spans="3:7">
      <c r="C1037">
        <f ca="1"/>
        <v>-5.8185062377883512E-2</v>
      </c>
      <c r="D1037">
        <f ca="1"/>
        <v>1.1546456855781846</v>
      </c>
      <c r="E1037">
        <f ca="1"/>
        <v>1.7483991000222994</v>
      </c>
      <c r="G1037">
        <f ca="1"/>
        <v>4.3934915736670206</v>
      </c>
    </row>
    <row r="1038" spans="3:7">
      <c r="C1038">
        <f ca="1"/>
        <v>0.56566690474717973</v>
      </c>
      <c r="D1038">
        <f ca="1"/>
        <v>-1.1110629367575973</v>
      </c>
      <c r="E1038">
        <f ca="1"/>
        <v>-9.000772552218721E-3</v>
      </c>
      <c r="G1038">
        <f ca="1"/>
        <v>1.5545209104692084</v>
      </c>
    </row>
    <row r="1039" spans="3:7">
      <c r="C1039">
        <f ca="1"/>
        <v>-0.99413548880174141</v>
      </c>
      <c r="D1039">
        <f ca="1"/>
        <v>-0.44001728503197479</v>
      </c>
      <c r="E1039">
        <f ca="1"/>
        <v>-6.9107340070970275E-2</v>
      </c>
      <c r="G1039">
        <f ca="1"/>
        <v>1.1866964056736722</v>
      </c>
    </row>
    <row r="1040" spans="3:7">
      <c r="C1040">
        <f ca="1"/>
        <v>0.27555150215901902</v>
      </c>
      <c r="D1040">
        <f ca="1"/>
        <v>2.0776204562752469</v>
      </c>
      <c r="E1040">
        <f ca="1"/>
        <v>-2.2117315692122288</v>
      </c>
      <c r="G1040">
        <f ca="1"/>
        <v>9.2841919249254445</v>
      </c>
    </row>
    <row r="1041" spans="3:7">
      <c r="C1041">
        <f ca="1"/>
        <v>-1.8841613928824006</v>
      </c>
      <c r="D1041">
        <f ca="1"/>
        <v>1.5710154308249884</v>
      </c>
      <c r="E1041">
        <f ca="1"/>
        <v>0.3407788117316623</v>
      </c>
      <c r="G1041">
        <f ca="1"/>
        <v>6.1342838368440153</v>
      </c>
    </row>
    <row r="1042" spans="3:7">
      <c r="C1042">
        <f ca="1"/>
        <v>-0.63168060898307565</v>
      </c>
      <c r="D1042">
        <f ca="1"/>
        <v>1.067530160927161</v>
      </c>
      <c r="E1042">
        <f ca="1"/>
        <v>-1.1550007188825742</v>
      </c>
      <c r="G1042">
        <f ca="1"/>
        <v>2.8726676968736626</v>
      </c>
    </row>
    <row r="1043" spans="3:7">
      <c r="C1043">
        <f ca="1"/>
        <v>2.2279503878557234</v>
      </c>
      <c r="D1043">
        <f ca="1"/>
        <v>0.56427559064842014</v>
      </c>
      <c r="E1043">
        <f ca="1"/>
        <v>0.73993137866147973</v>
      </c>
      <c r="G1043">
        <f ca="1"/>
        <v>5.8296683180759707</v>
      </c>
    </row>
    <row r="1044" spans="3:7">
      <c r="C1044">
        <f ca="1"/>
        <v>0.19975983828743338</v>
      </c>
      <c r="D1044">
        <f ca="1"/>
        <v>-0.58897809768737142</v>
      </c>
      <c r="E1044">
        <f ca="1"/>
        <v>-0.3459235547648401</v>
      </c>
      <c r="G1044">
        <f ca="1"/>
        <v>0.50646229828919975</v>
      </c>
    </row>
    <row r="1045" spans="3:7">
      <c r="C1045">
        <f ca="1"/>
        <v>1.3569619422324102</v>
      </c>
      <c r="D1045">
        <f ca="1"/>
        <v>0.92938024838156674</v>
      </c>
      <c r="E1045">
        <f ca="1"/>
        <v>-0.92437512170957381</v>
      </c>
      <c r="G1045">
        <f ca="1"/>
        <v>3.5595627243845267</v>
      </c>
    </row>
    <row r="1046" spans="3:7">
      <c r="C1046">
        <f ca="1"/>
        <v>-0.31874409704127021</v>
      </c>
      <c r="D1046">
        <f ca="1"/>
        <v>0.29539433915756563</v>
      </c>
      <c r="E1046">
        <f ca="1"/>
        <v>-1.6101904514111285</v>
      </c>
      <c r="G1046">
        <f ca="1"/>
        <v>2.7815689048205634</v>
      </c>
    </row>
    <row r="1047" spans="3:7">
      <c r="C1047">
        <f ca="1"/>
        <v>1.318450138545719</v>
      </c>
      <c r="D1047">
        <f ca="1"/>
        <v>-0.29260647367624015</v>
      </c>
      <c r="E1047">
        <f ca="1"/>
        <v>-6.9627507957083726E-3</v>
      </c>
      <c r="G1047">
        <f ca="1"/>
        <v>1.8239777961671131</v>
      </c>
    </row>
    <row r="1048" spans="3:7">
      <c r="C1048">
        <f ca="1"/>
        <v>0.33370583178510799</v>
      </c>
      <c r="D1048">
        <f ca="1"/>
        <v>-0.88963763717959932</v>
      </c>
      <c r="E1048">
        <f ca="1"/>
        <v>0.3259075793138298</v>
      </c>
      <c r="G1048">
        <f ca="1"/>
        <v>1.0090304579080915</v>
      </c>
    </row>
    <row r="1049" spans="3:7">
      <c r="C1049">
        <f ca="1"/>
        <v>0.27713191785126295</v>
      </c>
      <c r="D1049">
        <f ca="1"/>
        <v>-1.150124606518178</v>
      </c>
      <c r="E1049">
        <f ca="1"/>
        <v>2.9272906267968156E-2</v>
      </c>
      <c r="G1049">
        <f ca="1"/>
        <v>1.4004456134518863</v>
      </c>
    </row>
    <row r="1050" spans="3:7">
      <c r="C1050">
        <f ca="1"/>
        <v>3.9408119457353306E-2</v>
      </c>
      <c r="D1050">
        <f ca="1"/>
        <v>0.72167486777577716</v>
      </c>
      <c r="E1050">
        <f ca="1"/>
        <v>0.72332095710522903</v>
      </c>
      <c r="G1050">
        <f ca="1"/>
        <v>1.0455608216459751</v>
      </c>
    </row>
    <row r="1051" spans="3:7">
      <c r="C1051">
        <f ca="1"/>
        <v>-0.76328533526516096</v>
      </c>
      <c r="D1051">
        <f ca="1"/>
        <v>0.37013365618569249</v>
      </c>
      <c r="E1051">
        <f ca="1"/>
        <v>1.2172724767797538</v>
      </c>
      <c r="G1051">
        <f ca="1"/>
        <v>2.2013557091977538</v>
      </c>
    </row>
    <row r="1052" spans="3:7">
      <c r="C1052">
        <f ca="1"/>
        <v>-0.6778156540332817</v>
      </c>
      <c r="D1052">
        <f ca="1"/>
        <v>-3.7325420099279853E-2</v>
      </c>
      <c r="E1052">
        <f ca="1"/>
        <v>-1.5923888286555561</v>
      </c>
      <c r="G1052">
        <f ca="1"/>
        <v>2.9965294294651672</v>
      </c>
    </row>
    <row r="1053" spans="3:7">
      <c r="C1053">
        <f ca="1"/>
        <v>-0.69061996708900064</v>
      </c>
      <c r="D1053">
        <f ca="1"/>
        <v>0.84111309782293209</v>
      </c>
      <c r="E1053">
        <f ca="1"/>
        <v>1.2681055799285164</v>
      </c>
      <c r="G1053">
        <f ca="1"/>
        <v>2.7925189441171403</v>
      </c>
    </row>
    <row r="1054" spans="3:7">
      <c r="C1054">
        <f ca="1"/>
        <v>-1.5998998289289301</v>
      </c>
      <c r="D1054">
        <f ca="1"/>
        <v>0.289149752979313</v>
      </c>
      <c r="E1054">
        <f ca="1"/>
        <v>0.53792621400429941</v>
      </c>
      <c r="G1054">
        <f ca="1"/>
        <v>2.9326516539678171</v>
      </c>
    </row>
    <row r="1055" spans="3:7">
      <c r="C1055">
        <f ca="1"/>
        <v>-0.86410603529932561</v>
      </c>
      <c r="D1055">
        <f ca="1"/>
        <v>1.2488147793133377</v>
      </c>
      <c r="E1055">
        <f ca="1"/>
        <v>1.5526490646419366</v>
      </c>
      <c r="G1055">
        <f ca="1"/>
        <v>4.7169367112056211</v>
      </c>
    </row>
    <row r="1056" spans="3:7">
      <c r="C1056">
        <f ca="1"/>
        <v>0.21133667006776272</v>
      </c>
      <c r="D1056">
        <f ca="1"/>
        <v>-0.54622188104323988</v>
      </c>
      <c r="E1056">
        <f ca="1"/>
        <v>0.61643650727373789</v>
      </c>
      <c r="G1056">
        <f ca="1"/>
        <v>0.72301549894559081</v>
      </c>
    </row>
    <row r="1057" spans="3:7">
      <c r="C1057">
        <f ca="1"/>
        <v>0.84010838544616262</v>
      </c>
      <c r="D1057">
        <f ca="1"/>
        <v>-0.78453347833089238</v>
      </c>
      <c r="E1057">
        <f ca="1"/>
        <v>-1.5883367975763167</v>
      </c>
      <c r="G1057">
        <f ca="1"/>
        <v>3.8440886604539166</v>
      </c>
    </row>
    <row r="1058" spans="3:7">
      <c r="C1058">
        <f ca="1"/>
        <v>0.81948724404364437</v>
      </c>
      <c r="D1058">
        <f ca="1"/>
        <v>0.8876946057994668</v>
      </c>
      <c r="E1058">
        <f ca="1"/>
        <v>-0.34794769169238715</v>
      </c>
      <c r="G1058">
        <f ca="1"/>
        <v>1.5806286524697788</v>
      </c>
    </row>
    <row r="1059" spans="3:7">
      <c r="C1059">
        <f ca="1"/>
        <v>0.45503396627103726</v>
      </c>
      <c r="D1059">
        <f ca="1"/>
        <v>4.1882624065878483E-2</v>
      </c>
      <c r="E1059">
        <f ca="1"/>
        <v>-2.5822173774439447E-2</v>
      </c>
      <c r="G1059">
        <f ca="1"/>
        <v>0.20947684931743249</v>
      </c>
    </row>
    <row r="1060" spans="3:7">
      <c r="C1060">
        <f ca="1"/>
        <v>-5.4069610796690659E-4</v>
      </c>
      <c r="D1060">
        <f ca="1"/>
        <v>-0.86296311877650933</v>
      </c>
      <c r="E1060">
        <f ca="1"/>
        <v>0.96808353725130381</v>
      </c>
      <c r="G1060">
        <f ca="1"/>
        <v>1.6818913718177575</v>
      </c>
    </row>
    <row r="1061" spans="3:7">
      <c r="C1061">
        <f ca="1"/>
        <v>-1.5176424029684128</v>
      </c>
      <c r="D1061">
        <f ca="1"/>
        <v>1.8278012507298649</v>
      </c>
      <c r="E1061">
        <f ca="1"/>
        <v>-0.22726813709053945</v>
      </c>
      <c r="G1061">
        <f ca="1"/>
        <v>5.6957466815940014</v>
      </c>
    </row>
    <row r="1062" spans="3:7">
      <c r="C1062">
        <f ca="1"/>
        <v>2.0420859904950079</v>
      </c>
      <c r="D1062">
        <f ca="1"/>
        <v>-1.0199783126884474</v>
      </c>
      <c r="E1062">
        <f ca="1"/>
        <v>0.28835703957653808</v>
      </c>
      <c r="G1062">
        <f ca="1"/>
        <v>5.2936207332040954</v>
      </c>
    </row>
    <row r="1063" spans="3:7">
      <c r="C1063">
        <f ca="1"/>
        <v>0.31430144483726574</v>
      </c>
      <c r="D1063">
        <f ca="1"/>
        <v>0.5657838064870423</v>
      </c>
      <c r="E1063">
        <f ca="1"/>
        <v>1.1777197328095613E-2</v>
      </c>
      <c r="G1063">
        <f ca="1"/>
        <v>0.41903541628666457</v>
      </c>
    </row>
    <row r="1064" spans="3:7">
      <c r="C1064">
        <f ca="1"/>
        <v>0.4078974664244604</v>
      </c>
      <c r="D1064">
        <f ca="1"/>
        <v>-1.3631455514681701</v>
      </c>
      <c r="E1064">
        <f ca="1"/>
        <v>0.74251922629025457</v>
      </c>
      <c r="G1064">
        <f ca="1"/>
        <v>2.5758809390136337</v>
      </c>
    </row>
    <row r="1065" spans="3:7">
      <c r="C1065">
        <f ca="1"/>
        <v>-0.57319671848194509</v>
      </c>
      <c r="D1065">
        <f ca="1"/>
        <v>-1.961756999986465</v>
      </c>
      <c r="E1065">
        <f ca="1"/>
        <v>8.988471198921312E-2</v>
      </c>
      <c r="G1065">
        <f ca="1"/>
        <v>4.1851242665237489</v>
      </c>
    </row>
    <row r="1066" spans="3:7">
      <c r="C1066">
        <f ca="1"/>
        <v>0.1407716960122459</v>
      </c>
      <c r="D1066">
        <f ca="1"/>
        <v>-0.92023265431869838</v>
      </c>
      <c r="E1066">
        <f ca="1"/>
        <v>-0.42587574797691585</v>
      </c>
      <c r="G1066">
        <f ca="1"/>
        <v>1.0480149611874987</v>
      </c>
    </row>
    <row r="1067" spans="3:7">
      <c r="C1067">
        <f ca="1"/>
        <v>0.58982469844775665</v>
      </c>
      <c r="D1067">
        <f ca="1"/>
        <v>-1.4069560839078072</v>
      </c>
      <c r="E1067">
        <f ca="1"/>
        <v>-0.2219381784309202</v>
      </c>
      <c r="G1067">
        <f ca="1"/>
        <v>2.3766751519894149</v>
      </c>
    </row>
    <row r="1068" spans="3:7">
      <c r="C1068">
        <f ca="1"/>
        <v>-1.2135053879115969</v>
      </c>
      <c r="D1068">
        <f ca="1"/>
        <v>1.2602460274830538</v>
      </c>
      <c r="E1068">
        <f ca="1"/>
        <v>0.12416672664153161</v>
      </c>
      <c r="G1068">
        <f ca="1"/>
        <v>3.076232752282166</v>
      </c>
    </row>
    <row r="1069" spans="3:7">
      <c r="C1069">
        <f ca="1"/>
        <v>1.2919120926970025</v>
      </c>
      <c r="D1069">
        <f ca="1"/>
        <v>2.4446069579133507</v>
      </c>
      <c r="E1069">
        <f ca="1"/>
        <v>1.4955851980406936</v>
      </c>
      <c r="G1069">
        <f ca="1"/>
        <v>9.8819151185335343</v>
      </c>
    </row>
    <row r="1070" spans="3:7">
      <c r="C1070">
        <f ca="1"/>
        <v>3.5871467178650009E-2</v>
      </c>
      <c r="D1070">
        <f ca="1"/>
        <v>0.8286772283956273</v>
      </c>
      <c r="E1070">
        <f ca="1"/>
        <v>0.81519347568693379</v>
      </c>
      <c r="G1070">
        <f ca="1"/>
        <v>1.3525331138215511</v>
      </c>
    </row>
    <row r="1071" spans="3:7">
      <c r="C1071">
        <f ca="1"/>
        <v>0.285159259091679</v>
      </c>
      <c r="D1071">
        <f ca="1"/>
        <v>1.1369310604804823</v>
      </c>
      <c r="E1071">
        <f ca="1"/>
        <v>0.11673151711843785</v>
      </c>
      <c r="G1071">
        <f ca="1"/>
        <v>1.3875542864197616</v>
      </c>
    </row>
    <row r="1072" spans="3:7">
      <c r="C1072">
        <f ca="1"/>
        <v>-2.2705358234793733</v>
      </c>
      <c r="D1072">
        <f ca="1"/>
        <v>1.1358978490942315</v>
      </c>
      <c r="E1072">
        <f ca="1"/>
        <v>-0.54509737945920456</v>
      </c>
      <c r="G1072">
        <f ca="1"/>
        <v>6.74272800237335</v>
      </c>
    </row>
    <row r="1073" spans="3:7">
      <c r="C1073">
        <f ca="1"/>
        <v>-0.85766406420123042</v>
      </c>
      <c r="D1073">
        <f ca="1"/>
        <v>2.1315544930118205E-3</v>
      </c>
      <c r="E1073">
        <f ca="1"/>
        <v>1.0433673532140046</v>
      </c>
      <c r="G1073">
        <f ca="1"/>
        <v>1.8242076242995267</v>
      </c>
    </row>
    <row r="1074" spans="3:7">
      <c r="C1074">
        <f ca="1"/>
        <v>-3.5739118069422739E-2</v>
      </c>
      <c r="D1074">
        <f ca="1"/>
        <v>-1.46018546197601</v>
      </c>
      <c r="E1074">
        <f ca="1"/>
        <v>0.79409674610536796</v>
      </c>
      <c r="G1074">
        <f ca="1"/>
        <v>2.7640085101016068</v>
      </c>
    </row>
    <row r="1075" spans="3:7">
      <c r="C1075">
        <f ca="1"/>
        <v>5.0650771188138793E-2</v>
      </c>
      <c r="D1075">
        <f ca="1"/>
        <v>0.25180538717896567</v>
      </c>
      <c r="E1075">
        <f ca="1"/>
        <v>0.85351449721882422</v>
      </c>
      <c r="G1075">
        <f ca="1"/>
        <v>0.79445845059700426</v>
      </c>
    </row>
    <row r="1076" spans="3:7">
      <c r="C1076">
        <f ca="1"/>
        <v>1.0802608438059653</v>
      </c>
      <c r="D1076">
        <f ca="1"/>
        <v>0.18278464609492104</v>
      </c>
      <c r="E1076">
        <f ca="1"/>
        <v>-1.1326444971083434</v>
      </c>
      <c r="G1076">
        <f ca="1"/>
        <v>2.483257274338234</v>
      </c>
    </row>
    <row r="1077" spans="3:7">
      <c r="C1077">
        <f ca="1"/>
        <v>-0.47859257838562619</v>
      </c>
      <c r="D1077">
        <f ca="1"/>
        <v>0.45796700454007194</v>
      </c>
      <c r="E1077">
        <f ca="1"/>
        <v>0.32096864740984521</v>
      </c>
      <c r="G1077">
        <f ca="1"/>
        <v>0.54180550595331356</v>
      </c>
    </row>
    <row r="1078" spans="3:7">
      <c r="C1078">
        <f ca="1"/>
        <v>-0.70810416246643137</v>
      </c>
      <c r="D1078">
        <f ca="1"/>
        <v>-1.1749985178206734</v>
      </c>
      <c r="E1078">
        <f ca="1"/>
        <v>0.55672943491803717</v>
      </c>
      <c r="G1078">
        <f ca="1"/>
        <v>2.1919806854872226</v>
      </c>
    </row>
    <row r="1079" spans="3:7">
      <c r="C1079">
        <f ca="1"/>
        <v>-0.24231969024990868</v>
      </c>
      <c r="D1079">
        <f ca="1"/>
        <v>0.48870737410112697</v>
      </c>
      <c r="E1079">
        <f ca="1"/>
        <v>0.21709531844315991</v>
      </c>
      <c r="G1079">
        <f ca="1"/>
        <v>0.34468410707356761</v>
      </c>
    </row>
    <row r="1080" spans="3:7">
      <c r="C1080">
        <f ca="1"/>
        <v>0.46622071149170574</v>
      </c>
      <c r="D1080">
        <f ca="1"/>
        <v>0.93182699554605586</v>
      </c>
      <c r="E1080">
        <f ca="1"/>
        <v>1.1339108436915502</v>
      </c>
      <c r="G1080">
        <f ca="1"/>
        <v>2.3714171028935045</v>
      </c>
    </row>
    <row r="1081" spans="3:7">
      <c r="C1081">
        <f ca="1"/>
        <v>-0.6016913743265293</v>
      </c>
      <c r="D1081">
        <f ca="1"/>
        <v>-0.84217015539610152</v>
      </c>
      <c r="E1081">
        <f ca="1"/>
        <v>-0.11644359930850674</v>
      </c>
      <c r="G1081">
        <f ca="1"/>
        <v>1.0848421923987615</v>
      </c>
    </row>
    <row r="1082" spans="3:7">
      <c r="C1082">
        <f ca="1"/>
        <v>1.4627094705413475</v>
      </c>
      <c r="D1082">
        <f ca="1"/>
        <v>-0.84006617371550285</v>
      </c>
      <c r="E1082">
        <f ca="1"/>
        <v>0.18925669698631553</v>
      </c>
      <c r="G1082">
        <f ca="1"/>
        <v>2.8810482687865244</v>
      </c>
    </row>
    <row r="1083" spans="3:7">
      <c r="C1083">
        <f ca="1"/>
        <v>-0.65468287988640639</v>
      </c>
      <c r="D1083">
        <f ca="1"/>
        <v>0.27877196721216696</v>
      </c>
      <c r="E1083">
        <f ca="1"/>
        <v>-0.6578814845314791</v>
      </c>
      <c r="G1083">
        <f ca="1"/>
        <v>0.93913153060904309</v>
      </c>
    </row>
    <row r="1084" spans="3:7">
      <c r="C1084">
        <f ca="1"/>
        <v>0.86901502112086693</v>
      </c>
      <c r="D1084">
        <f ca="1"/>
        <v>0.92167934224930348</v>
      </c>
      <c r="E1084">
        <f ca="1"/>
        <v>0.1269887371690151</v>
      </c>
      <c r="G1084">
        <f ca="1"/>
        <v>1.6208060562305908</v>
      </c>
    </row>
    <row r="1085" spans="3:7">
      <c r="C1085">
        <f ca="1"/>
        <v>-0.19486836288341602</v>
      </c>
      <c r="D1085">
        <f ca="1"/>
        <v>0.15298780654616081</v>
      </c>
      <c r="E1085">
        <f ca="1"/>
        <v>-0.15411212894587856</v>
      </c>
      <c r="G1085">
        <f ca="1"/>
        <v>8.512949609289934E-2</v>
      </c>
    </row>
    <row r="1086" spans="3:7">
      <c r="C1086">
        <f ca="1"/>
        <v>-9.1996741057055867E-2</v>
      </c>
      <c r="D1086">
        <f ca="1"/>
        <v>-0.44054342956662013</v>
      </c>
      <c r="E1086">
        <f ca="1"/>
        <v>-1.0383428380842739</v>
      </c>
      <c r="G1086">
        <f ca="1"/>
        <v>1.2806977631003431</v>
      </c>
    </row>
    <row r="1087" spans="3:7">
      <c r="C1087">
        <f ca="1"/>
        <v>0.64550771414553465</v>
      </c>
      <c r="D1087">
        <f ca="1"/>
        <v>0.30505412855018321</v>
      </c>
      <c r="E1087">
        <f ca="1"/>
        <v>-0.22512014276596765</v>
      </c>
      <c r="G1087">
        <f ca="1"/>
        <v>0.56041730904587472</v>
      </c>
    </row>
    <row r="1088" spans="3:7">
      <c r="C1088">
        <f ca="1"/>
        <v>-0.52760085534044376</v>
      </c>
      <c r="D1088">
        <f ca="1"/>
        <v>-0.34348958978335076</v>
      </c>
      <c r="E1088">
        <f ca="1"/>
        <v>-5.0184431488942596E-2</v>
      </c>
      <c r="G1088">
        <f ca="1"/>
        <v>0.39886623800937082</v>
      </c>
    </row>
    <row r="1089" spans="3:7">
      <c r="C1089">
        <f ca="1"/>
        <v>-1.1506242710908772</v>
      </c>
      <c r="D1089">
        <f ca="1"/>
        <v>0.26258029372324843</v>
      </c>
      <c r="E1089">
        <f ca="1"/>
        <v>0.26379279954111495</v>
      </c>
      <c r="G1089">
        <f ca="1"/>
        <v>1.4624712649649387</v>
      </c>
    </row>
    <row r="1090" spans="3:7">
      <c r="C1090">
        <f ca="1"/>
        <v>1.5382526296351375</v>
      </c>
      <c r="D1090">
        <f ca="1"/>
        <v>1.3663855246619441</v>
      </c>
      <c r="E1090">
        <f ca="1"/>
        <v>0.34270595487564187</v>
      </c>
      <c r="G1090">
        <f ca="1"/>
        <v>4.3506779260923372</v>
      </c>
    </row>
    <row r="1091" spans="3:7">
      <c r="C1091">
        <f ca="1"/>
        <v>0.55220532430819758</v>
      </c>
      <c r="D1091">
        <f ca="1"/>
        <v>-0.28799248739810046</v>
      </c>
      <c r="E1091">
        <f ca="1"/>
        <v>1.7372776223314557</v>
      </c>
      <c r="G1091">
        <f ca="1"/>
        <v>3.4060039300457028</v>
      </c>
    </row>
    <row r="1092" spans="3:7">
      <c r="C1092">
        <f ca="1"/>
        <v>-6.3146081071775648E-2</v>
      </c>
      <c r="D1092">
        <f ca="1"/>
        <v>0.8704088625073898</v>
      </c>
      <c r="E1092">
        <f ca="1"/>
        <v>0.79310504689449401</v>
      </c>
      <c r="G1092">
        <f ca="1"/>
        <v>1.3906146308956491</v>
      </c>
    </row>
    <row r="1093" spans="3:7">
      <c r="C1093">
        <f ca="1"/>
        <v>-0.15513338254605527</v>
      </c>
      <c r="D1093">
        <f ca="1"/>
        <v>0.2934825668147793</v>
      </c>
      <c r="E1093">
        <f ca="1"/>
        <v>0.82839099277496031</v>
      </c>
      <c r="G1093">
        <f ca="1"/>
        <v>0.7964300203150565</v>
      </c>
    </row>
    <row r="1094" spans="3:7">
      <c r="C1094">
        <f ca="1"/>
        <v>1.1067815083303556</v>
      </c>
      <c r="D1094">
        <f ca="1"/>
        <v>-9.3262729762826638E-2</v>
      </c>
      <c r="E1094">
        <f ca="1"/>
        <v>-1.4468991108175349</v>
      </c>
      <c r="G1094">
        <f ca="1"/>
        <v>3.327180280829404</v>
      </c>
    </row>
    <row r="1095" spans="3:7">
      <c r="C1095">
        <f ca="1"/>
        <v>-0.67219721049085213</v>
      </c>
      <c r="D1095">
        <f ca="1"/>
        <v>-0.72999314036853713</v>
      </c>
      <c r="E1095">
        <f ca="1"/>
        <v>-1.0093357620277985</v>
      </c>
      <c r="G1095">
        <f ca="1"/>
        <v>2.0034977552850384</v>
      </c>
    </row>
    <row r="1096" spans="3:7">
      <c r="C1096">
        <f ca="1"/>
        <v>-1.0548571650925331</v>
      </c>
      <c r="D1096">
        <f ca="1"/>
        <v>-7.7982215575824992E-2</v>
      </c>
      <c r="E1096">
        <f ca="1"/>
        <v>0.94409333423696062</v>
      </c>
      <c r="G1096">
        <f ca="1"/>
        <v>2.0101170884438315</v>
      </c>
    </row>
    <row r="1097" spans="3:7">
      <c r="C1097">
        <f ca="1"/>
        <v>0.6867873510203597</v>
      </c>
      <c r="D1097">
        <f ca="1"/>
        <v>1.2880432164685793</v>
      </c>
      <c r="E1097">
        <f ca="1"/>
        <v>-0.78442304867933643</v>
      </c>
      <c r="G1097">
        <f ca="1"/>
        <v>2.746051712311671</v>
      </c>
    </row>
    <row r="1098" spans="3:7">
      <c r="C1098">
        <f ca="1"/>
        <v>-1.21341218067001</v>
      </c>
      <c r="D1098">
        <f ca="1"/>
        <v>1.9585587765687924</v>
      </c>
      <c r="E1098">
        <f ca="1"/>
        <v>2.3470174442356333</v>
      </c>
      <c r="G1098">
        <f ca="1"/>
        <v>10.816812485019359</v>
      </c>
    </row>
    <row r="1099" spans="3:7">
      <c r="C1099">
        <f ca="1"/>
        <v>-0.98869213919735699</v>
      </c>
      <c r="D1099">
        <f ca="1"/>
        <v>-0.30743487604231839</v>
      </c>
      <c r="E1099">
        <f ca="1"/>
        <v>1.2186475186722572</v>
      </c>
      <c r="G1099">
        <f ca="1"/>
        <v>2.5571301238838506</v>
      </c>
    </row>
    <row r="1100" spans="3:7">
      <c r="C1100">
        <f ca="1"/>
        <v>-1.4736859799639586</v>
      </c>
      <c r="D1100">
        <f ca="1"/>
        <v>0.85988459235142722</v>
      </c>
      <c r="E1100">
        <f ca="1"/>
        <v>0.19258689008533042</v>
      </c>
      <c r="G1100">
        <f ca="1"/>
        <v>2.9482415899384522</v>
      </c>
    </row>
    <row r="1101" spans="3:7">
      <c r="C1101">
        <f ca="1"/>
        <v>-0.36421292093069596</v>
      </c>
      <c r="D1101">
        <f ca="1"/>
        <v>-2.0442942907448649</v>
      </c>
      <c r="E1101">
        <f ca="1"/>
        <v>-0.28033591351664355</v>
      </c>
      <c r="G1101">
        <f ca="1"/>
        <v>4.3903784233521304</v>
      </c>
    </row>
    <row r="1102" spans="3:7">
      <c r="C1102">
        <f ca="1"/>
        <v>0.10658716781521763</v>
      </c>
      <c r="D1102">
        <f ca="1"/>
        <v>-1.636904302772487</v>
      </c>
      <c r="E1102">
        <f ca="1"/>
        <v>-1.2461780606127491</v>
      </c>
      <c r="G1102">
        <f ca="1"/>
        <v>4.2437762795305041</v>
      </c>
    </row>
    <row r="1103" spans="3:7">
      <c r="C1103">
        <f ca="1"/>
        <v>0.75383865661336225</v>
      </c>
      <c r="D1103">
        <f ca="1"/>
        <v>-0.13514967701710995</v>
      </c>
      <c r="E1103">
        <f ca="1"/>
        <v>0.68341719456710681</v>
      </c>
      <c r="G1103">
        <f ca="1"/>
        <v>1.0535972172324426</v>
      </c>
    </row>
    <row r="1104" spans="3:7">
      <c r="C1104">
        <f ca="1"/>
        <v>0.10944729939903175</v>
      </c>
      <c r="D1104">
        <f ca="1"/>
        <v>-0.35309850392428882</v>
      </c>
      <c r="E1104">
        <f ca="1"/>
        <v>-0.43308659720329934</v>
      </c>
      <c r="G1104">
        <f ca="1"/>
        <v>0.32422126549644514</v>
      </c>
    </row>
    <row r="1105" spans="3:7">
      <c r="C1105">
        <f ca="1"/>
        <v>0.39481350235382789</v>
      </c>
      <c r="D1105">
        <f ca="1"/>
        <v>0.63590950962326331</v>
      </c>
      <c r="E1105">
        <f ca="1"/>
        <v>0.71251992036208744</v>
      </c>
      <c r="G1105">
        <f ca="1"/>
        <v>1.0679432429829907</v>
      </c>
    </row>
    <row r="1106" spans="3:7">
      <c r="C1106">
        <f ca="1"/>
        <v>-1.3510946291132024</v>
      </c>
      <c r="D1106">
        <f ca="1"/>
        <v>0.17693371570480049</v>
      </c>
      <c r="E1106">
        <f ca="1"/>
        <v>2.2780606289721783</v>
      </c>
      <c r="G1106">
        <f ca="1"/>
        <v>7.0463224658447663</v>
      </c>
    </row>
    <row r="1107" spans="3:7">
      <c r="C1107">
        <f ca="1"/>
        <v>-6.1069526766800712E-2</v>
      </c>
      <c r="D1107">
        <f ca="1"/>
        <v>0.9340200861289496</v>
      </c>
      <c r="E1107">
        <f ca="1"/>
        <v>-1.5988052563735808</v>
      </c>
      <c r="G1107">
        <f ca="1"/>
        <v>3.4323012561996431</v>
      </c>
    </row>
    <row r="1108" spans="3:7">
      <c r="C1108">
        <f ca="1"/>
        <v>0.15644478625425179</v>
      </c>
      <c r="D1108">
        <f ca="1"/>
        <v>-1.9757555072445467</v>
      </c>
      <c r="E1108">
        <f ca="1"/>
        <v>1.0976536662528635</v>
      </c>
      <c r="G1108">
        <f ca="1"/>
        <v>5.1329283665916474</v>
      </c>
    </row>
    <row r="1109" spans="3:7">
      <c r="C1109">
        <f ca="1"/>
        <v>1.0164717738525659</v>
      </c>
      <c r="D1109">
        <f ca="1"/>
        <v>1.0683712000833612</v>
      </c>
      <c r="E1109">
        <f ca="1"/>
        <v>0.39908508323022329</v>
      </c>
      <c r="G1109">
        <f ca="1"/>
        <v>2.3339007918634178</v>
      </c>
    </row>
    <row r="1110" spans="3:7">
      <c r="C1110">
        <f ca="1"/>
        <v>-1.12854711479763</v>
      </c>
      <c r="D1110">
        <f ca="1"/>
        <v>0.7349874931850966</v>
      </c>
      <c r="E1110">
        <f ca="1"/>
        <v>-1.3221794381665966</v>
      </c>
      <c r="G1110">
        <f ca="1"/>
        <v>3.5619836721671048</v>
      </c>
    </row>
    <row r="1111" spans="3:7">
      <c r="C1111">
        <f ca="1"/>
        <v>0.43558086013177055</v>
      </c>
      <c r="D1111">
        <f ca="1"/>
        <v>-0.32845219019183824</v>
      </c>
      <c r="E1111">
        <f ca="1"/>
        <v>-0.88427507982681941</v>
      </c>
      <c r="G1111">
        <f ca="1"/>
        <v>1.0795539437576762</v>
      </c>
    </row>
    <row r="1112" spans="3:7">
      <c r="C1112">
        <f ca="1"/>
        <v>-0.63235400312037837</v>
      </c>
      <c r="D1112">
        <f ca="1"/>
        <v>1.0716595062408663</v>
      </c>
      <c r="E1112">
        <f ca="1"/>
        <v>-0.28598526689183623</v>
      </c>
      <c r="G1112">
        <f ca="1"/>
        <v>1.6301132554579796</v>
      </c>
    </row>
    <row r="1113" spans="3:7">
      <c r="C1113">
        <f ca="1"/>
        <v>-1.4090139655576084</v>
      </c>
      <c r="D1113">
        <f ca="1"/>
        <v>0.19625292532932986</v>
      </c>
      <c r="E1113">
        <f ca="1"/>
        <v>-1.4250426995515517</v>
      </c>
      <c r="G1113">
        <f ca="1"/>
        <v>4.0545822613818707</v>
      </c>
    </row>
    <row r="1114" spans="3:7">
      <c r="C1114">
        <f ca="1"/>
        <v>-1.6557955953565846</v>
      </c>
      <c r="D1114">
        <f ca="1"/>
        <v>-0.76135694673563303</v>
      </c>
      <c r="E1114">
        <f ca="1"/>
        <v>1.6637369531106445</v>
      </c>
      <c r="G1114">
        <f ca="1"/>
        <v>6.0893441030907631</v>
      </c>
    </row>
    <row r="1115" spans="3:7">
      <c r="C1115">
        <f ca="1"/>
        <v>-0.55388186646776261</v>
      </c>
      <c r="D1115">
        <f ca="1"/>
        <v>0.33012128387249684</v>
      </c>
      <c r="E1115">
        <f ca="1"/>
        <v>0.78967953579650008</v>
      </c>
      <c r="G1115">
        <f ca="1"/>
        <v>1.0393589533232139</v>
      </c>
    </row>
    <row r="1116" spans="3:7">
      <c r="C1116">
        <f ca="1"/>
        <v>1.5222356254229323</v>
      </c>
      <c r="D1116">
        <f ca="1"/>
        <v>-0.28964437696833195</v>
      </c>
      <c r="E1116">
        <f ca="1"/>
        <v>-0.46746367278701162</v>
      </c>
      <c r="G1116">
        <f ca="1"/>
        <v>2.6196174497916416</v>
      </c>
    </row>
    <row r="1117" spans="3:7">
      <c r="C1117">
        <f ca="1"/>
        <v>-0.39527558396673967</v>
      </c>
      <c r="D1117">
        <f ca="1"/>
        <v>0.73699174196010042</v>
      </c>
      <c r="E1117">
        <f ca="1"/>
        <v>-0.58341115563952806</v>
      </c>
      <c r="G1117">
        <f ca="1"/>
        <v>1.0397681915222801</v>
      </c>
    </row>
    <row r="1118" spans="3:7">
      <c r="C1118">
        <f ca="1"/>
        <v>0.19234845477073445</v>
      </c>
      <c r="D1118">
        <f ca="1"/>
        <v>-1.4393492526506455</v>
      </c>
      <c r="E1118">
        <f ca="1"/>
        <v>0.39914652018250912</v>
      </c>
      <c r="G1118">
        <f ca="1"/>
        <v>2.2680421437324672</v>
      </c>
    </row>
    <row r="1119" spans="3:7">
      <c r="C1119">
        <f ca="1"/>
        <v>1.0838277294892362</v>
      </c>
      <c r="D1119">
        <f ca="1"/>
        <v>0.63616079854295993</v>
      </c>
      <c r="E1119">
        <f ca="1"/>
        <v>1.5388454345127713</v>
      </c>
      <c r="G1119">
        <f ca="1"/>
        <v>3.9474283801334096</v>
      </c>
    </row>
    <row r="1120" spans="3:7">
      <c r="C1120">
        <f ca="1"/>
        <v>-1.4433749789566295</v>
      </c>
      <c r="D1120">
        <f ca="1"/>
        <v>1.5121255137703673</v>
      </c>
      <c r="E1120">
        <f ca="1"/>
        <v>-0.17271385232464817</v>
      </c>
      <c r="G1120">
        <f ca="1"/>
        <v>4.3996849740581681</v>
      </c>
    </row>
    <row r="1121" spans="3:7">
      <c r="C1121">
        <f ca="1"/>
        <v>0.57581608502289017</v>
      </c>
      <c r="D1121">
        <f ca="1"/>
        <v>1.0685094956387002</v>
      </c>
      <c r="E1121">
        <f ca="1"/>
        <v>0.55933194293892552</v>
      </c>
      <c r="G1121">
        <f ca="1"/>
        <v>1.7861289284329911</v>
      </c>
    </row>
    <row r="1122" spans="3:7">
      <c r="C1122">
        <f ca="1"/>
        <v>-0.42991957121446428</v>
      </c>
      <c r="D1122">
        <f ca="1"/>
        <v>-0.72787657264201855</v>
      </c>
      <c r="E1122">
        <f ca="1"/>
        <v>3.7065368221101111E-2</v>
      </c>
      <c r="G1122">
        <f ca="1"/>
        <v>0.71600898423568626</v>
      </c>
    </row>
    <row r="1123" spans="3:7">
      <c r="C1123">
        <f ca="1"/>
        <v>0.33586315710169873</v>
      </c>
      <c r="D1123">
        <f ca="1"/>
        <v>-5.5127713536672833E-2</v>
      </c>
      <c r="E1123">
        <f ca="1"/>
        <v>1.1604188808454849</v>
      </c>
      <c r="G1123">
        <f ca="1"/>
        <v>1.4624151041207896</v>
      </c>
    </row>
    <row r="1124" spans="3:7">
      <c r="C1124">
        <f ca="1"/>
        <v>-1.1135359839135361</v>
      </c>
      <c r="D1124">
        <f ca="1"/>
        <v>0.99871205131973029</v>
      </c>
      <c r="E1124">
        <f ca="1"/>
        <v>-0.4520257533898922</v>
      </c>
      <c r="G1124">
        <f ca="1"/>
        <v>2.4417154306492503</v>
      </c>
    </row>
    <row r="1125" spans="3:7">
      <c r="C1125">
        <f ca="1"/>
        <v>0.32743488347297472</v>
      </c>
      <c r="D1125">
        <f ca="1"/>
        <v>0.74060784585135442</v>
      </c>
      <c r="E1125">
        <f ca="1"/>
        <v>1.875000091759061</v>
      </c>
      <c r="G1125">
        <f ca="1"/>
        <v>4.1713389283480318</v>
      </c>
    </row>
    <row r="1126" spans="3:7">
      <c r="C1126">
        <f ca="1"/>
        <v>0.15823041024228349</v>
      </c>
      <c r="D1126">
        <f ca="1"/>
        <v>-1.4348984222225438</v>
      </c>
      <c r="E1126">
        <f ca="1"/>
        <v>6.6517974207454936E-2</v>
      </c>
      <c r="G1126">
        <f ca="1"/>
        <v>2.0883949857148507</v>
      </c>
    </row>
    <row r="1127" spans="3:7">
      <c r="C1127">
        <f ca="1"/>
        <v>-0.49257628951962151</v>
      </c>
      <c r="D1127">
        <f ca="1"/>
        <v>5.070377622874124E-2</v>
      </c>
      <c r="E1127">
        <f ca="1"/>
        <v>0.31448156880559869</v>
      </c>
      <c r="G1127">
        <f ca="1"/>
        <v>0.34410093103920275</v>
      </c>
    </row>
    <row r="1128" spans="3:7">
      <c r="C1128">
        <f ca="1"/>
        <v>0.13835649415085022</v>
      </c>
      <c r="D1128">
        <f ca="1"/>
        <v>-0.88520274761608297</v>
      </c>
      <c r="E1128">
        <f ca="1"/>
        <v>0.88734542474401146</v>
      </c>
      <c r="G1128">
        <f ca="1"/>
        <v>1.590108326674907</v>
      </c>
    </row>
    <row r="1129" spans="3:7">
      <c r="C1129">
        <f ca="1"/>
        <v>-0.49019876003484836</v>
      </c>
      <c r="D1129">
        <f ca="1"/>
        <v>0.86755204001115493</v>
      </c>
      <c r="E1129">
        <f ca="1"/>
        <v>1.2157564384661659</v>
      </c>
      <c r="G1129">
        <f ca="1"/>
        <v>2.4710050841391555</v>
      </c>
    </row>
    <row r="1130" spans="3:7">
      <c r="C1130">
        <f ca="1"/>
        <v>-1.643926789063979</v>
      </c>
      <c r="D1130">
        <f ca="1"/>
        <v>0.75275905930116427</v>
      </c>
      <c r="E1130">
        <f ca="1"/>
        <v>-4.70616380451798E-2</v>
      </c>
      <c r="G1130">
        <f ca="1"/>
        <v>3.2713562869376731</v>
      </c>
    </row>
    <row r="1131" spans="3:7">
      <c r="C1131">
        <f ca="1"/>
        <v>1.5279567325152561</v>
      </c>
      <c r="D1131">
        <f ca="1"/>
        <v>1.2083304924763374</v>
      </c>
      <c r="E1131">
        <f ca="1"/>
        <v>0.18208995784827317</v>
      </c>
      <c r="G1131">
        <f ca="1"/>
        <v>3.8278711082359922</v>
      </c>
    </row>
    <row r="1132" spans="3:7">
      <c r="C1132">
        <f ca="1"/>
        <v>0.852694432732923</v>
      </c>
      <c r="D1132">
        <f ca="1"/>
        <v>1.0725435740402776</v>
      </c>
      <c r="E1132">
        <f ca="1"/>
        <v>0.12495369982784724</v>
      </c>
      <c r="G1132">
        <f ca="1"/>
        <v>1.8930509409294816</v>
      </c>
    </row>
    <row r="1133" spans="3:7">
      <c r="C1133">
        <f ca="1"/>
        <v>3.7404309482828229</v>
      </c>
      <c r="D1133">
        <f ca="1"/>
        <v>0.76095955247062841</v>
      </c>
      <c r="E1133">
        <f ca="1"/>
        <v>-0.43133431485766865</v>
      </c>
      <c r="G1133">
        <f ca="1"/>
        <v>14.755932410541972</v>
      </c>
    </row>
    <row r="1134" spans="3:7">
      <c r="C1134">
        <f ca="1"/>
        <v>-0.94761982924807209</v>
      </c>
      <c r="D1134">
        <f ca="1"/>
        <v>-2.5148227428964596</v>
      </c>
      <c r="E1134">
        <f ca="1"/>
        <v>2.1939612328350497</v>
      </c>
      <c r="G1134">
        <f ca="1"/>
        <v>12.03578266015651</v>
      </c>
    </row>
    <row r="1135" spans="3:7">
      <c r="C1135">
        <f ca="1"/>
        <v>-1.4662907270837955</v>
      </c>
      <c r="D1135">
        <f ca="1"/>
        <v>1.2025163493606379</v>
      </c>
      <c r="E1135">
        <f ca="1"/>
        <v>-1.662091221192489</v>
      </c>
      <c r="G1135">
        <f ca="1"/>
        <v>6.358601294376701</v>
      </c>
    </row>
    <row r="1136" spans="3:7">
      <c r="C1136">
        <f ca="1"/>
        <v>0.30329560648126752</v>
      </c>
      <c r="D1136">
        <f ca="1"/>
        <v>-0.94038264135839722</v>
      </c>
      <c r="E1136">
        <f ca="1"/>
        <v>-1.9448388814412039</v>
      </c>
      <c r="G1136">
        <f ca="1"/>
        <v>4.7587060118445095</v>
      </c>
    </row>
    <row r="1137" spans="3:7">
      <c r="C1137">
        <f ca="1"/>
        <v>1.1963114442385616</v>
      </c>
      <c r="D1137">
        <f ca="1"/>
        <v>-0.42900511461259144</v>
      </c>
      <c r="E1137">
        <f ca="1"/>
        <v>-1.6016080425002299</v>
      </c>
      <c r="G1137">
        <f ca="1"/>
        <v>4.1803547817813342</v>
      </c>
    </row>
    <row r="1138" spans="3:7">
      <c r="C1138">
        <f ca="1"/>
        <v>-1.4174867007926266</v>
      </c>
      <c r="D1138">
        <f ca="1"/>
        <v>0.31736994326055845</v>
      </c>
      <c r="E1138">
        <f ca="1"/>
        <v>2.3850142649869932</v>
      </c>
      <c r="G1138">
        <f ca="1"/>
        <v>7.7982852720006228</v>
      </c>
    </row>
    <row r="1139" spans="3:7">
      <c r="C1139">
        <f ca="1"/>
        <v>-0.17887437927489006</v>
      </c>
      <c r="D1139">
        <f ca="1"/>
        <v>1.2954891492640153</v>
      </c>
      <c r="E1139">
        <f ca="1"/>
        <v>0.82971608222800908</v>
      </c>
      <c r="G1139">
        <f ca="1"/>
        <v>2.3987169565295758</v>
      </c>
    </row>
    <row r="1140" spans="3:7">
      <c r="C1140">
        <f ca="1"/>
        <v>1.640907572916563</v>
      </c>
      <c r="D1140">
        <f ca="1"/>
        <v>-0.95985110010479857</v>
      </c>
      <c r="E1140">
        <f ca="1"/>
        <v>0.264936404557503</v>
      </c>
      <c r="G1140">
        <f ca="1"/>
        <v>3.6840830956871744</v>
      </c>
    </row>
    <row r="1141" spans="3:7">
      <c r="C1141">
        <f ca="1"/>
        <v>-0.95573111103699759</v>
      </c>
      <c r="D1141">
        <f ca="1"/>
        <v>0.12236558299547802</v>
      </c>
      <c r="E1141">
        <f ca="1"/>
        <v>-0.76017576066848302</v>
      </c>
      <c r="G1141">
        <f ca="1"/>
        <v>1.5062624796137438</v>
      </c>
    </row>
    <row r="1142" spans="3:7">
      <c r="C1142">
        <f ca="1"/>
        <v>-0.99927865159184814</v>
      </c>
      <c r="D1142">
        <f ca="1"/>
        <v>-0.43176367256518211</v>
      </c>
      <c r="E1142">
        <f ca="1"/>
        <v>-1.2310681835302371</v>
      </c>
      <c r="G1142">
        <f ca="1"/>
        <v>2.7005065649746332</v>
      </c>
    </row>
    <row r="1143" spans="3:7">
      <c r="C1143">
        <f ca="1"/>
        <v>-1.8396078966113696</v>
      </c>
      <c r="D1143">
        <f ca="1"/>
        <v>-0.88424594574569049</v>
      </c>
      <c r="E1143">
        <f ca="1"/>
        <v>-0.20480689448719999</v>
      </c>
      <c r="G1143">
        <f ca="1"/>
        <v>4.2079939698720894</v>
      </c>
    </row>
    <row r="1144" spans="3:7">
      <c r="C1144">
        <f ca="1"/>
        <v>-1.3374705189170779</v>
      </c>
      <c r="D1144">
        <f ca="1"/>
        <v>-1.0566468873649533</v>
      </c>
      <c r="E1144">
        <f ca="1"/>
        <v>1.4541367572299861</v>
      </c>
      <c r="G1144">
        <f ca="1"/>
        <v>5.0198437422777014</v>
      </c>
    </row>
    <row r="1145" spans="3:7">
      <c r="C1145">
        <f ca="1"/>
        <v>0.91425058558806982</v>
      </c>
      <c r="D1145">
        <f ca="1"/>
        <v>0.67536816526310617</v>
      </c>
      <c r="E1145">
        <f ca="1"/>
        <v>-1.008696765824016</v>
      </c>
      <c r="G1145">
        <f ca="1"/>
        <v>2.3094454572828127</v>
      </c>
    </row>
    <row r="1146" spans="3:7">
      <c r="C1146">
        <f ca="1"/>
        <v>1.5187367004209829</v>
      </c>
      <c r="D1146">
        <f ca="1"/>
        <v>-1.2178948096622648</v>
      </c>
      <c r="E1146">
        <f ca="1"/>
        <v>-0.32028575394861591</v>
      </c>
      <c r="G1146">
        <f ca="1"/>
        <v>3.8924118967903318</v>
      </c>
    </row>
    <row r="1147" spans="3:7">
      <c r="C1147">
        <f ca="1"/>
        <v>-1.8470788313830733</v>
      </c>
      <c r="D1147">
        <f ca="1"/>
        <v>-0.59359013157496343</v>
      </c>
      <c r="E1147">
        <f ca="1"/>
        <v>1.0998457359654483</v>
      </c>
      <c r="G1147">
        <f ca="1"/>
        <v>4.9737100965680208</v>
      </c>
    </row>
    <row r="1148" spans="3:7">
      <c r="C1148">
        <f ca="1"/>
        <v>-1.8353211043103941</v>
      </c>
      <c r="D1148">
        <f ca="1"/>
        <v>9.920758903856533E-2</v>
      </c>
      <c r="E1148">
        <f ca="1"/>
        <v>1.5050383452132292</v>
      </c>
      <c r="G1148">
        <f ca="1"/>
        <v>5.6433861222121449</v>
      </c>
    </row>
    <row r="1149" spans="3:7">
      <c r="C1149">
        <f ca="1"/>
        <v>0.9154645357457758</v>
      </c>
      <c r="D1149">
        <f ca="1"/>
        <v>0.39191901688295039</v>
      </c>
      <c r="E1149">
        <f ca="1"/>
        <v>1.0559632414310467</v>
      </c>
      <c r="G1149">
        <f ca="1"/>
        <v>2.10673419925629</v>
      </c>
    </row>
    <row r="1150" spans="3:7">
      <c r="C1150">
        <f ca="1"/>
        <v>0.29468224269450916</v>
      </c>
      <c r="D1150">
        <f ca="1"/>
        <v>-5.7519262549473343E-2</v>
      </c>
      <c r="E1150">
        <f ca="1"/>
        <v>1.5745386719174774</v>
      </c>
      <c r="G1150">
        <f ca="1"/>
        <v>2.5693181190873542</v>
      </c>
    </row>
    <row r="1151" spans="3:7">
      <c r="C1151">
        <f ca="1"/>
        <v>-0.47883652454867676</v>
      </c>
      <c r="D1151">
        <f ca="1"/>
        <v>-0.66008562258996328</v>
      </c>
      <c r="E1151">
        <f ca="1"/>
        <v>-0.30940871408086856</v>
      </c>
      <c r="G1151">
        <f ca="1"/>
        <v>0.76073119874101169</v>
      </c>
    </row>
    <row r="1152" spans="3:7">
      <c r="C1152">
        <f ca="1"/>
        <v>1.1300847370855327</v>
      </c>
      <c r="D1152">
        <f ca="1"/>
        <v>0.96753034407159111</v>
      </c>
      <c r="E1152">
        <f ca="1"/>
        <v>-0.33447715476705436</v>
      </c>
      <c r="G1152">
        <f ca="1"/>
        <v>2.3250814467540328</v>
      </c>
    </row>
    <row r="1153" spans="3:7">
      <c r="C1153">
        <f ca="1"/>
        <v>0.69573201353427516</v>
      </c>
      <c r="D1153">
        <f ca="1"/>
        <v>1.2143339857588145</v>
      </c>
      <c r="E1153">
        <f ca="1"/>
        <v>0.22329347245559641</v>
      </c>
      <c r="G1153">
        <f ca="1"/>
        <v>2.0085100384666235</v>
      </c>
    </row>
    <row r="1154" spans="3:7">
      <c r="C1154">
        <f ca="1"/>
        <v>-1.2886014692195551</v>
      </c>
      <c r="D1154">
        <f ca="1"/>
        <v>0.19986527200065624</v>
      </c>
      <c r="E1154">
        <f ca="1"/>
        <v>-0.45203868418854565</v>
      </c>
      <c r="G1154">
        <f ca="1"/>
        <v>1.904778845429604</v>
      </c>
    </row>
    <row r="1155" spans="3:7">
      <c r="C1155">
        <f ca="1"/>
        <v>0.39234142349486895</v>
      </c>
      <c r="D1155">
        <f ca="1"/>
        <v>-1.3932254850706067</v>
      </c>
      <c r="E1155">
        <f ca="1"/>
        <v>-0.21741402024504725</v>
      </c>
      <c r="G1155">
        <f ca="1"/>
        <v>2.1422779010393209</v>
      </c>
    </row>
    <row r="1156" spans="3:7">
      <c r="C1156">
        <f ca="1"/>
        <v>-2.7057037800141353</v>
      </c>
      <c r="D1156">
        <f ca="1"/>
        <v>0.37252635424152442</v>
      </c>
      <c r="E1156">
        <f ca="1"/>
        <v>0.24330977008059454</v>
      </c>
      <c r="G1156">
        <f ca="1"/>
        <v>7.5188084740039338</v>
      </c>
    </row>
    <row r="1157" spans="3:7">
      <c r="C1157">
        <f ca="1"/>
        <v>-0.89878994871599061</v>
      </c>
      <c r="D1157">
        <f ca="1"/>
        <v>-0.4059779368072407</v>
      </c>
      <c r="E1157">
        <f ca="1"/>
        <v>-0.73254845018004899</v>
      </c>
      <c r="G1157">
        <f ca="1"/>
        <v>1.5092686889483486</v>
      </c>
    </row>
    <row r="1158" spans="3:7">
      <c r="C1158">
        <f ca="1"/>
        <v>0.29085203928568298</v>
      </c>
      <c r="D1158">
        <f ca="1"/>
        <v>4.6397718714428486E-2</v>
      </c>
      <c r="E1158">
        <f ca="1"/>
        <v>-0.1939497969401924</v>
      </c>
      <c r="G1158">
        <f ca="1"/>
        <v>0.12436418079168557</v>
      </c>
    </row>
    <row r="1159" spans="3:7">
      <c r="C1159">
        <f ca="1"/>
        <v>-2.1842820246060075</v>
      </c>
      <c r="D1159">
        <f ca="1"/>
        <v>-1.065645151900271</v>
      </c>
      <c r="E1159">
        <f ca="1"/>
        <v>0.50449787596281426</v>
      </c>
      <c r="G1159">
        <f ca="1"/>
        <v>6.1612056596364617</v>
      </c>
    </row>
    <row r="1160" spans="3:7">
      <c r="C1160">
        <f ca="1"/>
        <v>0.140576797124257</v>
      </c>
      <c r="D1160">
        <f ca="1"/>
        <v>0.55758261158245181</v>
      </c>
      <c r="E1160">
        <f ca="1"/>
        <v>-0.34187024044448588</v>
      </c>
      <c r="G1160">
        <f ca="1"/>
        <v>0.44753546593039245</v>
      </c>
    </row>
    <row r="1161" spans="3:7">
      <c r="C1161">
        <f ca="1"/>
        <v>0.14025481213702368</v>
      </c>
      <c r="D1161">
        <f ca="1"/>
        <v>-0.6049688779115372</v>
      </c>
      <c r="E1161">
        <f ca="1"/>
        <v>1.2905186287490189</v>
      </c>
      <c r="G1161">
        <f ca="1"/>
        <v>2.0510970867173843</v>
      </c>
    </row>
    <row r="1162" spans="3:7">
      <c r="C1162">
        <f ca="1"/>
        <v>-2.2377565177884726</v>
      </c>
      <c r="D1162">
        <f ca="1"/>
        <v>-1.1244150395206891</v>
      </c>
      <c r="E1162">
        <f ca="1"/>
        <v>-0.128849298262981</v>
      </c>
      <c r="G1162">
        <f ca="1"/>
        <v>6.2884655556679663</v>
      </c>
    </row>
    <row r="1163" spans="3:7">
      <c r="C1163">
        <f ca="1"/>
        <v>-0.62772255076030559</v>
      </c>
      <c r="D1163">
        <f ca="1"/>
        <v>0.83720032291254687</v>
      </c>
      <c r="E1163">
        <f ca="1"/>
        <v>-0.50633342843992502</v>
      </c>
      <c r="G1163">
        <f ca="1"/>
        <v>1.3513135221736257</v>
      </c>
    </row>
    <row r="1164" spans="3:7">
      <c r="C1164">
        <f ca="1"/>
        <v>0.94638890302995471</v>
      </c>
      <c r="D1164">
        <f ca="1"/>
        <v>0.5085497617361121</v>
      </c>
      <c r="E1164">
        <f ca="1"/>
        <v>8.6710057930416123E-3</v>
      </c>
      <c r="G1164">
        <f ca="1"/>
        <v>1.1543500022815603</v>
      </c>
    </row>
    <row r="1165" spans="3:7">
      <c r="C1165">
        <f ca="1"/>
        <v>0.88862643520314522</v>
      </c>
      <c r="D1165">
        <f ca="1"/>
        <v>-1.8522584678545746</v>
      </c>
      <c r="E1165">
        <f ca="1"/>
        <v>-0.88346841908127793</v>
      </c>
      <c r="G1165">
        <f ca="1"/>
        <v>5.0010348205947981</v>
      </c>
    </row>
    <row r="1166" spans="3:7">
      <c r="C1166">
        <f ca="1"/>
        <v>0.85693174342743994</v>
      </c>
      <c r="D1166">
        <f ca="1"/>
        <v>1.4473676173309288E-2</v>
      </c>
      <c r="E1166">
        <f ca="1"/>
        <v>0.61361359994617681</v>
      </c>
      <c r="G1166">
        <f ca="1"/>
        <v>1.1110631502344681</v>
      </c>
    </row>
    <row r="1167" spans="3:7">
      <c r="C1167">
        <f ca="1"/>
        <v>1.1055231368562934</v>
      </c>
      <c r="D1167">
        <f ca="1"/>
        <v>0.75067102553991172</v>
      </c>
      <c r="E1167">
        <f ca="1"/>
        <v>-0.81653374458044758</v>
      </c>
      <c r="G1167">
        <f ca="1"/>
        <v>2.4524157507482895</v>
      </c>
    </row>
    <row r="1168" spans="3:7">
      <c r="C1168">
        <f ca="1"/>
        <v>-3.0092761302137231E-2</v>
      </c>
      <c r="D1168">
        <f ca="1"/>
        <v>-0.68328484065974793</v>
      </c>
      <c r="E1168">
        <f ca="1"/>
        <v>1.0885446166713624</v>
      </c>
      <c r="G1168">
        <f ca="1"/>
        <v>1.6527131302424078</v>
      </c>
    </row>
    <row r="1169" spans="3:7">
      <c r="C1169">
        <f ca="1"/>
        <v>0.76831234226195189</v>
      </c>
      <c r="D1169">
        <f ca="1"/>
        <v>-1.3162616233255149</v>
      </c>
      <c r="E1169">
        <f ca="1"/>
        <v>-1.6119562792688964</v>
      </c>
      <c r="G1169">
        <f ca="1"/>
        <v>4.9212515625859909</v>
      </c>
    </row>
    <row r="1170" spans="3:7">
      <c r="C1170">
        <f ca="1"/>
        <v>0.42481439251068448</v>
      </c>
      <c r="D1170">
        <f ca="1"/>
        <v>-0.34297810524501304</v>
      </c>
      <c r="E1170">
        <f ca="1"/>
        <v>5.5461483410357677E-2</v>
      </c>
      <c r="G1170">
        <f ca="1"/>
        <v>0.30117722490375853</v>
      </c>
    </row>
    <row r="1171" spans="3:7">
      <c r="C1171">
        <f ca="1"/>
        <v>-0.85145187972396741</v>
      </c>
      <c r="D1171">
        <f ca="1"/>
        <v>0.37676282414872375</v>
      </c>
      <c r="E1171">
        <f ca="1"/>
        <v>-1.0823562862864096</v>
      </c>
      <c r="G1171">
        <f ca="1"/>
        <v>2.0384156596097078</v>
      </c>
    </row>
    <row r="1172" spans="3:7">
      <c r="C1172">
        <f ca="1"/>
        <v>-4.0424366497890593E-2</v>
      </c>
      <c r="D1172">
        <f ca="1"/>
        <v>1.460877177442133</v>
      </c>
      <c r="E1172">
        <f ca="1"/>
        <v>-1.2107955951486138</v>
      </c>
      <c r="G1172">
        <f ca="1"/>
        <v>3.601822230209335</v>
      </c>
    </row>
    <row r="1173" spans="3:7">
      <c r="C1173">
        <f ca="1"/>
        <v>-0.20420109011936266</v>
      </c>
      <c r="D1173">
        <f ca="1"/>
        <v>-0.64652682737831302</v>
      </c>
      <c r="E1173">
        <f ca="1"/>
        <v>0.98386314173557288</v>
      </c>
      <c r="G1173">
        <f ca="1"/>
        <v>1.4276817053915951</v>
      </c>
    </row>
    <row r="1174" spans="3:7">
      <c r="C1174">
        <f ca="1"/>
        <v>-0.81317603614691236</v>
      </c>
      <c r="D1174">
        <f ca="1"/>
        <v>0.20334465917525094</v>
      </c>
      <c r="E1174">
        <f ca="1"/>
        <v>1.283139057350827</v>
      </c>
      <c r="G1174">
        <f ca="1"/>
        <v>2.3490501566778725</v>
      </c>
    </row>
    <row r="1175" spans="3:7">
      <c r="C1175">
        <f ca="1"/>
        <v>-0.93661089533750219</v>
      </c>
      <c r="D1175">
        <f ca="1"/>
        <v>1.5496212375205125</v>
      </c>
      <c r="E1175">
        <f ca="1"/>
        <v>-0.76737345582365024</v>
      </c>
      <c r="G1175">
        <f ca="1"/>
        <v>3.8674279697422538</v>
      </c>
    </row>
    <row r="1176" spans="3:7">
      <c r="C1176">
        <f ca="1"/>
        <v>-0.97681100376069596</v>
      </c>
      <c r="D1176">
        <f ca="1"/>
        <v>-0.21546741700402117</v>
      </c>
      <c r="E1176">
        <f ca="1"/>
        <v>0.72589412118808938</v>
      </c>
      <c r="G1176">
        <f ca="1"/>
        <v>1.5275082200337917</v>
      </c>
    </row>
    <row r="1177" spans="3:7">
      <c r="C1177">
        <f ca="1"/>
        <v>0.54492380924150796</v>
      </c>
      <c r="D1177">
        <f ca="1"/>
        <v>-0.21687599288027548</v>
      </c>
      <c r="E1177">
        <f ca="1"/>
        <v>-0.89023265044450772</v>
      </c>
      <c r="G1177">
        <f ca="1"/>
        <v>1.1364913260835339</v>
      </c>
    </row>
    <row r="1178" spans="3:7">
      <c r="C1178">
        <f ca="1"/>
        <v>-0.38423051997919461</v>
      </c>
      <c r="D1178">
        <f ca="1"/>
        <v>-1.3293429130502941</v>
      </c>
      <c r="E1178">
        <f ca="1"/>
        <v>-1.5210137903351326</v>
      </c>
      <c r="G1178">
        <f ca="1"/>
        <v>4.2282686233501705</v>
      </c>
    </row>
    <row r="1179" spans="3:7">
      <c r="C1179">
        <f ca="1"/>
        <v>0.46458105237921943</v>
      </c>
      <c r="D1179">
        <f ca="1"/>
        <v>-0.53335305710852687</v>
      </c>
      <c r="E1179">
        <f ca="1"/>
        <v>-0.20387511209902048</v>
      </c>
      <c r="G1179">
        <f ca="1"/>
        <v>0.5418660990901828</v>
      </c>
    </row>
    <row r="1180" spans="3:7">
      <c r="C1180">
        <f ca="1"/>
        <v>0.44427920084760014</v>
      </c>
      <c r="D1180">
        <f ca="1"/>
        <v>0.50342886441849044</v>
      </c>
      <c r="E1180">
        <f ca="1"/>
        <v>1.5880716063883165</v>
      </c>
      <c r="G1180">
        <f ca="1"/>
        <v>2.9727960568522409</v>
      </c>
    </row>
    <row r="1181" spans="3:7">
      <c r="C1181">
        <f ca="1"/>
        <v>0.3610201376044927</v>
      </c>
      <c r="D1181">
        <f ca="1"/>
        <v>0.25655551825626571</v>
      </c>
      <c r="E1181">
        <f ca="1"/>
        <v>0.69700359476821427</v>
      </c>
      <c r="G1181">
        <f ca="1"/>
        <v>0.68197028482352096</v>
      </c>
    </row>
    <row r="1182" spans="3:7">
      <c r="C1182">
        <f ca="1"/>
        <v>0.15925646161256424</v>
      </c>
      <c r="D1182">
        <f ca="1"/>
        <v>-2.3682210598783188E-2</v>
      </c>
      <c r="E1182">
        <f ca="1"/>
        <v>-1.014745753710522</v>
      </c>
      <c r="G1182">
        <f ca="1"/>
        <v>1.0556324123377347</v>
      </c>
    </row>
    <row r="1183" spans="3:7">
      <c r="C1183">
        <f ca="1"/>
        <v>0.31169536821018884</v>
      </c>
      <c r="D1183">
        <f ca="1"/>
        <v>1.3608497352818298</v>
      </c>
      <c r="E1183">
        <f ca="1"/>
        <v>0.45033241140993507</v>
      </c>
      <c r="G1183">
        <f ca="1"/>
        <v>2.1518652853465987</v>
      </c>
    </row>
    <row r="1184" spans="3:7">
      <c r="C1184">
        <f ca="1"/>
        <v>-0.22961952312227804</v>
      </c>
      <c r="D1184">
        <f ca="1"/>
        <v>-0.57590861439553998</v>
      </c>
      <c r="E1184">
        <f ca="1"/>
        <v>-1.4466462358564334</v>
      </c>
      <c r="G1184">
        <f ca="1"/>
        <v>2.4771811892514806</v>
      </c>
    </row>
    <row r="1185" spans="3:7">
      <c r="C1185">
        <f ca="1"/>
        <v>1.3974714163154385</v>
      </c>
      <c r="D1185">
        <f ca="1"/>
        <v>1.4238522421062725</v>
      </c>
      <c r="E1185">
        <f ca="1"/>
        <v>-1.0253716095001173</v>
      </c>
      <c r="G1185">
        <f ca="1"/>
        <v>5.0316685043385974</v>
      </c>
    </row>
    <row r="1186" spans="3:7">
      <c r="C1186">
        <f ca="1"/>
        <v>-1.2971432813721429</v>
      </c>
      <c r="D1186">
        <f ca="1"/>
        <v>-0.72221804771209097</v>
      </c>
      <c r="E1186">
        <f ca="1"/>
        <v>-0.19580650740784633</v>
      </c>
      <c r="G1186">
        <f ca="1"/>
        <v>2.2425197891932136</v>
      </c>
    </row>
    <row r="1187" spans="3:7">
      <c r="C1187">
        <f ca="1"/>
        <v>-0.20141400863250133</v>
      </c>
      <c r="D1187">
        <f ca="1"/>
        <v>0.26190468321361293</v>
      </c>
      <c r="E1187">
        <f ca="1"/>
        <v>-0.39876790278233748</v>
      </c>
      <c r="G1187">
        <f ca="1"/>
        <v>0.26817750625206005</v>
      </c>
    </row>
    <row r="1188" spans="3:7">
      <c r="C1188">
        <f ca="1"/>
        <v>0.58379430185085135</v>
      </c>
      <c r="D1188">
        <f ca="1"/>
        <v>-1.5647019442953605</v>
      </c>
      <c r="E1188">
        <f ca="1"/>
        <v>0.78210294077160869</v>
      </c>
      <c r="G1188">
        <f ca="1"/>
        <v>3.4007929713188028</v>
      </c>
    </row>
    <row r="1189" spans="3:7">
      <c r="C1189">
        <f ca="1"/>
        <v>3.4394143032566334E-2</v>
      </c>
      <c r="D1189">
        <f ca="1"/>
        <v>0.56220398252901482</v>
      </c>
      <c r="E1189">
        <f ca="1"/>
        <v>4.2822315190895771E-2</v>
      </c>
      <c r="G1189">
        <f ca="1"/>
        <v>0.31909002572473788</v>
      </c>
    </row>
    <row r="1190" spans="3:7">
      <c r="C1190">
        <f ca="1"/>
        <v>-1.2081667355219659</v>
      </c>
      <c r="D1190">
        <f ca="1"/>
        <v>-0.14335232683791357</v>
      </c>
      <c r="E1190">
        <f ca="1"/>
        <v>0.63415572746749138</v>
      </c>
      <c r="G1190">
        <f ca="1"/>
        <v>1.8823702371114708</v>
      </c>
    </row>
    <row r="1191" spans="3:7">
      <c r="C1191">
        <f ca="1"/>
        <v>-0.51893287558435908</v>
      </c>
      <c r="D1191">
        <f ca="1"/>
        <v>0.49775545908071589</v>
      </c>
      <c r="E1191">
        <f ca="1"/>
        <v>0.57977547567566656</v>
      </c>
      <c r="G1191">
        <f ca="1"/>
        <v>0.8531914286018516</v>
      </c>
    </row>
    <row r="1192" spans="3:7">
      <c r="C1192">
        <f ca="1"/>
        <v>0.92018569227727331</v>
      </c>
      <c r="D1192">
        <f ca="1"/>
        <v>-2.8115835678038246</v>
      </c>
      <c r="E1192">
        <f ca="1"/>
        <v>1.8864265479440874</v>
      </c>
      <c r="G1192">
        <f ca="1"/>
        <v>12.310348987804534</v>
      </c>
    </row>
    <row r="1193" spans="3:7">
      <c r="C1193">
        <f ca="1"/>
        <v>-7.9854555620612444E-2</v>
      </c>
      <c r="D1193">
        <f ca="1"/>
        <v>-0.65577989359530242</v>
      </c>
      <c r="E1193">
        <f ca="1"/>
        <v>-0.57175957978821601</v>
      </c>
      <c r="G1193">
        <f ca="1"/>
        <v>0.763333035976829</v>
      </c>
    </row>
    <row r="1194" spans="3:7">
      <c r="C1194">
        <f ca="1"/>
        <v>0.91880979789193007</v>
      </c>
      <c r="D1194">
        <f ca="1"/>
        <v>-4.1294196422893205E-2</v>
      </c>
      <c r="E1194">
        <f ca="1"/>
        <v>-0.72691784846484475</v>
      </c>
      <c r="G1194">
        <f ca="1"/>
        <v>1.3743262137771808</v>
      </c>
    </row>
    <row r="1195" spans="3:7">
      <c r="C1195">
        <f ca="1"/>
        <v>-1.0207729551603755</v>
      </c>
      <c r="D1195">
        <f ca="1"/>
        <v>0.26308277082236503</v>
      </c>
      <c r="E1195">
        <f ca="1"/>
        <v>1.3848865537442205</v>
      </c>
      <c r="G1195">
        <f ca="1"/>
        <v>3.0291007370319631</v>
      </c>
    </row>
    <row r="1196" spans="3:7">
      <c r="C1196">
        <f ca="1"/>
        <v>0.8039734950084737</v>
      </c>
      <c r="D1196">
        <f ca="1"/>
        <v>0.65690074897350215</v>
      </c>
      <c r="E1196">
        <f ca="1"/>
        <v>0.40817745704205244</v>
      </c>
      <c r="G1196">
        <f ca="1"/>
        <v>1.244500811115405</v>
      </c>
    </row>
    <row r="1197" spans="3:7">
      <c r="C1197">
        <f ca="1"/>
        <v>0.45671024876742183</v>
      </c>
      <c r="D1197">
        <f ca="1"/>
        <v>-1.4594816629959195</v>
      </c>
      <c r="E1197">
        <f ca="1"/>
        <v>0.66021917515791084</v>
      </c>
      <c r="G1197">
        <f ca="1"/>
        <v>2.7745603351967274</v>
      </c>
    </row>
    <row r="1198" spans="3:7">
      <c r="C1198">
        <f ca="1"/>
        <v>0.14253503889553551</v>
      </c>
      <c r="D1198">
        <f ca="1"/>
        <v>-0.1758341710445992</v>
      </c>
      <c r="E1198">
        <f ca="1"/>
        <v>1.1709411729080323</v>
      </c>
      <c r="G1198">
        <f ca="1"/>
        <v>1.4223371234311317</v>
      </c>
    </row>
    <row r="1199" spans="3:7">
      <c r="C1199">
        <f ca="1"/>
        <v>-0.52666947370428285</v>
      </c>
      <c r="D1199">
        <f ca="1"/>
        <v>-1.0737609166875264</v>
      </c>
      <c r="E1199">
        <f ca="1"/>
        <v>1.0658960902440657</v>
      </c>
      <c r="G1199">
        <f ca="1"/>
        <v>2.5664777159351688</v>
      </c>
    </row>
    <row r="1200" spans="3:7">
      <c r="C1200">
        <f ca="1"/>
        <v>-9.3381910326311171E-2</v>
      </c>
      <c r="D1200">
        <f ca="1"/>
        <v>0.66306029586485693</v>
      </c>
      <c r="E1200">
        <f ca="1"/>
        <v>7.0447354286536937E-2</v>
      </c>
      <c r="G1200">
        <f ca="1"/>
        <v>0.45333196685455568</v>
      </c>
    </row>
    <row r="1201" spans="3:7">
      <c r="C1201">
        <f ca="1"/>
        <v>0.16278380801968786</v>
      </c>
      <c r="D1201">
        <f ca="1"/>
        <v>-1.5610784243815869</v>
      </c>
      <c r="E1201">
        <f ca="1"/>
        <v>-1.7178708702834342</v>
      </c>
      <c r="G1201">
        <f ca="1"/>
        <v>5.4145447421914525</v>
      </c>
    </row>
    <row r="1202" spans="3:7">
      <c r="C1202">
        <f ca="1"/>
        <v>-6.4500960043967645E-2</v>
      </c>
      <c r="D1202">
        <f ca="1"/>
        <v>-0.48924258272011345</v>
      </c>
      <c r="E1202">
        <f ca="1"/>
        <v>0.27675719832463647</v>
      </c>
      <c r="G1202">
        <f ca="1"/>
        <v>0.32011322541774273</v>
      </c>
    </row>
    <row r="1203" spans="3:7">
      <c r="C1203">
        <f ca="1"/>
        <v>1.772392153129895</v>
      </c>
      <c r="D1203">
        <f ca="1"/>
        <v>-1.7396730060574599</v>
      </c>
      <c r="E1203">
        <f ca="1"/>
        <v>1.456365628766136</v>
      </c>
      <c r="G1203">
        <f ca="1"/>
        <v>8.2888369571328067</v>
      </c>
    </row>
    <row r="1204" spans="3:7">
      <c r="C1204">
        <f ca="1"/>
        <v>-1.4067418332750616</v>
      </c>
      <c r="D1204">
        <f ca="1"/>
        <v>-0.37402261981170459</v>
      </c>
      <c r="E1204">
        <f ca="1"/>
        <v>-1.1515883435192034</v>
      </c>
      <c r="G1204">
        <f ca="1"/>
        <v>3.4449712185461947</v>
      </c>
    </row>
    <row r="1205" spans="3:7">
      <c r="C1205">
        <f ca="1"/>
        <v>0.69663964096061082</v>
      </c>
      <c r="D1205">
        <f ca="1"/>
        <v>1.0672762157224741E-2</v>
      </c>
      <c r="E1205">
        <f ca="1"/>
        <v>-1.4121459760723931</v>
      </c>
      <c r="G1205">
        <f ca="1"/>
        <v>2.4795769549472455</v>
      </c>
    </row>
    <row r="1206" spans="3:7">
      <c r="C1206">
        <f ca="1"/>
        <v>-0.83200168353899384</v>
      </c>
      <c r="D1206">
        <f ca="1"/>
        <v>0.2744085734318113</v>
      </c>
      <c r="E1206">
        <f ca="1"/>
        <v>3.7086610668684648E-2</v>
      </c>
      <c r="G1206">
        <f ca="1"/>
        <v>0.76890228327549248</v>
      </c>
    </row>
    <row r="1207" spans="3:7">
      <c r="C1207">
        <f ca="1"/>
        <v>0.69195381253105948</v>
      </c>
      <c r="D1207">
        <f ca="1"/>
        <v>-1.1307509169604855</v>
      </c>
      <c r="E1207">
        <f ca="1"/>
        <v>-0.78527388265407716</v>
      </c>
      <c r="G1207">
        <f ca="1"/>
        <v>2.3740527856618567</v>
      </c>
    </row>
    <row r="1208" spans="3:7">
      <c r="C1208">
        <f ca="1"/>
        <v>1.7635974607155835</v>
      </c>
      <c r="D1208">
        <f ca="1"/>
        <v>-1.1156842442957844</v>
      </c>
      <c r="E1208">
        <f ca="1"/>
        <v>0.57843909316546838</v>
      </c>
      <c r="G1208">
        <f ca="1"/>
        <v>4.6896191209143989</v>
      </c>
    </row>
    <row r="1209" spans="3:7">
      <c r="C1209">
        <f ca="1"/>
        <v>0.52549180689947017</v>
      </c>
      <c r="D1209">
        <f ca="1"/>
        <v>1.0761908025461548</v>
      </c>
      <c r="E1209">
        <f ca="1"/>
        <v>-1.6999648446005462</v>
      </c>
      <c r="G1209">
        <f ca="1"/>
        <v>4.3242087554811661</v>
      </c>
    </row>
    <row r="1210" spans="3:7">
      <c r="C1210">
        <f ca="1"/>
        <v>1.1115264492134356</v>
      </c>
      <c r="D1210">
        <f ca="1"/>
        <v>-1.3372715402949082</v>
      </c>
      <c r="E1210">
        <f ca="1"/>
        <v>-0.64290099630405795</v>
      </c>
      <c r="G1210">
        <f ca="1"/>
        <v>3.4371079108324949</v>
      </c>
    </row>
    <row r="1211" spans="3:7">
      <c r="C1211">
        <f ca="1"/>
        <v>-0.60808866066619816</v>
      </c>
      <c r="D1211">
        <f ca="1"/>
        <v>0.63776737105405701</v>
      </c>
      <c r="E1211">
        <f ca="1"/>
        <v>-2.343682878642888</v>
      </c>
      <c r="G1211">
        <f ca="1"/>
        <v>6.2693684744558276</v>
      </c>
    </row>
    <row r="1212" spans="3:7">
      <c r="C1212">
        <f ca="1"/>
        <v>0.46006985265678446</v>
      </c>
      <c r="D1212">
        <f ca="1"/>
        <v>1.8818451498493318</v>
      </c>
      <c r="E1212">
        <f ca="1"/>
        <v>-0.81006433871628725</v>
      </c>
      <c r="G1212">
        <f ca="1"/>
        <v>4.4092096701949455</v>
      </c>
    </row>
    <row r="1213" spans="3:7">
      <c r="C1213">
        <f ca="1"/>
        <v>-1.1792474345294002</v>
      </c>
      <c r="D1213">
        <f ca="1"/>
        <v>1.302481079307007</v>
      </c>
      <c r="E1213">
        <f ca="1"/>
        <v>0.58215570136543626</v>
      </c>
      <c r="G1213">
        <f ca="1"/>
        <v>3.4259867344292005</v>
      </c>
    </row>
    <row r="1214" spans="3:7">
      <c r="C1214">
        <f ca="1"/>
        <v>2.1421118028000818</v>
      </c>
      <c r="D1214">
        <f ca="1"/>
        <v>-0.6313311577957712</v>
      </c>
      <c r="E1214">
        <f ca="1"/>
        <v>1.2891814020863039</v>
      </c>
      <c r="G1214">
        <f ca="1"/>
        <v>6.649210693984374</v>
      </c>
    </row>
    <row r="1215" spans="3:7">
      <c r="C1215">
        <f ca="1"/>
        <v>-1.7088084828503862</v>
      </c>
      <c r="D1215">
        <f ca="1"/>
        <v>1.7884057792998207</v>
      </c>
      <c r="E1215">
        <f ca="1"/>
        <v>0.46238295903894333</v>
      </c>
      <c r="G1215">
        <f ca="1"/>
        <v>6.3322196633040466</v>
      </c>
    </row>
    <row r="1216" spans="3:7">
      <c r="C1216">
        <f ca="1"/>
        <v>-0.7149449494324347</v>
      </c>
      <c r="D1216">
        <f ca="1"/>
        <v>-0.71825825532350196</v>
      </c>
      <c r="E1216">
        <f ca="1"/>
        <v>-0.88594012795089672</v>
      </c>
      <c r="G1216">
        <f ca="1"/>
        <v>1.8119311123729589</v>
      </c>
    </row>
    <row r="1217" spans="3:7">
      <c r="C1217">
        <f ca="1"/>
        <v>1.4028792395719736</v>
      </c>
      <c r="D1217">
        <f ca="1"/>
        <v>1.3966831623217377</v>
      </c>
      <c r="E1217">
        <f ca="1"/>
        <v>0.32548555453463868</v>
      </c>
      <c r="G1217">
        <f ca="1"/>
        <v>4.0247348629458095</v>
      </c>
    </row>
    <row r="1218" spans="3:7">
      <c r="C1218">
        <f ca="1"/>
        <v>-0.4868752227775246</v>
      </c>
      <c r="D1218">
        <f ca="1"/>
        <v>-0.21744670787145284</v>
      </c>
      <c r="E1218">
        <f ca="1"/>
        <v>6.2395829738850973E-2</v>
      </c>
      <c r="G1218">
        <f ca="1"/>
        <v>0.28822379288759681</v>
      </c>
    </row>
    <row r="1219" spans="3:7">
      <c r="C1219">
        <f ca="1"/>
        <v>-0.19479622501889243</v>
      </c>
      <c r="D1219">
        <f ca="1"/>
        <v>0.33953751729112802</v>
      </c>
      <c r="E1219">
        <f ca="1"/>
        <v>0.17244892410175403</v>
      </c>
      <c r="G1219">
        <f ca="1"/>
        <v>0.18296992635368656</v>
      </c>
    </row>
    <row r="1220" spans="3:7">
      <c r="C1220">
        <f ca="1"/>
        <v>2.0885101107644344</v>
      </c>
      <c r="D1220">
        <f ca="1"/>
        <v>0.25692112081598545</v>
      </c>
      <c r="E1220">
        <f ca="1"/>
        <v>-1.0398194798773483E-2</v>
      </c>
      <c r="G1220">
        <f ca="1"/>
        <v>4.4279910675416856</v>
      </c>
    </row>
    <row r="1221" spans="3:7">
      <c r="C1221">
        <f ca="1"/>
        <v>-1.2799334629832397</v>
      </c>
      <c r="D1221">
        <f ca="1"/>
        <v>0.16785118593507253</v>
      </c>
      <c r="E1221">
        <f ca="1"/>
        <v>-0.97066198239178614</v>
      </c>
      <c r="G1221">
        <f ca="1"/>
        <v>2.6085883743448308</v>
      </c>
    </row>
    <row r="1222" spans="3:7">
      <c r="C1222">
        <f ca="1"/>
        <v>1.0466919274831565</v>
      </c>
      <c r="D1222">
        <f ca="1"/>
        <v>-0.59683883806370386</v>
      </c>
      <c r="E1222">
        <f ca="1"/>
        <v>2.2014042737092487</v>
      </c>
      <c r="G1222">
        <f ca="1"/>
        <v>6.2979613659849818</v>
      </c>
    </row>
    <row r="1223" spans="3:7">
      <c r="C1223">
        <f ca="1"/>
        <v>-1.4225202363883969</v>
      </c>
      <c r="D1223">
        <f ca="1"/>
        <v>0.73696672407847463</v>
      </c>
      <c r="E1223">
        <f ca="1"/>
        <v>-0.87996478352291962</v>
      </c>
      <c r="G1223">
        <f ca="1"/>
        <v>3.3410217955739978</v>
      </c>
    </row>
    <row r="1224" spans="3:7">
      <c r="C1224">
        <f ca="1"/>
        <v>0.32401822130363611</v>
      </c>
      <c r="D1224">
        <f ca="1"/>
        <v>-0.48956645949983757</v>
      </c>
      <c r="E1224">
        <f ca="1"/>
        <v>2.3659181256045878</v>
      </c>
      <c r="G1224">
        <f ca="1"/>
        <v>5.9422317030683045</v>
      </c>
    </row>
    <row r="1225" spans="3:7">
      <c r="C1225">
        <f ca="1"/>
        <v>0.71413033432516804</v>
      </c>
      <c r="D1225">
        <f ca="1"/>
        <v>0.46793960271990204</v>
      </c>
      <c r="E1225">
        <f ca="1"/>
        <v>-0.73151097796646825</v>
      </c>
      <c r="G1225">
        <f ca="1"/>
        <v>1.2640579170824946</v>
      </c>
    </row>
    <row r="1226" spans="3:7">
      <c r="C1226">
        <f ca="1"/>
        <v>0.32351950662719026</v>
      </c>
      <c r="D1226">
        <f ca="1"/>
        <v>0.15206435854029904</v>
      </c>
      <c r="E1226">
        <f ca="1"/>
        <v>-0.88990124114449254</v>
      </c>
      <c r="G1226">
        <f ca="1"/>
        <v>0.91971265929708146</v>
      </c>
    </row>
    <row r="1227" spans="3:7">
      <c r="C1227">
        <f ca="1"/>
        <v>1.0560624078886622</v>
      </c>
      <c r="D1227">
        <f ca="1"/>
        <v>0.17395134641341758</v>
      </c>
      <c r="E1227">
        <f ca="1"/>
        <v>0.48831883955787569</v>
      </c>
      <c r="G1227">
        <f ca="1"/>
        <v>1.3839821693417904</v>
      </c>
    </row>
    <row r="1228" spans="3:7">
      <c r="C1228">
        <f ca="1"/>
        <v>-0.34175868099193207</v>
      </c>
      <c r="D1228">
        <f ca="1"/>
        <v>-0.65637264161760678</v>
      </c>
      <c r="E1228">
        <f ca="1"/>
        <v>0.40739431816133143</v>
      </c>
      <c r="G1228">
        <f ca="1"/>
        <v>0.71359417116755663</v>
      </c>
    </row>
    <row r="1229" spans="3:7">
      <c r="C1229">
        <f ca="1"/>
        <v>-2.7942218913138816E-2</v>
      </c>
      <c r="D1229">
        <f ca="1"/>
        <v>0.89647880314744643</v>
      </c>
      <c r="E1229">
        <f ca="1"/>
        <v>-0.58706878341428703</v>
      </c>
      <c r="G1229">
        <f ca="1"/>
        <v>1.1491047685499989</v>
      </c>
    </row>
    <row r="1230" spans="3:7">
      <c r="C1230">
        <f ca="1"/>
        <v>-1.2980866969168516</v>
      </c>
      <c r="D1230">
        <f ca="1"/>
        <v>-0.38532986489293336</v>
      </c>
      <c r="E1230">
        <f ca="1"/>
        <v>-0.66273367484422219</v>
      </c>
      <c r="G1230">
        <f ca="1"/>
        <v>2.2727241012634356</v>
      </c>
    </row>
    <row r="1231" spans="3:7">
      <c r="C1231">
        <f ca="1"/>
        <v>-1.8539428029341947</v>
      </c>
      <c r="D1231">
        <f ca="1"/>
        <v>-2.2835816342667328</v>
      </c>
      <c r="E1231">
        <f ca="1"/>
        <v>-1.1885467821609499</v>
      </c>
      <c r="G1231">
        <f ca="1"/>
        <v>10.064492450296969</v>
      </c>
    </row>
    <row r="1232" spans="3:7">
      <c r="C1232">
        <f ca="1"/>
        <v>-4.7200650523263728E-2</v>
      </c>
      <c r="D1232">
        <f ca="1"/>
        <v>-0.24640949879698559</v>
      </c>
      <c r="E1232">
        <f ca="1"/>
        <v>-0.25567058612288546</v>
      </c>
      <c r="G1232">
        <f ca="1"/>
        <v>0.12831299111562072</v>
      </c>
    </row>
    <row r="1233" spans="3:7">
      <c r="C1233">
        <f ca="1"/>
        <v>-0.58454421919201283</v>
      </c>
      <c r="D1233">
        <f ca="1"/>
        <v>0.8428087050569969</v>
      </c>
      <c r="E1233">
        <f ca="1"/>
        <v>1.9037955637519901</v>
      </c>
      <c r="G1233">
        <f ca="1"/>
        <v>4.6764560060724101</v>
      </c>
    </row>
    <row r="1234" spans="3:7">
      <c r="C1234">
        <f ca="1"/>
        <v>-0.78661476102041406</v>
      </c>
      <c r="D1234">
        <f ca="1"/>
        <v>-0.96693731876795053</v>
      </c>
      <c r="E1234">
        <f ca="1"/>
        <v>-0.40759050483256182</v>
      </c>
      <c r="G1234">
        <f ca="1"/>
        <v>1.719860580311019</v>
      </c>
    </row>
    <row r="1235" spans="3:7">
      <c r="C1235">
        <f ca="1"/>
        <v>0.66045002982971834</v>
      </c>
      <c r="D1235">
        <f ca="1"/>
        <v>0.89590523014955059</v>
      </c>
      <c r="E1235">
        <f ca="1"/>
        <v>-1.067798870162441</v>
      </c>
      <c r="G1235">
        <f ca="1"/>
        <v>2.3790348504315806</v>
      </c>
    </row>
    <row r="1236" spans="3:7">
      <c r="C1236">
        <f ca="1"/>
        <v>0.56100022872546595</v>
      </c>
      <c r="D1236">
        <f ca="1"/>
        <v>-1.2717062434424014</v>
      </c>
      <c r="E1236">
        <f ca="1"/>
        <v>-0.57438812278069529</v>
      </c>
      <c r="G1236">
        <f ca="1"/>
        <v>2.2618797418319403</v>
      </c>
    </row>
    <row r="1237" spans="3:7">
      <c r="C1237">
        <f ca="1"/>
        <v>-0.48640132736337516</v>
      </c>
      <c r="D1237">
        <f ca="1"/>
        <v>1.0971444706742957</v>
      </c>
      <c r="E1237">
        <f ca="1"/>
        <v>-1.5488176661690978</v>
      </c>
      <c r="G1237">
        <f ca="1"/>
        <v>3.8391484038295243</v>
      </c>
    </row>
    <row r="1238" spans="3:7">
      <c r="C1238">
        <f ca="1"/>
        <v>-0.36567369855281495</v>
      </c>
      <c r="D1238">
        <f ca="1"/>
        <v>0.78397360013562045</v>
      </c>
      <c r="E1238">
        <f ca="1"/>
        <v>0.5357945108300799</v>
      </c>
      <c r="G1238">
        <f ca="1"/>
        <v>1.0354076173585454</v>
      </c>
    </row>
    <row r="1239" spans="3:7">
      <c r="C1239">
        <f ca="1"/>
        <v>-0.58259246844344537</v>
      </c>
      <c r="D1239">
        <f ca="1"/>
        <v>-1.3108895586332483</v>
      </c>
      <c r="E1239">
        <f ca="1"/>
        <v>-0.39417303844279461</v>
      </c>
      <c r="G1239">
        <f ca="1"/>
        <v>2.2132178034559242</v>
      </c>
    </row>
    <row r="1240" spans="3:7">
      <c r="C1240">
        <f ca="1"/>
        <v>-0.95969728220119088</v>
      </c>
      <c r="D1240">
        <f ca="1"/>
        <v>-0.15128075686456308</v>
      </c>
      <c r="E1240">
        <f ca="1"/>
        <v>-0.53351735104313236</v>
      </c>
      <c r="G1240">
        <f ca="1"/>
        <v>1.2285455047259481</v>
      </c>
    </row>
    <row r="1241" spans="3:7">
      <c r="C1241">
        <f ca="1"/>
        <v>0.74539447445161944</v>
      </c>
      <c r="D1241">
        <f ca="1"/>
        <v>0.53014854610018902</v>
      </c>
      <c r="E1241">
        <f ca="1"/>
        <v>1.4420278559911504</v>
      </c>
      <c r="G1241">
        <f ca="1"/>
        <v>2.9161147409295838</v>
      </c>
    </row>
    <row r="1242" spans="3:7">
      <c r="C1242">
        <f ca="1"/>
        <v>-0.87570688032065669</v>
      </c>
      <c r="D1242">
        <f ca="1"/>
        <v>-0.38951337170860012</v>
      </c>
      <c r="E1242">
        <f ca="1"/>
        <v>0.59404915151585447</v>
      </c>
      <c r="G1242">
        <f ca="1"/>
        <v>1.2714776013974456</v>
      </c>
    </row>
    <row r="1243" spans="3:7">
      <c r="C1243">
        <f ca="1"/>
        <v>0.68773627730940468</v>
      </c>
      <c r="D1243">
        <f ca="1"/>
        <v>0.2873120204513599</v>
      </c>
      <c r="E1243">
        <f ca="1"/>
        <v>-0.47635304824339009</v>
      </c>
      <c r="G1243">
        <f ca="1"/>
        <v>0.78244161079401064</v>
      </c>
    </row>
    <row r="1244" spans="3:7">
      <c r="C1244">
        <f ca="1"/>
        <v>-1.7133944161834586E-2</v>
      </c>
      <c r="D1244">
        <f ca="1"/>
        <v>-0.55535932641544195</v>
      </c>
      <c r="E1244">
        <f ca="1"/>
        <v>-0.91991048758223859</v>
      </c>
      <c r="G1244">
        <f ca="1"/>
        <v>1.1549528586429463</v>
      </c>
    </row>
    <row r="1245" spans="3:7">
      <c r="C1245">
        <f ca="1"/>
        <v>9.6043099664074955E-2</v>
      </c>
      <c r="D1245">
        <f ca="1"/>
        <v>0.40424686262049875</v>
      </c>
      <c r="E1245">
        <f ca="1"/>
        <v>-8.0530717694995355E-2</v>
      </c>
      <c r="G1245">
        <f ca="1"/>
        <v>0.17912499942407084</v>
      </c>
    </row>
    <row r="1246" spans="3:7">
      <c r="C1246">
        <f ca="1"/>
        <v>0.27735827178754519</v>
      </c>
      <c r="D1246">
        <f ca="1"/>
        <v>0.61572991350283801</v>
      </c>
      <c r="E1246">
        <f ca="1"/>
        <v>0.42851558181943761</v>
      </c>
      <c r="G1246">
        <f ca="1"/>
        <v>0.63967654117323725</v>
      </c>
    </row>
    <row r="1247" spans="3:7">
      <c r="C1247">
        <f ca="1"/>
        <v>0.12196463839548467</v>
      </c>
      <c r="D1247">
        <f ca="1"/>
        <v>0.73943631442591662</v>
      </c>
      <c r="E1247">
        <f ca="1"/>
        <v>-0.51324581575272699</v>
      </c>
      <c r="G1247">
        <f ca="1"/>
        <v>0.8250627034984066</v>
      </c>
    </row>
    <row r="1248" spans="3:7">
      <c r="C1248">
        <f ca="1"/>
        <v>0.78202371437478424</v>
      </c>
      <c r="D1248">
        <f ca="1"/>
        <v>-0.88269865324247465</v>
      </c>
      <c r="E1248">
        <f ca="1"/>
        <v>0.52023730195126949</v>
      </c>
      <c r="G1248">
        <f ca="1"/>
        <v>1.6613648526221492</v>
      </c>
    </row>
    <row r="1249" spans="3:7">
      <c r="C1249">
        <f ca="1"/>
        <v>1.9250993019990266</v>
      </c>
      <c r="D1249">
        <f ca="1"/>
        <v>-0.43434534358810395</v>
      </c>
      <c r="E1249">
        <f ca="1"/>
        <v>1.2726562558881627</v>
      </c>
      <c r="G1249">
        <f ca="1"/>
        <v>5.5143171457050837</v>
      </c>
    </row>
    <row r="1250" spans="3:7">
      <c r="C1250">
        <f ca="1"/>
        <v>-5.3778556873379728E-2</v>
      </c>
      <c r="D1250">
        <f ca="1"/>
        <v>-1.1212768557478874</v>
      </c>
      <c r="E1250">
        <f ca="1"/>
        <v>1.1564239475771489</v>
      </c>
      <c r="G1250">
        <f ca="1"/>
        <v>2.5974702669451686</v>
      </c>
    </row>
    <row r="1251" spans="3:7">
      <c r="C1251">
        <f ca="1"/>
        <v>-0.61737570477387516</v>
      </c>
      <c r="D1251">
        <f ca="1"/>
        <v>0.56069131862149779</v>
      </c>
      <c r="E1251">
        <f ca="1"/>
        <v>-2.5220180334933898E-2</v>
      </c>
      <c r="G1251">
        <f ca="1"/>
        <v>0.69616357311867971</v>
      </c>
    </row>
    <row r="1252" spans="3:7">
      <c r="C1252">
        <f ca="1"/>
        <v>-1.1047512509308548</v>
      </c>
      <c r="D1252">
        <f ca="1"/>
        <v>-1.9969665322115777</v>
      </c>
      <c r="E1252">
        <f ca="1"/>
        <v>0.82211495420440006</v>
      </c>
      <c r="G1252">
        <f ca="1"/>
        <v>5.8842236551329261</v>
      </c>
    </row>
    <row r="1253" spans="3:7">
      <c r="C1253">
        <f ca="1"/>
        <v>-1.1785015080087826</v>
      </c>
      <c r="D1253">
        <f ca="1"/>
        <v>0.46929682109866155</v>
      </c>
      <c r="E1253">
        <f ca="1"/>
        <v>-0.54200376801139771</v>
      </c>
      <c r="G1253">
        <f ca="1"/>
        <v>1.902873395210837</v>
      </c>
    </row>
    <row r="1254" spans="3:7">
      <c r="C1254">
        <f ca="1"/>
        <v>1.5693096855998596</v>
      </c>
      <c r="D1254">
        <f ca="1"/>
        <v>0.5483233869349422</v>
      </c>
      <c r="E1254">
        <f ca="1"/>
        <v>-1.342718015401754</v>
      </c>
      <c r="G1254">
        <f ca="1"/>
        <v>4.5662830948617614</v>
      </c>
    </row>
    <row r="1255" spans="3:7">
      <c r="C1255">
        <f ca="1"/>
        <v>0.54551125799882594</v>
      </c>
      <c r="D1255">
        <f ca="1"/>
        <v>0.66277562357667197</v>
      </c>
      <c r="E1255">
        <f ca="1"/>
        <v>-0.59239698970136434</v>
      </c>
      <c r="G1255">
        <f ca="1"/>
        <v>1.0877882532181464</v>
      </c>
    </row>
    <row r="1256" spans="3:7">
      <c r="C1256">
        <f ca="1"/>
        <v>1.4259514331498777</v>
      </c>
      <c r="D1256">
        <f ca="1"/>
        <v>0.46785970304363728</v>
      </c>
      <c r="E1256">
        <f ca="1"/>
        <v>-0.73778517205359129</v>
      </c>
      <c r="G1256">
        <f ca="1"/>
        <v>2.796557151536418</v>
      </c>
    </row>
    <row r="1257" spans="3:7">
      <c r="C1257">
        <f ca="1"/>
        <v>-1.6507500102044701</v>
      </c>
      <c r="D1257">
        <f ca="1"/>
        <v>-0.39026150106331997</v>
      </c>
      <c r="E1257">
        <f ca="1"/>
        <v>1.1144918486363058</v>
      </c>
      <c r="G1257">
        <f ca="1"/>
        <v>4.1193717160790237</v>
      </c>
    </row>
    <row r="1258" spans="3:7">
      <c r="C1258">
        <f ca="1"/>
        <v>-0.91454794003374451</v>
      </c>
      <c r="D1258">
        <f ca="1"/>
        <v>1.61002984497822</v>
      </c>
      <c r="E1258">
        <f ca="1"/>
        <v>-0.50631180685952959</v>
      </c>
      <c r="G1258">
        <f ca="1"/>
        <v>3.6849456821059183</v>
      </c>
    </row>
    <row r="1259" spans="3:7">
      <c r="C1259">
        <f ca="1"/>
        <v>-0.67552472930680285</v>
      </c>
      <c r="D1259">
        <f ca="1"/>
        <v>-0.26030016918607679</v>
      </c>
      <c r="E1259">
        <f ca="1"/>
        <v>-5.681933898546522E-2</v>
      </c>
      <c r="G1259">
        <f ca="1"/>
        <v>0.52731827526607467</v>
      </c>
    </row>
    <row r="1260" spans="3:7">
      <c r="C1260">
        <f ca="1"/>
        <v>1.0424570717276915</v>
      </c>
      <c r="D1260">
        <f ca="1"/>
        <v>0.40562413428510485</v>
      </c>
      <c r="E1260">
        <f ca="1"/>
        <v>0.9379460621287159</v>
      </c>
      <c r="G1260">
        <f ca="1"/>
        <v>2.1309905001723792</v>
      </c>
    </row>
    <row r="1261" spans="3:7">
      <c r="C1261">
        <f ca="1"/>
        <v>0.69616277155848649</v>
      </c>
      <c r="D1261">
        <f ca="1"/>
        <v>1.1895825822663721</v>
      </c>
      <c r="E1261">
        <f ca="1"/>
        <v>2.1747864924312852</v>
      </c>
      <c r="G1261">
        <f ca="1"/>
        <v>6.6294456121970962</v>
      </c>
    </row>
    <row r="1262" spans="3:7">
      <c r="C1262">
        <f ca="1"/>
        <v>0.49014316454578366</v>
      </c>
      <c r="D1262">
        <f ca="1"/>
        <v>0.30981483279540539</v>
      </c>
      <c r="E1262">
        <f ca="1"/>
        <v>-0.9038904385835459</v>
      </c>
      <c r="G1262">
        <f ca="1"/>
        <v>1.153243477333755</v>
      </c>
    </row>
    <row r="1263" spans="3:7">
      <c r="C1263">
        <f ca="1"/>
        <v>0.27608482811922286</v>
      </c>
      <c r="D1263">
        <f ca="1"/>
        <v>-1.520930514025961</v>
      </c>
      <c r="E1263">
        <f ca="1"/>
        <v>-3.0676395789064692</v>
      </c>
      <c r="G1263">
        <f ca="1"/>
        <v>11.799865046886353</v>
      </c>
    </row>
    <row r="1264" spans="3:7">
      <c r="C1264">
        <f ca="1"/>
        <v>0.52307415523756851</v>
      </c>
      <c r="D1264">
        <f ca="1"/>
        <v>0.49838722122594964</v>
      </c>
      <c r="E1264">
        <f ca="1"/>
        <v>4.8995880626059515E-2</v>
      </c>
      <c r="G1264">
        <f ca="1"/>
        <v>0.52439699047714272</v>
      </c>
    </row>
    <row r="1265" spans="3:7">
      <c r="C1265">
        <f ca="1"/>
        <v>-1.0516829026646706</v>
      </c>
      <c r="D1265">
        <f ca="1"/>
        <v>1.497211693914531</v>
      </c>
      <c r="E1265">
        <f ca="1"/>
        <v>0.46763086304920304</v>
      </c>
      <c r="G1265">
        <f ca="1"/>
        <v>3.5663584082277486</v>
      </c>
    </row>
    <row r="1266" spans="3:7">
      <c r="C1266">
        <f ca="1"/>
        <v>0.24994207533881474</v>
      </c>
      <c r="D1266">
        <f ca="1"/>
        <v>0.15530417341533434</v>
      </c>
      <c r="E1266">
        <f ca="1"/>
        <v>-1.9249859223847341</v>
      </c>
      <c r="G1266">
        <f ca="1"/>
        <v>3.7921612286842992</v>
      </c>
    </row>
    <row r="1267" spans="3:7">
      <c r="C1267">
        <f ca="1"/>
        <v>-0.23647706887335132</v>
      </c>
      <c r="D1267">
        <f ca="1"/>
        <v>0.62087181434302574</v>
      </c>
      <c r="E1267">
        <f ca="1"/>
        <v>0.51188648222098521</v>
      </c>
      <c r="G1267">
        <f ca="1"/>
        <v>0.70343098462910736</v>
      </c>
    </row>
    <row r="1268" spans="3:7">
      <c r="C1268">
        <f ca="1"/>
        <v>8.1709704093036323E-2</v>
      </c>
      <c r="D1268">
        <f ca="1"/>
        <v>-2.8093325786301849E-2</v>
      </c>
      <c r="E1268">
        <f ca="1"/>
        <v>-1.1276341420996763</v>
      </c>
      <c r="G1268">
        <f ca="1"/>
        <v>1.2790244691255799</v>
      </c>
    </row>
    <row r="1269" spans="3:7">
      <c r="C1269">
        <f ca="1"/>
        <v>-0.76636659962929909</v>
      </c>
      <c r="D1269">
        <f ca="1"/>
        <v>0.4507421397414943</v>
      </c>
      <c r="E1269">
        <f ca="1"/>
        <v>1.5473772618943746</v>
      </c>
      <c r="G1269">
        <f ca="1"/>
        <v>3.1848626321938474</v>
      </c>
    </row>
    <row r="1270" spans="3:7">
      <c r="C1270">
        <f ca="1"/>
        <v>-0.79282427486589324</v>
      </c>
      <c r="D1270">
        <f ca="1"/>
        <v>0.28799619975932023</v>
      </c>
      <c r="E1270">
        <f ca="1"/>
        <v>0.30343661540392114</v>
      </c>
      <c r="G1270">
        <f ca="1"/>
        <v>0.80358592146022689</v>
      </c>
    </row>
    <row r="1271" spans="3:7">
      <c r="C1271">
        <f ca="1"/>
        <v>0.6332321986562004</v>
      </c>
      <c r="D1271">
        <f ca="1"/>
        <v>-5.3252225500922082E-2</v>
      </c>
      <c r="E1271">
        <f ca="1"/>
        <v>1.4224684891913497</v>
      </c>
      <c r="G1271">
        <f ca="1"/>
        <v>2.4272354196780879</v>
      </c>
    </row>
    <row r="1272" spans="3:7">
      <c r="C1272">
        <f ca="1"/>
        <v>0.44063768788274899</v>
      </c>
      <c r="D1272">
        <f ca="1"/>
        <v>0.79128914727035504</v>
      </c>
      <c r="E1272">
        <f ca="1"/>
        <v>1.3381217782341572</v>
      </c>
      <c r="G1272">
        <f ca="1"/>
        <v>2.6108699799550434</v>
      </c>
    </row>
    <row r="1273" spans="3:7">
      <c r="C1273">
        <f ca="1"/>
        <v>-1.9350558320568692</v>
      </c>
      <c r="D1273">
        <f ca="1"/>
        <v>-0.89083968683257475</v>
      </c>
      <c r="E1273">
        <f ca="1"/>
        <v>0.28657178649719767</v>
      </c>
      <c r="G1273">
        <f ca="1"/>
        <v>4.6201598096294569</v>
      </c>
    </row>
    <row r="1274" spans="3:7">
      <c r="C1274">
        <f ca="1"/>
        <v>-0.28359032558094077</v>
      </c>
      <c r="D1274">
        <f ca="1"/>
        <v>0.48612121603941894</v>
      </c>
      <c r="E1274">
        <f ca="1"/>
        <v>-1.3787697524389722</v>
      </c>
      <c r="G1274">
        <f ca="1"/>
        <v>2.217743339687372</v>
      </c>
    </row>
    <row r="1275" spans="3:7">
      <c r="C1275">
        <f ca="1"/>
        <v>1.0943132723115918</v>
      </c>
      <c r="D1275">
        <f ca="1"/>
        <v>-2.0124402364973804E-2</v>
      </c>
      <c r="E1275">
        <f ca="1"/>
        <v>-1.3427068989468929</v>
      </c>
      <c r="G1275">
        <f ca="1"/>
        <v>3.0007883460074329</v>
      </c>
    </row>
    <row r="1276" spans="3:7">
      <c r="C1276">
        <f ca="1"/>
        <v>-0.58771880880869876</v>
      </c>
      <c r="D1276">
        <f ca="1"/>
        <v>-0.47162420650763104</v>
      </c>
      <c r="E1276">
        <f ca="1"/>
        <v>1.2578718606501631</v>
      </c>
      <c r="G1276">
        <f ca="1"/>
        <v>2.1500844082069719</v>
      </c>
    </row>
    <row r="1277" spans="3:7">
      <c r="C1277">
        <f ca="1"/>
        <v>0.37113062820403347</v>
      </c>
      <c r="D1277">
        <f ca="1"/>
        <v>-1.6854783452981146</v>
      </c>
      <c r="E1277">
        <f ca="1"/>
        <v>-0.12236607519486041</v>
      </c>
      <c r="G1277">
        <f ca="1"/>
        <v>2.993548652018585</v>
      </c>
    </row>
    <row r="1278" spans="3:7">
      <c r="C1278">
        <f ca="1"/>
        <v>0.51390118694977094</v>
      </c>
      <c r="D1278">
        <f ca="1"/>
        <v>1.149929982483991</v>
      </c>
      <c r="E1278">
        <f ca="1"/>
        <v>-1.1187340015851435</v>
      </c>
      <c r="G1278">
        <f ca="1"/>
        <v>2.837999160866723</v>
      </c>
    </row>
    <row r="1279" spans="3:7">
      <c r="C1279">
        <f ca="1"/>
        <v>-0.50051055756003038</v>
      </c>
      <c r="D1279">
        <f ca="1"/>
        <v>1.0686687401434856</v>
      </c>
      <c r="E1279">
        <f ca="1"/>
        <v>-1.3380105014232706</v>
      </c>
      <c r="G1279">
        <f ca="1"/>
        <v>3.1828357963078693</v>
      </c>
    </row>
    <row r="1280" spans="3:7">
      <c r="C1280">
        <f ca="1"/>
        <v>-0.6398073007851901</v>
      </c>
      <c r="D1280">
        <f ca="1"/>
        <v>-0.23094619771148678</v>
      </c>
      <c r="E1280">
        <f ca="1"/>
        <v>-0.21320340873969507</v>
      </c>
      <c r="G1280">
        <f ca="1"/>
        <v>0.5081452218736493</v>
      </c>
    </row>
    <row r="1281" spans="3:7">
      <c r="C1281">
        <f ca="1"/>
        <v>0.37941166951150307</v>
      </c>
      <c r="D1281">
        <f ca="1"/>
        <v>0.17546429651077908</v>
      </c>
      <c r="E1281">
        <f ca="1"/>
        <v>-1.7838153230921288</v>
      </c>
      <c r="G1281">
        <f ca="1"/>
        <v>3.356738041209804</v>
      </c>
    </row>
    <row r="1282" spans="3:7">
      <c r="C1282">
        <f ca="1"/>
        <v>1.4067642319796405</v>
      </c>
      <c r="D1282">
        <f ca="1"/>
        <v>-1.8207899208795946</v>
      </c>
      <c r="E1282">
        <f ca="1"/>
        <v>1.0787126414566517</v>
      </c>
      <c r="G1282">
        <f ca="1"/>
        <v>6.4578825031923746</v>
      </c>
    </row>
    <row r="1283" spans="3:7">
      <c r="C1283">
        <f ca="1"/>
        <v>1.1070213644470832</v>
      </c>
      <c r="D1283">
        <f ca="1"/>
        <v>-1.4129505897174983</v>
      </c>
      <c r="E1283">
        <f ca="1"/>
        <v>1.2850431265576986E-3</v>
      </c>
      <c r="G1283">
        <f ca="1"/>
        <v>3.2219273216611453</v>
      </c>
    </row>
    <row r="1284" spans="3:7">
      <c r="C1284">
        <f ca="1"/>
        <v>1.3243962032313858</v>
      </c>
      <c r="D1284">
        <f ca="1"/>
        <v>-0.80689075935489529</v>
      </c>
      <c r="E1284">
        <f ca="1"/>
        <v>0.55192924739988736</v>
      </c>
      <c r="G1284">
        <f ca="1"/>
        <v>2.7097238948014359</v>
      </c>
    </row>
    <row r="1285" spans="3:7">
      <c r="C1285">
        <f ca="1"/>
        <v>1.5032891077071706</v>
      </c>
      <c r="D1285">
        <f ca="1"/>
        <v>2.4039866866992083</v>
      </c>
      <c r="E1285">
        <f ca="1"/>
        <v>-1.107759108010036</v>
      </c>
      <c r="G1285">
        <f ca="1"/>
        <v>9.2661603725572501</v>
      </c>
    </row>
    <row r="1286" spans="3:7">
      <c r="C1286">
        <f ca="1"/>
        <v>-2.8343996260162108</v>
      </c>
      <c r="D1286">
        <f ca="1"/>
        <v>-0.23930883450642648</v>
      </c>
      <c r="E1286">
        <f ca="1"/>
        <v>0.5999243321795934</v>
      </c>
      <c r="G1286">
        <f ca="1"/>
        <v>8.4509991625747904</v>
      </c>
    </row>
    <row r="1287" spans="3:7">
      <c r="C1287">
        <f ca="1"/>
        <v>0.3524513299112137</v>
      </c>
      <c r="D1287">
        <f ca="1"/>
        <v>-0.68886046472394402</v>
      </c>
      <c r="E1287">
        <f ca="1"/>
        <v>0.39380489522414169</v>
      </c>
      <c r="G1287">
        <f ca="1"/>
        <v>0.75383297531836846</v>
      </c>
    </row>
    <row r="1288" spans="3:7">
      <c r="C1288">
        <f ca="1"/>
        <v>0.766284771057961</v>
      </c>
      <c r="D1288">
        <f ca="1"/>
        <v>0.34924118680411143</v>
      </c>
      <c r="E1288">
        <f ca="1"/>
        <v>0.5442791014572641</v>
      </c>
      <c r="G1288">
        <f ca="1"/>
        <v>1.0054014971988228</v>
      </c>
    </row>
    <row r="1289" spans="3:7">
      <c r="C1289">
        <f ca="1"/>
        <v>-2.0114891188019617</v>
      </c>
      <c r="D1289">
        <f ca="1"/>
        <v>-0.455694149734999</v>
      </c>
      <c r="E1289">
        <f ca="1"/>
        <v>1.6529248714499449</v>
      </c>
      <c r="G1289">
        <f ca="1"/>
        <v>6.9859062638192126</v>
      </c>
    </row>
    <row r="1290" spans="3:7">
      <c r="C1290">
        <f ca="1"/>
        <v>0.88175355359715579</v>
      </c>
      <c r="D1290">
        <f ca="1"/>
        <v>1.2234723155459162</v>
      </c>
      <c r="E1290">
        <f ca="1"/>
        <v>7.8780813063594413E-2</v>
      </c>
      <c r="G1290">
        <f ca="1"/>
        <v>2.2805802526954593</v>
      </c>
    </row>
    <row r="1291" spans="3:7">
      <c r="C1291">
        <f ca="1"/>
        <v>-1.3383219458549829</v>
      </c>
      <c r="D1291">
        <f ca="1"/>
        <v>1.3772006586334624</v>
      </c>
      <c r="E1291">
        <f ca="1"/>
        <v>0.2999438784593671</v>
      </c>
      <c r="G1291">
        <f ca="1"/>
        <v>3.7777536151227578</v>
      </c>
    </row>
    <row r="1292" spans="3:7">
      <c r="C1292">
        <f ca="1"/>
        <v>-0.28698643378984462</v>
      </c>
      <c r="D1292">
        <f ca="1"/>
        <v>0.4616393496873849</v>
      </c>
      <c r="E1292">
        <f ca="1"/>
        <v>-0.8949698342323047</v>
      </c>
      <c r="G1292">
        <f ca="1"/>
        <v>1.0964431065450033</v>
      </c>
    </row>
    <row r="1293" spans="3:7">
      <c r="C1293">
        <f ca="1"/>
        <v>1.5458545643758028</v>
      </c>
      <c r="D1293">
        <f ca="1"/>
        <v>-1.0417414714269542</v>
      </c>
      <c r="E1293">
        <f ca="1"/>
        <v>-0.48041072530914741</v>
      </c>
      <c r="G1293">
        <f ca="1"/>
        <v>3.7056860924843598</v>
      </c>
    </row>
    <row r="1294" spans="3:7">
      <c r="C1294">
        <f ca="1"/>
        <v>-1.5855885187918324</v>
      </c>
      <c r="D1294">
        <f ca="1"/>
        <v>0.18486180091356774</v>
      </c>
      <c r="E1294">
        <f ca="1"/>
        <v>-2.6579756408396804</v>
      </c>
      <c r="G1294">
        <f ca="1"/>
        <v>9.6130993436585932</v>
      </c>
    </row>
    <row r="1295" spans="3:7">
      <c r="C1295">
        <f ca="1"/>
        <v>0.80081452041156409</v>
      </c>
      <c r="D1295">
        <f ca="1"/>
        <v>1.2330111235685435</v>
      </c>
      <c r="E1295">
        <f ca="1"/>
        <v>-0.64978492813637689</v>
      </c>
      <c r="G1295">
        <f ca="1"/>
        <v>2.5838407797789622</v>
      </c>
    </row>
    <row r="1296" spans="3:7">
      <c r="C1296">
        <f ca="1"/>
        <v>-0.5598438472102335</v>
      </c>
      <c r="D1296">
        <f ca="1"/>
        <v>0.60283687780277595</v>
      </c>
      <c r="E1296">
        <f ca="1"/>
        <v>-6.3755170475418496E-2</v>
      </c>
      <c r="G1296">
        <f ca="1"/>
        <v>0.68090215626050388</v>
      </c>
    </row>
    <row r="1297" spans="3:7">
      <c r="C1297">
        <f ca="1"/>
        <v>-0.15152726919954923</v>
      </c>
      <c r="D1297">
        <f ca="1"/>
        <v>-0.87610472731579758</v>
      </c>
      <c r="E1297">
        <f ca="1"/>
        <v>-1.6983329449537947</v>
      </c>
      <c r="G1297">
        <f ca="1"/>
        <v>3.67485479845159</v>
      </c>
    </row>
    <row r="1298" spans="3:7">
      <c r="C1298">
        <f ca="1"/>
        <v>0.58113098992933088</v>
      </c>
      <c r="D1298">
        <f ca="1"/>
        <v>-1.8090180620995419E-2</v>
      </c>
      <c r="E1298">
        <f ca="1"/>
        <v>0.7595073491606118</v>
      </c>
      <c r="G1298">
        <f ca="1"/>
        <v>0.91489189552012373</v>
      </c>
    </row>
    <row r="1299" spans="3:7">
      <c r="C1299">
        <f ca="1"/>
        <v>-1.446306676609638</v>
      </c>
      <c r="D1299">
        <f ca="1"/>
        <v>0.12688109006124998</v>
      </c>
      <c r="E1299">
        <f ca="1"/>
        <v>0.52435891053762829</v>
      </c>
      <c r="G1299">
        <f ca="1"/>
        <v>2.3828540808809553</v>
      </c>
    </row>
    <row r="1300" spans="3:7">
      <c r="C1300">
        <f ca="1"/>
        <v>0.67909784441382326</v>
      </c>
      <c r="D1300">
        <f ca="1"/>
        <v>1.1534191052893583</v>
      </c>
      <c r="E1300">
        <f ca="1"/>
        <v>6.9654362978836135E-2</v>
      </c>
      <c r="G1300">
        <f ca="1"/>
        <v>1.7964012450159927</v>
      </c>
    </row>
    <row r="1301" spans="3:7">
      <c r="C1301">
        <f ca="1"/>
        <v>-0.84011573898101033</v>
      </c>
      <c r="D1301">
        <f ca="1"/>
        <v>1.3100070653532772</v>
      </c>
      <c r="E1301">
        <f ca="1"/>
        <v>-0.77458059620210928</v>
      </c>
      <c r="G1301">
        <f ca="1"/>
        <v>3.0218880661719294</v>
      </c>
    </row>
    <row r="1302" spans="3:7">
      <c r="C1302">
        <f ca="1"/>
        <v>1.1777137920355585</v>
      </c>
      <c r="D1302">
        <f ca="1"/>
        <v>-0.29294655017999699</v>
      </c>
      <c r="E1302">
        <f ca="1"/>
        <v>-1.899641206563055</v>
      </c>
      <c r="G1302">
        <f ca="1"/>
        <v>5.081464170885476</v>
      </c>
    </row>
    <row r="1303" spans="3:7">
      <c r="C1303">
        <f ca="1"/>
        <v>-0.11875054461160417</v>
      </c>
      <c r="D1303">
        <f ca="1"/>
        <v>-0.33416079308025576</v>
      </c>
      <c r="E1303">
        <f ca="1"/>
        <v>-1.580199926976634</v>
      </c>
      <c r="G1303">
        <f ca="1"/>
        <v>2.6227969366945376</v>
      </c>
    </row>
    <row r="1304" spans="3:7">
      <c r="C1304">
        <f ca="1"/>
        <v>0.73994443214060812</v>
      </c>
      <c r="D1304">
        <f ca="1"/>
        <v>0.40662112726603733</v>
      </c>
      <c r="E1304">
        <f ca="1"/>
        <v>-0.16630504681783492</v>
      </c>
      <c r="G1304">
        <f ca="1"/>
        <v>0.74051587239207217</v>
      </c>
    </row>
    <row r="1305" spans="3:7">
      <c r="C1305">
        <f ca="1"/>
        <v>-0.53099369120946427</v>
      </c>
      <c r="D1305">
        <f ca="1"/>
        <v>-1.3180283106652573</v>
      </c>
      <c r="E1305">
        <f ca="1"/>
        <v>1.2126584242908645</v>
      </c>
      <c r="G1305">
        <f ca="1"/>
        <v>3.4896933818229661</v>
      </c>
    </row>
    <row r="1306" spans="3:7">
      <c r="C1306">
        <f ca="1"/>
        <v>0.48523921872547016</v>
      </c>
      <c r="D1306">
        <f ca="1"/>
        <v>1.4875193638586459</v>
      </c>
      <c r="E1306">
        <f ca="1"/>
        <v>-0.11449484968980304</v>
      </c>
      <c r="G1306">
        <f ca="1"/>
        <v>2.4612800278492255</v>
      </c>
    </row>
    <row r="1307" spans="3:7">
      <c r="C1307">
        <f ca="1"/>
        <v>0.16220210800863905</v>
      </c>
      <c r="D1307">
        <f ca="1"/>
        <v>0.17336973260786784</v>
      </c>
      <c r="E1307">
        <f ca="1"/>
        <v>-0.93034165288619519</v>
      </c>
      <c r="G1307">
        <f ca="1"/>
        <v>0.92190217912198746</v>
      </c>
    </row>
    <row r="1308" spans="3:7">
      <c r="C1308">
        <f ca="1"/>
        <v>0.95646925981573605</v>
      </c>
      <c r="D1308">
        <f ca="1"/>
        <v>0.10241763154947719</v>
      </c>
      <c r="E1308">
        <f ca="1"/>
        <v>0.56665675675513283</v>
      </c>
      <c r="G1308">
        <f ca="1"/>
        <v>1.2464226962009124</v>
      </c>
    </row>
    <row r="1309" spans="3:7">
      <c r="C1309">
        <f ca="1"/>
        <v>0.33338046939896293</v>
      </c>
      <c r="D1309">
        <f ca="1"/>
        <v>-0.16907599218277081</v>
      </c>
      <c r="E1309">
        <f ca="1"/>
        <v>0.2428367960290487</v>
      </c>
      <c r="G1309">
        <f ca="1"/>
        <v>0.19869893801491503</v>
      </c>
    </row>
    <row r="1310" spans="3:7">
      <c r="C1310">
        <f ca="1"/>
        <v>-0.53874011621966422</v>
      </c>
      <c r="D1310">
        <f ca="1"/>
        <v>-0.25909669331007684</v>
      </c>
      <c r="E1310">
        <f ca="1"/>
        <v>0.60531491712403773</v>
      </c>
      <c r="G1310">
        <f ca="1"/>
        <v>0.72377815820147395</v>
      </c>
    </row>
    <row r="1311" spans="3:7">
      <c r="C1311">
        <f ca="1"/>
        <v>0.33949792531573719</v>
      </c>
      <c r="D1311">
        <f ca="1"/>
        <v>0.88071361406960713</v>
      </c>
      <c r="E1311">
        <f ca="1"/>
        <v>-1.0706502572787042</v>
      </c>
      <c r="G1311">
        <f ca="1"/>
        <v>2.0372072847121943</v>
      </c>
    </row>
    <row r="1312" spans="3:7">
      <c r="C1312">
        <f ca="1"/>
        <v>-0.53584916153016848</v>
      </c>
      <c r="D1312">
        <f ca="1"/>
        <v>-0.11739036772196752</v>
      </c>
      <c r="E1312">
        <f ca="1"/>
        <v>1.4882712386434949</v>
      </c>
      <c r="G1312">
        <f ca="1"/>
        <v>2.5158661021199258</v>
      </c>
    </row>
    <row r="1313" spans="3:7">
      <c r="C1313">
        <f ca="1"/>
        <v>-0.77039925303243506</v>
      </c>
      <c r="D1313">
        <f ca="1"/>
        <v>-0.36623128217588069</v>
      </c>
      <c r="E1313">
        <f ca="1"/>
        <v>1.8846735012994182</v>
      </c>
      <c r="G1313">
        <f ca="1"/>
        <v>4.2796345676173315</v>
      </c>
    </row>
    <row r="1314" spans="3:7">
      <c r="C1314">
        <f ca="1"/>
        <v>0.18016329259797598</v>
      </c>
      <c r="D1314">
        <f ca="1"/>
        <v>0.11753580692980364</v>
      </c>
      <c r="E1314">
        <f ca="1"/>
        <v>-1.8947456180996609</v>
      </c>
      <c r="G1314">
        <f ca="1"/>
        <v>3.6363344352182501</v>
      </c>
    </row>
    <row r="1315" spans="3:7">
      <c r="C1315">
        <f ca="1"/>
        <v>-0.33159764259258351</v>
      </c>
      <c r="D1315">
        <f ca="1"/>
        <v>-0.30236260135425724</v>
      </c>
      <c r="E1315">
        <f ca="1"/>
        <v>-0.63472907669475009</v>
      </c>
      <c r="G1315">
        <f ca="1"/>
        <v>0.60426114007244225</v>
      </c>
    </row>
    <row r="1316" spans="3:7">
      <c r="C1316">
        <f ca="1"/>
        <v>0.2880671607036242</v>
      </c>
      <c r="D1316">
        <f ca="1"/>
        <v>-0.90780758403180262</v>
      </c>
      <c r="E1316">
        <f ca="1"/>
        <v>1.1939651801373001</v>
      </c>
      <c r="G1316">
        <f ca="1"/>
        <v>2.3326501500818013</v>
      </c>
    </row>
    <row r="1317" spans="3:7">
      <c r="C1317">
        <f ca="1"/>
        <v>0.34819168526942024</v>
      </c>
      <c r="D1317">
        <f ca="1"/>
        <v>-1.4760610826825107</v>
      </c>
      <c r="E1317">
        <f ca="1"/>
        <v>-1.8975329043537279</v>
      </c>
      <c r="G1317">
        <f ca="1"/>
        <v>5.9006248926057188</v>
      </c>
    </row>
    <row r="1318" spans="3:7">
      <c r="C1318">
        <f ca="1"/>
        <v>-1.0810445275405995</v>
      </c>
      <c r="D1318">
        <f ca="1"/>
        <v>2.0554328223098906</v>
      </c>
      <c r="E1318">
        <f ca="1"/>
        <v>0.77063055183284046</v>
      </c>
      <c r="G1318">
        <f ca="1"/>
        <v>5.9873328049724677</v>
      </c>
    </row>
    <row r="1319" spans="3:7">
      <c r="C1319">
        <f ca="1"/>
        <v>-0.348905802436415</v>
      </c>
      <c r="D1319">
        <f ca="1"/>
        <v>-1.1058290600640053</v>
      </c>
      <c r="E1319">
        <f ca="1"/>
        <v>0.70581493389567052</v>
      </c>
      <c r="G1319">
        <f ca="1"/>
        <v>1.8427678899659896</v>
      </c>
    </row>
    <row r="1320" spans="3:7">
      <c r="C1320">
        <f ca="1"/>
        <v>-1.0132437786214294</v>
      </c>
      <c r="D1320">
        <f ca="1"/>
        <v>-0.32877443242530169</v>
      </c>
      <c r="E1320">
        <f ca="1"/>
        <v>0.24540275943680864</v>
      </c>
      <c r="G1320">
        <f ca="1"/>
        <v>1.1949780966708117</v>
      </c>
    </row>
    <row r="1321" spans="3:7">
      <c r="C1321">
        <f ca="1"/>
        <v>0.32941075959073307</v>
      </c>
      <c r="D1321">
        <f ca="1"/>
        <v>-0.42976878133119134</v>
      </c>
      <c r="E1321">
        <f ca="1"/>
        <v>0.2013291182573442</v>
      </c>
      <c r="G1321">
        <f ca="1"/>
        <v>0.33374606779932081</v>
      </c>
    </row>
    <row r="1322" spans="3:7">
      <c r="C1322">
        <f ca="1"/>
        <v>0.15822330469775062</v>
      </c>
      <c r="D1322">
        <f ca="1"/>
        <v>-0.23117907029784626</v>
      </c>
      <c r="E1322">
        <f ca="1"/>
        <v>-0.96087719447797781</v>
      </c>
      <c r="G1322">
        <f ca="1"/>
        <v>1.0017633595611235</v>
      </c>
    </row>
    <row r="1323" spans="3:7">
      <c r="C1323">
        <f ca="1"/>
        <v>-0.53065689028726071</v>
      </c>
      <c r="D1323">
        <f ca="1"/>
        <v>-0.32836888243228368</v>
      </c>
      <c r="E1323">
        <f ca="1"/>
        <v>0.16572310685397074</v>
      </c>
      <c r="G1323">
        <f ca="1"/>
        <v>0.41688700630450543</v>
      </c>
    </row>
    <row r="1324" spans="3:7">
      <c r="C1324">
        <f ca="1"/>
        <v>-1.7654975576215939</v>
      </c>
      <c r="D1324">
        <f ca="1"/>
        <v>-9.0124254962481429E-2</v>
      </c>
      <c r="E1324">
        <f ca="1"/>
        <v>4.3788642285217172E-2</v>
      </c>
      <c r="G1324">
        <f ca="1"/>
        <v>3.1270214524935378</v>
      </c>
    </row>
    <row r="1325" spans="3:7">
      <c r="C1325">
        <f ca="1"/>
        <v>1.0078774600876996</v>
      </c>
      <c r="D1325">
        <f ca="1"/>
        <v>1.1036149605105736</v>
      </c>
      <c r="E1325">
        <f ca="1"/>
        <v>0.16802953800409756</v>
      </c>
      <c r="G1325">
        <f ca="1"/>
        <v>2.2620168812574577</v>
      </c>
    </row>
    <row r="1326" spans="3:7">
      <c r="C1326">
        <f ca="1"/>
        <v>-1.2303352190937011</v>
      </c>
      <c r="D1326">
        <f ca="1"/>
        <v>-0.11563128620367309</v>
      </c>
      <c r="E1326">
        <f ca="1"/>
        <v>-0.54257915999219164</v>
      </c>
      <c r="G1326">
        <f ca="1"/>
        <v>1.8214874905492935</v>
      </c>
    </row>
    <row r="1327" spans="3:7">
      <c r="C1327">
        <f ca="1"/>
        <v>-1.7509211541133043</v>
      </c>
      <c r="D1327">
        <f ca="1"/>
        <v>0.23674173622731723</v>
      </c>
      <c r="E1327">
        <f ca="1"/>
        <v>1.4471229353611865</v>
      </c>
      <c r="G1327">
        <f ca="1"/>
        <v>5.2159363276417672</v>
      </c>
    </row>
    <row r="1328" spans="3:7">
      <c r="C1328">
        <f ca="1"/>
        <v>0.77929854631108264</v>
      </c>
      <c r="D1328">
        <f ca="1"/>
        <v>-0.2764396679447218</v>
      </c>
      <c r="E1328">
        <f ca="1"/>
        <v>0.82637378574352827</v>
      </c>
      <c r="G1328">
        <f ca="1"/>
        <v>1.3666187480600454</v>
      </c>
    </row>
    <row r="1329" spans="3:7">
      <c r="C1329">
        <f ca="1"/>
        <v>-7.8280311442547115E-2</v>
      </c>
      <c r="D1329">
        <f ca="1"/>
        <v>0.7961123897729887</v>
      </c>
      <c r="E1329">
        <f ca="1"/>
        <v>1.3720120849559225</v>
      </c>
      <c r="G1329">
        <f ca="1"/>
        <v>2.5223399055746989</v>
      </c>
    </row>
    <row r="1330" spans="3:7">
      <c r="C1330">
        <f ca="1"/>
        <v>0.10270616405790042</v>
      </c>
      <c r="D1330">
        <f ca="1"/>
        <v>-1.2080418328608562</v>
      </c>
      <c r="E1330">
        <f ca="1"/>
        <v>0.23037636195877295</v>
      </c>
      <c r="G1330">
        <f ca="1"/>
        <v>1.5229868942266647</v>
      </c>
    </row>
    <row r="1331" spans="3:7">
      <c r="C1331">
        <f ca="1"/>
        <v>-3.2608510348840852E-2</v>
      </c>
      <c r="D1331">
        <f ca="1"/>
        <v>-4.7438462107202956E-2</v>
      </c>
      <c r="E1331">
        <f ca="1"/>
        <v>-0.48410928517361451</v>
      </c>
      <c r="G1331">
        <f ca="1"/>
        <v>0.23767552262557501</v>
      </c>
    </row>
    <row r="1332" spans="3:7">
      <c r="C1332">
        <f ca="1"/>
        <v>-0.98845366854070649</v>
      </c>
      <c r="D1332">
        <f ca="1"/>
        <v>-9.3976787490632457E-2</v>
      </c>
      <c r="E1332">
        <f ca="1"/>
        <v>0.55268079563832806</v>
      </c>
      <c r="G1332">
        <f ca="1"/>
        <v>1.2913283533060558</v>
      </c>
    </row>
    <row r="1333" spans="3:7">
      <c r="C1333">
        <f ca="1"/>
        <v>7.2850101660608235E-2</v>
      </c>
      <c r="D1333">
        <f ca="1"/>
        <v>0.35717225044597145</v>
      </c>
      <c r="E1333">
        <f ca="1"/>
        <v>0.47559198345451137</v>
      </c>
      <c r="G1333">
        <f ca="1"/>
        <v>0.35906688852679691</v>
      </c>
    </row>
    <row r="1334" spans="3:7">
      <c r="C1334">
        <f ca="1"/>
        <v>-0.11933744794800268</v>
      </c>
      <c r="D1334">
        <f ca="1"/>
        <v>1.9020548732118205</v>
      </c>
      <c r="E1334">
        <f ca="1"/>
        <v>1.1925943737157378</v>
      </c>
      <c r="G1334">
        <f ca="1"/>
        <v>5.0543355074100091</v>
      </c>
    </row>
    <row r="1335" spans="3:7">
      <c r="C1335">
        <f ca="1"/>
        <v>1.0400429853099904</v>
      </c>
      <c r="D1335">
        <f ca="1"/>
        <v>-8.3573346637160956E-2</v>
      </c>
      <c r="E1335">
        <f ca="1"/>
        <v>7.5038103719784935E-2</v>
      </c>
      <c r="G1335">
        <f ca="1"/>
        <v>1.0943046325705132</v>
      </c>
    </row>
    <row r="1336" spans="3:7">
      <c r="C1336">
        <f ca="1"/>
        <v>1.8043813795650574</v>
      </c>
      <c r="D1336">
        <f ca="1"/>
        <v>1.1701282356192291</v>
      </c>
      <c r="E1336">
        <f ca="1"/>
        <v>-1.4081049711446416</v>
      </c>
      <c r="G1336">
        <f ca="1"/>
        <v>6.6077518604767222</v>
      </c>
    </row>
    <row r="1337" spans="3:7">
      <c r="C1337">
        <f ca="1"/>
        <v>-8.0462070587942164E-2</v>
      </c>
      <c r="D1337">
        <f ca="1"/>
        <v>1.4598367250689019</v>
      </c>
      <c r="E1337">
        <f ca="1"/>
        <v>-3.3504091288984766E-2</v>
      </c>
      <c r="G1337">
        <f ca="1"/>
        <v>2.1387199327962962</v>
      </c>
    </row>
    <row r="1338" spans="3:7">
      <c r="C1338">
        <f ca="1"/>
        <v>0.3654650294635019</v>
      </c>
      <c r="D1338">
        <f ca="1"/>
        <v>-0.31102477055830152</v>
      </c>
      <c r="E1338">
        <f ca="1"/>
        <v>1.3189840979915</v>
      </c>
      <c r="G1338">
        <f ca="1"/>
        <v>1.9700201464160529</v>
      </c>
    </row>
    <row r="1339" spans="3:7">
      <c r="C1339">
        <f ca="1"/>
        <v>1.231669951013848</v>
      </c>
      <c r="D1339">
        <f ca="1"/>
        <v>-0.68900991789779176</v>
      </c>
      <c r="E1339">
        <f ca="1"/>
        <v>-1.2645964398424332</v>
      </c>
      <c r="G1339">
        <f ca="1"/>
        <v>3.5909496908541332</v>
      </c>
    </row>
    <row r="1340" spans="3:7">
      <c r="C1340">
        <f ca="1"/>
        <v>-0.11406918444511036</v>
      </c>
      <c r="D1340">
        <f ca="1"/>
        <v>0.13863475132070557</v>
      </c>
      <c r="E1340">
        <f ca="1"/>
        <v>-0.48194848234886978</v>
      </c>
      <c r="G1340">
        <f ca="1"/>
        <v>0.26450571275210533</v>
      </c>
    </row>
    <row r="1341" spans="3:7">
      <c r="C1341">
        <f ca="1"/>
        <v>-0.43026505519096447</v>
      </c>
      <c r="D1341">
        <f ca="1"/>
        <v>0.21108309511489717</v>
      </c>
      <c r="E1341">
        <f ca="1"/>
        <v>-0.24219679172862821</v>
      </c>
      <c r="G1341">
        <f ca="1"/>
        <v>0.28834337668540894</v>
      </c>
    </row>
    <row r="1342" spans="3:7">
      <c r="C1342">
        <f ca="1"/>
        <v>1.0094849416914307</v>
      </c>
      <c r="D1342">
        <f ca="1"/>
        <v>-1.2433354924616449</v>
      </c>
      <c r="E1342">
        <f ca="1"/>
        <v>0.26657720580098415</v>
      </c>
      <c r="G1342">
        <f ca="1"/>
        <v>2.6360064009692521</v>
      </c>
    </row>
    <row r="1343" spans="3:7">
      <c r="C1343">
        <f ca="1"/>
        <v>1.5965516521352479</v>
      </c>
      <c r="D1343">
        <f ca="1"/>
        <v>-0.78759618408556265</v>
      </c>
      <c r="E1343">
        <f ca="1"/>
        <v>1.0659126346092409</v>
      </c>
      <c r="G1343">
        <f ca="1"/>
        <v>4.3054546717415416</v>
      </c>
    </row>
    <row r="1344" spans="3:7">
      <c r="C1344">
        <f ca="1"/>
        <v>0.28474686311164277</v>
      </c>
      <c r="D1344">
        <f ca="1"/>
        <v>-0.11907373579666131</v>
      </c>
      <c r="E1344">
        <f ca="1"/>
        <v>-0.74474259954793676</v>
      </c>
      <c r="G1344">
        <f ca="1"/>
        <v>0.64990087018991227</v>
      </c>
    </row>
    <row r="1345" spans="3:7">
      <c r="C1345">
        <f ca="1"/>
        <v>0.61931737837074374</v>
      </c>
      <c r="D1345">
        <f ca="1"/>
        <v>0.72955827759072711</v>
      </c>
      <c r="E1345">
        <f ca="1"/>
        <v>1.0710400876471897</v>
      </c>
      <c r="G1345">
        <f ca="1"/>
        <v>2.0629361649004592</v>
      </c>
    </row>
    <row r="1346" spans="3:7">
      <c r="C1346">
        <f ca="1"/>
        <v>-9.1843907740661507E-2</v>
      </c>
      <c r="D1346">
        <f ca="1"/>
        <v>0.91781110178044523</v>
      </c>
      <c r="E1346">
        <f ca="1"/>
        <v>0.75266455316654324</v>
      </c>
      <c r="G1346">
        <f ca="1"/>
        <v>1.4173164515339023</v>
      </c>
    </row>
    <row r="1347" spans="3:7">
      <c r="C1347">
        <f ca="1"/>
        <v>-4.7130045704321256E-2</v>
      </c>
      <c r="D1347">
        <f ca="1"/>
        <v>-0.22297216910796863</v>
      </c>
      <c r="E1347">
        <f ca="1"/>
        <v>-0.83102034770649902</v>
      </c>
      <c r="G1347">
        <f ca="1"/>
        <v>0.74253264770703453</v>
      </c>
    </row>
    <row r="1348" spans="3:7">
      <c r="C1348">
        <f ca="1"/>
        <v>-1.3595894375822037</v>
      </c>
      <c r="D1348">
        <f ca="1"/>
        <v>-0.6583862874275902</v>
      </c>
      <c r="E1348">
        <f ca="1"/>
        <v>2.2256036941099584</v>
      </c>
      <c r="G1348">
        <f ca="1"/>
        <v>7.2352677454936716</v>
      </c>
    </row>
    <row r="1349" spans="3:7">
      <c r="C1349">
        <f ca="1"/>
        <v>0.99759991081365251</v>
      </c>
      <c r="D1349">
        <f ca="1"/>
        <v>1.2152475534277933</v>
      </c>
      <c r="E1349">
        <f ca="1"/>
        <v>0.94218303551938387</v>
      </c>
      <c r="G1349">
        <f ca="1"/>
        <v>3.3597410705881656</v>
      </c>
    </row>
    <row r="1350" spans="3:7">
      <c r="C1350">
        <f ca="1"/>
        <v>1.1271971359211155</v>
      </c>
      <c r="D1350">
        <f ca="1"/>
        <v>-0.52531552839704687</v>
      </c>
      <c r="E1350">
        <f ca="1"/>
        <v>1.8592302273360495</v>
      </c>
      <c r="G1350">
        <f ca="1"/>
        <v>5.0032668258438928</v>
      </c>
    </row>
    <row r="1351" spans="3:7">
      <c r="C1351">
        <f ca="1"/>
        <v>1.1607132533450815</v>
      </c>
      <c r="D1351">
        <f ca="1"/>
        <v>1.4113626208067662</v>
      </c>
      <c r="E1351">
        <f ca="1"/>
        <v>-0.55668903458596375</v>
      </c>
      <c r="G1351">
        <f ca="1"/>
        <v>3.6491023851297193</v>
      </c>
    </row>
    <row r="1352" spans="3:7">
      <c r="C1352">
        <f ca="1"/>
        <v>1.367538417826514</v>
      </c>
      <c r="D1352">
        <f ca="1"/>
        <v>0.74917806978012091</v>
      </c>
      <c r="E1352">
        <f ca="1"/>
        <v>-1.2878231976283965</v>
      </c>
      <c r="G1352">
        <f ca="1"/>
        <v>4.089917692820741</v>
      </c>
    </row>
    <row r="1353" spans="3:7">
      <c r="C1353">
        <f ca="1"/>
        <v>1.5555153050211974</v>
      </c>
      <c r="D1353">
        <f ca="1"/>
        <v>-3.7268308498133181E-2</v>
      </c>
      <c r="E1353">
        <f ca="1"/>
        <v>-0.92137292671118143</v>
      </c>
      <c r="G1353">
        <f ca="1"/>
        <v>3.269944861049829</v>
      </c>
    </row>
    <row r="1354" spans="3:7">
      <c r="C1354">
        <f ca="1"/>
        <v>0.44229772964579667</v>
      </c>
      <c r="D1354">
        <f ca="1"/>
        <v>0.25981786252295697</v>
      </c>
      <c r="E1354">
        <f ca="1"/>
        <v>-0.97397108282634692</v>
      </c>
      <c r="G1354">
        <f ca="1"/>
        <v>1.2117522735177511</v>
      </c>
    </row>
    <row r="1355" spans="3:7">
      <c r="C1355">
        <f ca="1"/>
        <v>-1.2881592990716866</v>
      </c>
      <c r="D1355">
        <f ca="1"/>
        <v>-0.45072772443512632</v>
      </c>
      <c r="E1355">
        <f ca="1"/>
        <v>-0.58492575097925292</v>
      </c>
      <c r="G1355">
        <f ca="1"/>
        <v>2.204647995517969</v>
      </c>
    </row>
    <row r="1356" spans="3:7">
      <c r="C1356">
        <f ca="1"/>
        <v>-0.89961212655438039</v>
      </c>
      <c r="D1356">
        <f ca="1"/>
        <v>0.31593911677994568</v>
      </c>
      <c r="E1356">
        <f ca="1"/>
        <v>-2.0282826862103343</v>
      </c>
      <c r="G1356">
        <f ca="1"/>
        <v>5.0230501589359964</v>
      </c>
    </row>
    <row r="1357" spans="3:7">
      <c r="C1357">
        <f ca="1"/>
        <v>1.3499642142892894</v>
      </c>
      <c r="D1357">
        <f ca="1"/>
        <v>-0.99964536064878862</v>
      </c>
      <c r="E1357">
        <f ca="1"/>
        <v>7.8664241707536151E-2</v>
      </c>
      <c r="G1357">
        <f ca="1"/>
        <v>2.8278822898517668</v>
      </c>
    </row>
    <row r="1358" spans="3:7">
      <c r="C1358">
        <f ca="1"/>
        <v>0.55335909395678073</v>
      </c>
      <c r="D1358">
        <f ca="1"/>
        <v>0.99395188704409665</v>
      </c>
      <c r="E1358">
        <f ca="1"/>
        <v>-0.69353509952416237</v>
      </c>
      <c r="G1358">
        <f ca="1"/>
        <v>1.7751375748951796</v>
      </c>
    </row>
    <row r="1359" spans="3:7">
      <c r="C1359">
        <f ca="1"/>
        <v>-0.33245194337353406</v>
      </c>
      <c r="D1359">
        <f ca="1"/>
        <v>0.96432547318813044</v>
      </c>
      <c r="E1359">
        <f ca="1"/>
        <v>-0.30153290702214591</v>
      </c>
      <c r="G1359">
        <f ca="1"/>
        <v>1.1313700069095773</v>
      </c>
    </row>
    <row r="1360" spans="3:7">
      <c r="C1360">
        <f ca="1"/>
        <v>-0.36380491515364111</v>
      </c>
      <c r="D1360">
        <f ca="1"/>
        <v>1.1976304084517231</v>
      </c>
      <c r="E1360">
        <f ca="1"/>
        <v>1.3918967293419344</v>
      </c>
      <c r="G1360">
        <f ca="1"/>
        <v>3.5040491166909633</v>
      </c>
    </row>
    <row r="1361" spans="3:7">
      <c r="C1361">
        <f ca="1"/>
        <v>9.4716897110050921E-2</v>
      </c>
      <c r="D1361">
        <f ca="1"/>
        <v>5.8837060216407375E-2</v>
      </c>
      <c r="E1361">
        <f ca="1"/>
        <v>0.8670169920065196</v>
      </c>
      <c r="G1361">
        <f ca="1"/>
        <v>0.76415155468109841</v>
      </c>
    </row>
    <row r="1362" spans="3:7">
      <c r="C1362">
        <f ca="1"/>
        <v>-1.456780135787995</v>
      </c>
      <c r="D1362">
        <f ca="1"/>
        <v>-1.6443681311204981</v>
      </c>
      <c r="E1362">
        <f ca="1"/>
        <v>2.0409160833937237</v>
      </c>
      <c r="G1362">
        <f ca="1"/>
        <v>8.9914933741263852</v>
      </c>
    </row>
    <row r="1363" spans="3:7">
      <c r="C1363">
        <f ca="1"/>
        <v>-0.96221426036511559</v>
      </c>
      <c r="D1363">
        <f ca="1"/>
        <v>0.97300119068789859</v>
      </c>
      <c r="E1363">
        <f ca="1"/>
        <v>-0.65551562906022898</v>
      </c>
      <c r="G1363">
        <f ca="1"/>
        <v>2.3022883398722827</v>
      </c>
    </row>
    <row r="1364" spans="3:7">
      <c r="C1364">
        <f ca="1"/>
        <v>-0.13627181538406716</v>
      </c>
      <c r="D1364">
        <f ca="1"/>
        <v>-0.16338597878858468</v>
      </c>
      <c r="E1364">
        <f ca="1"/>
        <v>-1.249562925401561</v>
      </c>
      <c r="G1364">
        <f ca="1"/>
        <v>1.6066724902708802</v>
      </c>
    </row>
    <row r="1365" spans="3:7">
      <c r="C1365">
        <f ca="1"/>
        <v>1.8373918575217032</v>
      </c>
      <c r="D1365">
        <f ca="1"/>
        <v>1.2973112550815666</v>
      </c>
      <c r="E1365">
        <f ca="1"/>
        <v>-2.1036227611173683</v>
      </c>
      <c r="G1365">
        <f ca="1"/>
        <v>9.4842540517394252</v>
      </c>
    </row>
    <row r="1366" spans="3:7">
      <c r="C1366">
        <f ca="1"/>
        <v>0.97560024695001546</v>
      </c>
      <c r="D1366">
        <f ca="1"/>
        <v>0.6904296000751452</v>
      </c>
      <c r="E1366">
        <f ca="1"/>
        <v>-0.98441544243608314</v>
      </c>
      <c r="G1366">
        <f ca="1"/>
        <v>2.3975626378154855</v>
      </c>
    </row>
    <row r="1367" spans="3:7">
      <c r="C1367">
        <f ca="1"/>
        <v>-0.81006476167106667</v>
      </c>
      <c r="D1367">
        <f ca="1"/>
        <v>1.4054546178040792</v>
      </c>
      <c r="E1367">
        <f ca="1"/>
        <v>-1.4353128860703108</v>
      </c>
      <c r="G1367">
        <f ca="1"/>
        <v>4.6916306817274975</v>
      </c>
    </row>
    <row r="1368" spans="3:7">
      <c r="C1368">
        <f ca="1"/>
        <v>0.35275442103024129</v>
      </c>
      <c r="D1368">
        <f ca="1"/>
        <v>1.4243472062126752</v>
      </c>
      <c r="E1368">
        <f ca="1"/>
        <v>-0.42938978480082968</v>
      </c>
      <c r="G1368">
        <f ca="1"/>
        <v>2.3375762326935368</v>
      </c>
    </row>
    <row r="1369" spans="3:7">
      <c r="C1369">
        <f ca="1"/>
        <v>-1.1781678878421891</v>
      </c>
      <c r="D1369">
        <f ca="1"/>
        <v>1.4536788602626087</v>
      </c>
      <c r="E1369">
        <f ca="1"/>
        <v>-2.1385992493667234</v>
      </c>
      <c r="G1369">
        <f ca="1"/>
        <v>8.0748685501088353</v>
      </c>
    </row>
    <row r="1370" spans="3:7">
      <c r="C1370">
        <f ca="1"/>
        <v>2.0373345906207631E-2</v>
      </c>
      <c r="D1370">
        <f ca="1"/>
        <v>-2.0702193277800496</v>
      </c>
      <c r="E1370">
        <f ca="1"/>
        <v>0.47105341201610096</v>
      </c>
      <c r="G1370">
        <f ca="1"/>
        <v>4.5081144553095056</v>
      </c>
    </row>
    <row r="1371" spans="3:7">
      <c r="C1371">
        <f ca="1"/>
        <v>0.60236296287706403</v>
      </c>
      <c r="D1371">
        <f ca="1"/>
        <v>0.32785356769110702</v>
      </c>
      <c r="E1371">
        <f ca="1"/>
        <v>0.44689900844656705</v>
      </c>
      <c r="G1371">
        <f ca="1"/>
        <v>0.67004782464434731</v>
      </c>
    </row>
    <row r="1372" spans="3:7">
      <c r="C1372">
        <f ca="1"/>
        <v>0.62833946614486313</v>
      </c>
      <c r="D1372">
        <f ca="1"/>
        <v>1.2201143371258358</v>
      </c>
      <c r="E1372">
        <f ca="1"/>
        <v>-1.2143416678738157</v>
      </c>
      <c r="G1372">
        <f ca="1"/>
        <v>3.3581151667097897</v>
      </c>
    </row>
    <row r="1373" spans="3:7">
      <c r="C1373">
        <f ca="1"/>
        <v>1.0789886971264711E-2</v>
      </c>
      <c r="D1373">
        <f ca="1"/>
        <v>0.54497601076143076</v>
      </c>
      <c r="E1373">
        <f ca="1"/>
        <v>-0.33442342209944004</v>
      </c>
      <c r="G1373">
        <f ca="1"/>
        <v>0.40895429921499604</v>
      </c>
    </row>
    <row r="1374" spans="3:7">
      <c r="C1374">
        <f ca="1"/>
        <v>1.8497244361817011</v>
      </c>
      <c r="D1374">
        <f ca="1"/>
        <v>1.5674522939494764</v>
      </c>
      <c r="E1374">
        <f ca="1"/>
        <v>0.23197731805499242</v>
      </c>
      <c r="G1374">
        <f ca="1"/>
        <v>5.9322006597071741</v>
      </c>
    </row>
    <row r="1375" spans="3:7">
      <c r="C1375">
        <f ca="1"/>
        <v>0.64778935715077046</v>
      </c>
      <c r="D1375">
        <f ca="1"/>
        <v>3.7073154829250998E-2</v>
      </c>
      <c r="E1375">
        <f ca="1"/>
        <v>0.24052080766701175</v>
      </c>
      <c r="G1375">
        <f ca="1"/>
        <v>0.47885572896759376</v>
      </c>
    </row>
    <row r="1376" spans="3:7">
      <c r="C1376">
        <f ca="1"/>
        <v>0.446897568585503</v>
      </c>
      <c r="D1376">
        <f ca="1"/>
        <v>-2.2710329523323192</v>
      </c>
      <c r="E1376">
        <f ca="1"/>
        <v>-0.42228595577701566</v>
      </c>
      <c r="G1376">
        <f ca="1"/>
        <v>5.5356335358333917</v>
      </c>
    </row>
    <row r="1377" spans="3:7">
      <c r="C1377">
        <f ca="1"/>
        <v>-0.42480227658845243</v>
      </c>
      <c r="D1377">
        <f ca="1"/>
        <v>0.49254394589193423</v>
      </c>
      <c r="E1377">
        <f ca="1"/>
        <v>-0.6773298977318063</v>
      </c>
      <c r="G1377">
        <f ca="1"/>
        <v>0.88183230319090788</v>
      </c>
    </row>
    <row r="1378" spans="3:7">
      <c r="C1378">
        <f ca="1"/>
        <v>-0.75897226309754129</v>
      </c>
      <c r="D1378">
        <f ca="1"/>
        <v>1.0001168434235221</v>
      </c>
      <c r="E1378">
        <f ca="1"/>
        <v>7.7088880338174379E-4</v>
      </c>
      <c r="G1378">
        <f ca="1"/>
        <v>1.5762731909203807</v>
      </c>
    </row>
    <row r="1379" spans="3:7">
      <c r="C1379">
        <f ca="1"/>
        <v>-0.44576823808261906</v>
      </c>
      <c r="D1379">
        <f ca="1"/>
        <v>0.90300762367875886</v>
      </c>
      <c r="E1379">
        <f ca="1"/>
        <v>0.28308523260983703</v>
      </c>
      <c r="G1379">
        <f ca="1"/>
        <v>1.0942693394270071</v>
      </c>
    </row>
    <row r="1380" spans="3:7">
      <c r="C1380">
        <f ca="1"/>
        <v>6.9002960841371586E-2</v>
      </c>
      <c r="D1380">
        <f ca="1"/>
        <v>-0.20728221019668308</v>
      </c>
      <c r="E1380">
        <f ca="1"/>
        <v>1.6419250057594019</v>
      </c>
      <c r="G1380">
        <f ca="1"/>
        <v>2.7436450478069099</v>
      </c>
    </row>
    <row r="1381" spans="3:7">
      <c r="C1381">
        <f ca="1"/>
        <v>0.49238794157581883</v>
      </c>
      <c r="D1381">
        <f ca="1"/>
        <v>-0.53377926074099447</v>
      </c>
      <c r="E1381">
        <f ca="1"/>
        <v>-2.7205235794614556E-2</v>
      </c>
      <c r="G1381">
        <f ca="1"/>
        <v>0.52810630906111511</v>
      </c>
    </row>
    <row r="1382" spans="3:7">
      <c r="C1382">
        <f ca="1"/>
        <v>-0.13749493189078824</v>
      </c>
      <c r="D1382">
        <f ca="1"/>
        <v>-0.3859212615748534</v>
      </c>
      <c r="E1382">
        <f ca="1"/>
        <v>-0.74139658002003961</v>
      </c>
      <c r="G1382">
        <f ca="1"/>
        <v>0.71750896529658992</v>
      </c>
    </row>
    <row r="1383" spans="3:7">
      <c r="C1383">
        <f ca="1"/>
        <v>-1.0901663260074959</v>
      </c>
      <c r="D1383">
        <f ca="1"/>
        <v>-0.63687708628078477</v>
      </c>
      <c r="E1383">
        <f ca="1"/>
        <v>-0.29413712439387341</v>
      </c>
      <c r="G1383">
        <f ca="1"/>
        <v>1.6805916893368809</v>
      </c>
    </row>
    <row r="1384" spans="3:7">
      <c r="C1384">
        <f ca="1"/>
        <v>0.68133600349421142</v>
      </c>
      <c r="D1384">
        <f ca="1"/>
        <v>0.1776516217040017</v>
      </c>
      <c r="E1384">
        <f ca="1"/>
        <v>-0.44618961070267149</v>
      </c>
      <c r="G1384">
        <f ca="1"/>
        <v>0.69486401705052736</v>
      </c>
    </row>
    <row r="1385" spans="3:7">
      <c r="C1385">
        <f ca="1"/>
        <v>1.2802723975429731</v>
      </c>
      <c r="D1385">
        <f ca="1"/>
        <v>-1.1915697473417435</v>
      </c>
      <c r="E1385">
        <f ca="1"/>
        <v>0.96609128646373355</v>
      </c>
      <c r="G1385">
        <f ca="1"/>
        <v>3.9922682484716505</v>
      </c>
    </row>
    <row r="1386" spans="3:7">
      <c r="C1386">
        <f ca="1"/>
        <v>-1.0471423376301041</v>
      </c>
      <c r="D1386">
        <f ca="1"/>
        <v>0.2127649278029993</v>
      </c>
      <c r="E1386">
        <f ca="1"/>
        <v>0.6797431240199131</v>
      </c>
      <c r="G1386">
        <f ca="1"/>
        <v>1.6038267044128054</v>
      </c>
    </row>
    <row r="1387" spans="3:7">
      <c r="C1387">
        <f ca="1"/>
        <v>0.57895362262209471</v>
      </c>
      <c r="D1387">
        <f ca="1"/>
        <v>0.95269916989330328</v>
      </c>
      <c r="E1387">
        <f ca="1"/>
        <v>-0.70455023599222333</v>
      </c>
      <c r="G1387">
        <f ca="1"/>
        <v>1.7392140404993335</v>
      </c>
    </row>
    <row r="1388" spans="3:7">
      <c r="C1388">
        <f ca="1"/>
        <v>8.0947721262782588E-2</v>
      </c>
      <c r="D1388">
        <f ca="1"/>
        <v>-1.0424323039351171</v>
      </c>
      <c r="E1388">
        <f ca="1"/>
        <v>-2.009778999181639</v>
      </c>
      <c r="G1388">
        <f ca="1"/>
        <v>5.1324292674166641</v>
      </c>
    </row>
    <row r="1389" spans="3:7">
      <c r="C1389">
        <f ca="1"/>
        <v>-0.21528488187312997</v>
      </c>
      <c r="D1389">
        <f ca="1"/>
        <v>-1.2496122402996914</v>
      </c>
      <c r="E1389">
        <f ca="1"/>
        <v>0.35226467669495015</v>
      </c>
      <c r="G1389">
        <f ca="1"/>
        <v>1.731968733916939</v>
      </c>
    </row>
    <row r="1390" spans="3:7">
      <c r="C1390">
        <f ca="1"/>
        <v>-0.29805614921179574</v>
      </c>
      <c r="D1390">
        <f ca="1"/>
        <v>0.36357531200015841</v>
      </c>
      <c r="E1390">
        <f ca="1"/>
        <v>-0.55590779281249392</v>
      </c>
      <c r="G1390">
        <f ca="1"/>
        <v>0.5300579496886354</v>
      </c>
    </row>
    <row r="1391" spans="3:7">
      <c r="C1391">
        <f ca="1"/>
        <v>-0.41214336285736486</v>
      </c>
      <c r="D1391">
        <f ca="1"/>
        <v>2.8001139120477512</v>
      </c>
      <c r="E1391">
        <f ca="1"/>
        <v>-0.19238576264743545</v>
      </c>
      <c r="G1391">
        <f ca="1"/>
        <v>8.0475123536601743</v>
      </c>
    </row>
    <row r="1392" spans="3:7">
      <c r="C1392">
        <f ca="1"/>
        <v>-1.5691743219243441</v>
      </c>
      <c r="D1392">
        <f ca="1"/>
        <v>-0.44201355475622206</v>
      </c>
      <c r="E1392">
        <f ca="1"/>
        <v>2.0822572341407882E-2</v>
      </c>
      <c r="G1392">
        <f ca="1"/>
        <v>2.6581176146938699</v>
      </c>
    </row>
    <row r="1393" spans="3:7">
      <c r="C1393">
        <f ca="1"/>
        <v>0.77043039497789167</v>
      </c>
      <c r="D1393">
        <f ca="1"/>
        <v>-2.2999080248713581</v>
      </c>
      <c r="E1393">
        <f ca="1"/>
        <v>0.71269056044039714</v>
      </c>
      <c r="G1393">
        <f ca="1"/>
        <v>6.391067751314309</v>
      </c>
    </row>
    <row r="1394" spans="3:7">
      <c r="C1394">
        <f ca="1"/>
        <v>-1.0389328447998427</v>
      </c>
      <c r="D1394">
        <f ca="1"/>
        <v>-9.2312609903200518E-2</v>
      </c>
      <c r="E1394">
        <f ca="1"/>
        <v>-0.341428068089701</v>
      </c>
      <c r="G1394">
        <f ca="1"/>
        <v>1.2044761996305002</v>
      </c>
    </row>
    <row r="1395" spans="3:7">
      <c r="C1395">
        <f ca="1"/>
        <v>-1.4102288887849361</v>
      </c>
      <c r="D1395">
        <f ca="1"/>
        <v>1.6794607302488678</v>
      </c>
      <c r="E1395">
        <f ca="1"/>
        <v>-0.92195791886385359</v>
      </c>
      <c r="G1395">
        <f ca="1"/>
        <v>5.6593402673674236</v>
      </c>
    </row>
    <row r="1396" spans="3:7">
      <c r="C1396">
        <f ca="1"/>
        <v>1.5602253060667994</v>
      </c>
      <c r="D1396">
        <f ca="1"/>
        <v>0.87323525271028379</v>
      </c>
      <c r="E1396">
        <f ca="1"/>
        <v>-0.40587795675297844</v>
      </c>
      <c r="G1396">
        <f ca="1"/>
        <v>3.361579728045204</v>
      </c>
    </row>
    <row r="1397" spans="3:7">
      <c r="C1397">
        <f ca="1"/>
        <v>-0.10072769483175999</v>
      </c>
      <c r="D1397">
        <f ca="1"/>
        <v>-0.20570337834448682</v>
      </c>
      <c r="E1397">
        <f ca="1"/>
        <v>0.51010721729101705</v>
      </c>
      <c r="G1397">
        <f ca="1"/>
        <v>0.31266932150084015</v>
      </c>
    </row>
    <row r="1398" spans="3:7">
      <c r="C1398">
        <f ca="1"/>
        <v>-0.23363419825015033</v>
      </c>
      <c r="D1398">
        <f ca="1"/>
        <v>-0.47792015515280711</v>
      </c>
      <c r="E1398">
        <f ca="1"/>
        <v>0.39626212547607736</v>
      </c>
      <c r="G1398">
        <f ca="1"/>
        <v>0.4400162853800923</v>
      </c>
    </row>
    <row r="1399" spans="3:7">
      <c r="C1399">
        <f ca="1"/>
        <v>1.4628104973310041</v>
      </c>
      <c r="D1399">
        <f ca="1"/>
        <v>0.23160583108768121</v>
      </c>
      <c r="E1399">
        <f ca="1"/>
        <v>-0.51628144117165153</v>
      </c>
      <c r="G1399">
        <f ca="1"/>
        <v>2.4600023385938727</v>
      </c>
    </row>
    <row r="1400" spans="3:7">
      <c r="C1400">
        <f ca="1"/>
        <v>-0.91131130166861096</v>
      </c>
      <c r="D1400">
        <f ca="1"/>
        <v>-1.2798430042231028</v>
      </c>
      <c r="E1400">
        <f ca="1"/>
        <v>-0.13771377150055572</v>
      </c>
      <c r="G1400">
        <f ca="1"/>
        <v>2.4874514868686624</v>
      </c>
    </row>
    <row r="1401" spans="3:7">
      <c r="C1401">
        <f ca="1"/>
        <v>1.1051223424532448</v>
      </c>
      <c r="D1401">
        <f ca="1"/>
        <v>-0.16270856089943869</v>
      </c>
      <c r="E1401">
        <f ca="1"/>
        <v>1.6815008122324226</v>
      </c>
      <c r="G1401">
        <f ca="1"/>
        <v>4.0752144491176105</v>
      </c>
    </row>
    <row r="1402" spans="3:7">
      <c r="C1402">
        <f ca="1"/>
        <v>-0.10607384814027207</v>
      </c>
      <c r="D1402">
        <f ca="1"/>
        <v>0.91563484085131575</v>
      </c>
      <c r="E1402">
        <f ca="1"/>
        <v>1.3749586848037254</v>
      </c>
      <c r="G1402">
        <f ca="1"/>
        <v>2.7401502079572904</v>
      </c>
    </row>
    <row r="1403" spans="3:7">
      <c r="C1403">
        <f ca="1"/>
        <v>0.77136448388200829</v>
      </c>
      <c r="D1403">
        <f ca="1"/>
        <v>0.33282257575440444</v>
      </c>
      <c r="E1403">
        <f ca="1"/>
        <v>0.5137952754647569</v>
      </c>
      <c r="G1403">
        <f ca="1"/>
        <v>0.96975961901625873</v>
      </c>
    </row>
    <row r="1404" spans="3:7">
      <c r="C1404">
        <f ca="1"/>
        <v>0.84403289032405282</v>
      </c>
      <c r="D1404">
        <f ca="1"/>
        <v>1.3151363749849658</v>
      </c>
      <c r="E1404">
        <f ca="1"/>
        <v>0.14059349806538232</v>
      </c>
      <c r="G1404">
        <f ca="1"/>
        <v>2.461741736455632</v>
      </c>
    </row>
    <row r="1405" spans="3:7">
      <c r="C1405">
        <f ca="1"/>
        <v>-0.61975687010055991</v>
      </c>
      <c r="D1405">
        <f ca="1"/>
        <v>-0.59651664864254395</v>
      </c>
      <c r="E1405">
        <f ca="1"/>
        <v>0.10542506381931888</v>
      </c>
      <c r="G1405">
        <f ca="1"/>
        <v>0.75104513422588204</v>
      </c>
    </row>
    <row r="1406" spans="3:7">
      <c r="C1406">
        <f ca="1"/>
        <v>-0.35263729231953361</v>
      </c>
      <c r="D1406">
        <f ca="1"/>
        <v>0.31748377654027587</v>
      </c>
      <c r="E1406">
        <f ca="1"/>
        <v>0.74333328882900873</v>
      </c>
      <c r="G1406">
        <f ca="1"/>
        <v>0.77769338658207854</v>
      </c>
    </row>
    <row r="1407" spans="3:7">
      <c r="C1407">
        <f ca="1"/>
        <v>-1.6318513937180215</v>
      </c>
      <c r="D1407">
        <f ca="1"/>
        <v>-1.5080346189671485</v>
      </c>
      <c r="E1407">
        <f ca="1"/>
        <v>-0.34048130917412978</v>
      </c>
      <c r="G1407">
        <f ca="1"/>
        <v>5.0530349050797705</v>
      </c>
    </row>
    <row r="1408" spans="3:7">
      <c r="C1408">
        <f ca="1"/>
        <v>0.9730420387858707</v>
      </c>
      <c r="D1408">
        <f ca="1"/>
        <v>-0.37407498272812767</v>
      </c>
      <c r="E1408">
        <f ca="1"/>
        <v>1.3173480673245397</v>
      </c>
      <c r="G1408">
        <f ca="1"/>
        <v>2.8221488324313126</v>
      </c>
    </row>
    <row r="1409" spans="3:7">
      <c r="C1409">
        <f ca="1"/>
        <v>0.51617924967617457</v>
      </c>
      <c r="D1409">
        <f ca="1"/>
        <v>-0.47810975405123979</v>
      </c>
      <c r="E1409">
        <f ca="1"/>
        <v>-1.1618660248659174</v>
      </c>
      <c r="G1409">
        <f ca="1"/>
        <v>1.8449626144529241</v>
      </c>
    </row>
    <row r="1410" spans="3:7">
      <c r="C1410">
        <f ca="1"/>
        <v>0.14691689706232069</v>
      </c>
      <c r="D1410">
        <f ca="1"/>
        <v>2.9756914268359094E-2</v>
      </c>
      <c r="E1410">
        <f ca="1"/>
        <v>-0.17456906527442764</v>
      </c>
      <c r="G1410">
        <f ca="1"/>
        <v>5.2944407139982386E-2</v>
      </c>
    </row>
    <row r="1411" spans="3:7">
      <c r="C1411">
        <f ca="1"/>
        <v>-2.1435555288531103</v>
      </c>
      <c r="D1411">
        <f ca="1"/>
        <v>-0.37895670975354306</v>
      </c>
      <c r="E1411">
        <f ca="1"/>
        <v>-0.77166325844844508</v>
      </c>
      <c r="G1411">
        <f ca="1"/>
        <v>5.3339026775832403</v>
      </c>
    </row>
    <row r="1412" spans="3:7">
      <c r="C1412">
        <f ca="1"/>
        <v>1.1544915328344854</v>
      </c>
      <c r="D1412">
        <f ca="1"/>
        <v>0.14487605059615646</v>
      </c>
      <c r="E1412">
        <f ca="1"/>
        <v>-0.37418380897511277</v>
      </c>
      <c r="G1412">
        <f ca="1"/>
        <v>1.4938532923219834</v>
      </c>
    </row>
    <row r="1413" spans="3:7">
      <c r="C1413">
        <f ca="1"/>
        <v>1.1108182379391998</v>
      </c>
      <c r="D1413">
        <f ca="1"/>
        <v>2.2316514365848192</v>
      </c>
      <c r="E1413">
        <f ca="1"/>
        <v>-0.29184016053289197</v>
      </c>
      <c r="G1413">
        <f ca="1"/>
        <v>6.2993559714492999</v>
      </c>
    </row>
    <row r="1414" spans="3:7">
      <c r="C1414">
        <f ca="1"/>
        <v>-0.3339994543546968</v>
      </c>
      <c r="D1414">
        <f ca="1"/>
        <v>1.1617389574008121</v>
      </c>
      <c r="E1414">
        <f ca="1"/>
        <v>0.73021173653959248</v>
      </c>
      <c r="G1414">
        <f ca="1"/>
        <v>1.9944022208321284</v>
      </c>
    </row>
    <row r="1415" spans="3:7">
      <c r="C1415">
        <f ca="1"/>
        <v>-0.40183189601812475</v>
      </c>
      <c r="D1415">
        <f ca="1"/>
        <v>-0.63378230021976922</v>
      </c>
      <c r="E1415">
        <f ca="1"/>
        <v>1.9591094348755334</v>
      </c>
      <c r="G1415">
        <f ca="1"/>
        <v>4.4012586545477141</v>
      </c>
    </row>
    <row r="1416" spans="3:7">
      <c r="C1416">
        <f ca="1"/>
        <v>-0.70055639601890773</v>
      </c>
      <c r="D1416">
        <f ca="1"/>
        <v>-0.56095902876329407</v>
      </c>
      <c r="E1416">
        <f ca="1"/>
        <v>-0.4012865758493418</v>
      </c>
      <c r="G1416">
        <f ca="1"/>
        <v>0.96648521191094849</v>
      </c>
    </row>
    <row r="1417" spans="3:7">
      <c r="C1417">
        <f ca="1"/>
        <v>-0.81342572981817207</v>
      </c>
      <c r="D1417">
        <f ca="1"/>
        <v>-0.30031691432574109</v>
      </c>
      <c r="E1417">
        <f ca="1"/>
        <v>-0.64263936610958572</v>
      </c>
      <c r="G1417">
        <f ca="1"/>
        <v>1.1648370218340904</v>
      </c>
    </row>
    <row r="1418" spans="3:7">
      <c r="C1418">
        <f ca="1"/>
        <v>-0.43498979330725573</v>
      </c>
      <c r="D1418">
        <f ca="1"/>
        <v>0.26788468045644775</v>
      </c>
      <c r="E1418">
        <f ca="1"/>
        <v>1.4299843439876876</v>
      </c>
      <c r="G1418">
        <f ca="1"/>
        <v>2.3058335463546396</v>
      </c>
    </row>
    <row r="1419" spans="3:7">
      <c r="C1419">
        <f ca="1"/>
        <v>0.84013617089544035</v>
      </c>
      <c r="D1419">
        <f ca="1"/>
        <v>1.8364858358802245</v>
      </c>
      <c r="E1419">
        <f ca="1"/>
        <v>-0.7056741794954986</v>
      </c>
      <c r="G1419">
        <f ca="1"/>
        <v>4.5764850586421844</v>
      </c>
    </row>
    <row r="1420" spans="3:7">
      <c r="C1420">
        <f ca="1"/>
        <v>-0.80403315706508915</v>
      </c>
      <c r="D1420">
        <f ca="1"/>
        <v>1.3178185793907395</v>
      </c>
      <c r="E1420">
        <f ca="1"/>
        <v>-1.3052860662538557</v>
      </c>
      <c r="G1420">
        <f ca="1"/>
        <v>4.0868868406039462</v>
      </c>
    </row>
    <row r="1421" spans="3:7">
      <c r="C1421">
        <f ca="1"/>
        <v>0.14215217008401573</v>
      </c>
      <c r="D1421">
        <f ca="1"/>
        <v>-1.3720597062617743</v>
      </c>
      <c r="E1421">
        <f ca="1"/>
        <v>-0.32963913537063516</v>
      </c>
      <c r="G1421">
        <f ca="1"/>
        <v>2.0114170365746413</v>
      </c>
    </row>
    <row r="1422" spans="3:7">
      <c r="C1422">
        <f ca="1"/>
        <v>-0.8010022051672705</v>
      </c>
      <c r="D1422">
        <f ca="1"/>
        <v>-0.9762656270906922</v>
      </c>
      <c r="E1422">
        <f ca="1"/>
        <v>-1.2549558679909161</v>
      </c>
      <c r="G1422">
        <f ca="1"/>
        <v>3.169613337926446</v>
      </c>
    </row>
    <row r="1423" spans="3:7">
      <c r="C1423">
        <f ca="1"/>
        <v>0.77361544861337161</v>
      </c>
      <c r="D1423">
        <f ca="1"/>
        <v>0.74641937730786756</v>
      </c>
      <c r="E1423">
        <f ca="1"/>
        <v>-0.30162801377900988</v>
      </c>
      <c r="G1423">
        <f ca="1"/>
        <v>1.2466022078502037</v>
      </c>
    </row>
    <row r="1424" spans="3:7">
      <c r="C1424">
        <f ca="1"/>
        <v>0.99295745378979472</v>
      </c>
      <c r="D1424">
        <f ca="1"/>
        <v>2.2008514212423678</v>
      </c>
      <c r="E1424">
        <f ca="1"/>
        <v>0.56729830469044973</v>
      </c>
      <c r="G1424">
        <f ca="1"/>
        <v>6.1515388499259203</v>
      </c>
    </row>
    <row r="1425" spans="3:7">
      <c r="C1425">
        <f ca="1"/>
        <v>0.59762144148479812</v>
      </c>
      <c r="D1425">
        <f ca="1"/>
        <v>0.51299145703517013</v>
      </c>
      <c r="E1425">
        <f ca="1"/>
        <v>2.1047964343576764</v>
      </c>
      <c r="G1425">
        <f ca="1"/>
        <v>5.0504796523982227</v>
      </c>
    </row>
    <row r="1426" spans="3:7">
      <c r="C1426">
        <f ca="1"/>
        <v>-1.916298278240252</v>
      </c>
      <c r="D1426">
        <f ca="1"/>
        <v>0.2924262396569281</v>
      </c>
      <c r="E1426">
        <f ca="1"/>
        <v>0.90821564585044123</v>
      </c>
      <c r="G1426">
        <f ca="1"/>
        <v>4.5825678561939798</v>
      </c>
    </row>
    <row r="1427" spans="3:7">
      <c r="C1427">
        <f ca="1"/>
        <v>-0.1932081210846551</v>
      </c>
      <c r="D1427">
        <f ca="1"/>
        <v>0.1977719295314759</v>
      </c>
      <c r="E1427">
        <f ca="1"/>
        <v>-1.1906537248319629</v>
      </c>
      <c r="G1427">
        <f ca="1"/>
        <v>1.4940994066198934</v>
      </c>
    </row>
    <row r="1428" spans="3:7">
      <c r="C1428">
        <f ca="1"/>
        <v>-2.2242365360779965</v>
      </c>
      <c r="D1428">
        <f ca="1"/>
        <v>1.9808227883717084</v>
      </c>
      <c r="E1428">
        <f ca="1"/>
        <v>0.73470991712084821</v>
      </c>
      <c r="G1428">
        <f ca="1"/>
        <v>9.4106857496726395</v>
      </c>
    </row>
    <row r="1429" spans="3:7">
      <c r="C1429">
        <f ca="1"/>
        <v>0.26826546576785099</v>
      </c>
      <c r="D1429">
        <f ca="1"/>
        <v>-0.94793694427567465</v>
      </c>
      <c r="E1429">
        <f ca="1"/>
        <v>-0.25194076751036276</v>
      </c>
      <c r="G1429">
        <f ca="1"/>
        <v>1.0340249607800562</v>
      </c>
    </row>
    <row r="1430" spans="3:7">
      <c r="C1430">
        <f ca="1"/>
        <v>0.85299077092550146</v>
      </c>
      <c r="D1430">
        <f ca="1"/>
        <v>-1.7426577487698143</v>
      </c>
      <c r="E1430">
        <f ca="1"/>
        <v>-2.7191367823881762E-2</v>
      </c>
      <c r="G1430">
        <f ca="1"/>
        <v>3.7651886551156917</v>
      </c>
    </row>
    <row r="1431" spans="3:7">
      <c r="C1431">
        <f ca="1"/>
        <v>0.77022992339862928</v>
      </c>
      <c r="D1431">
        <f ca="1"/>
        <v>0.59033106429275162</v>
      </c>
      <c r="E1431">
        <f ca="1"/>
        <v>-0.47126831289736515</v>
      </c>
      <c r="G1431">
        <f ca="1"/>
        <v>1.1638387231088001</v>
      </c>
    </row>
    <row r="1432" spans="3:7">
      <c r="C1432">
        <f ca="1"/>
        <v>-0.65466808607752425</v>
      </c>
      <c r="D1432">
        <f ca="1"/>
        <v>0.25000628632383598</v>
      </c>
      <c r="E1432">
        <f ca="1"/>
        <v>0.39579334322307835</v>
      </c>
      <c r="G1432">
        <f ca="1"/>
        <v>0.647745816669546</v>
      </c>
    </row>
    <row r="1433" spans="3:7">
      <c r="C1433">
        <f ca="1"/>
        <v>1.6674329503671041</v>
      </c>
      <c r="D1433">
        <f ca="1"/>
        <v>-1.0471194785837736</v>
      </c>
      <c r="E1433">
        <f ca="1"/>
        <v>-0.25567313722334128</v>
      </c>
      <c r="G1433">
        <f ca="1"/>
        <v>3.9421605994971247</v>
      </c>
    </row>
    <row r="1434" spans="3:7">
      <c r="C1434">
        <f ca="1"/>
        <v>0.24210913231154238</v>
      </c>
      <c r="D1434">
        <f ca="1"/>
        <v>0.43796109837616415</v>
      </c>
      <c r="E1434">
        <f ca="1"/>
        <v>-0.14243316178798057</v>
      </c>
      <c r="G1434">
        <f ca="1"/>
        <v>0.2707139612164251</v>
      </c>
    </row>
    <row r="1435" spans="3:7">
      <c r="C1435">
        <f ca="1"/>
        <v>1.2220837883806825</v>
      </c>
      <c r="D1435">
        <f ca="1"/>
        <v>-0.76189020011820752</v>
      </c>
      <c r="E1435">
        <f ca="1"/>
        <v>-0.47656853026224477</v>
      </c>
      <c r="G1435">
        <f ca="1"/>
        <v>2.3010830268953595</v>
      </c>
    </row>
    <row r="1436" spans="3:7">
      <c r="C1436">
        <f ca="1"/>
        <v>-1.0994824794178164</v>
      </c>
      <c r="D1436">
        <f ca="1"/>
        <v>0.53898564631961943</v>
      </c>
      <c r="E1436">
        <f ca="1"/>
        <v>1.7832869000362552</v>
      </c>
      <c r="G1436">
        <f ca="1"/>
        <v>4.6794794173262435</v>
      </c>
    </row>
    <row r="1437" spans="3:7">
      <c r="C1437">
        <f ca="1"/>
        <v>0.22009257496636503</v>
      </c>
      <c r="D1437">
        <f ca="1"/>
        <v>1.3821902779332722</v>
      </c>
      <c r="E1437">
        <f ca="1"/>
        <v>4.5523380243623408E-2</v>
      </c>
      <c r="G1437">
        <f ca="1"/>
        <v>1.9609630841173866</v>
      </c>
    </row>
    <row r="1438" spans="3:7">
      <c r="C1438">
        <f ca="1"/>
        <v>-0.13741018746971315</v>
      </c>
      <c r="D1438">
        <f ca="1"/>
        <v>0.91697428614847321</v>
      </c>
      <c r="E1438">
        <f ca="1"/>
        <v>-0.49282046482880382</v>
      </c>
      <c r="G1438">
        <f ca="1"/>
        <v>1.102595411632042</v>
      </c>
    </row>
    <row r="1439" spans="3:7">
      <c r="C1439">
        <f ca="1"/>
        <v>0.82886460100609516</v>
      </c>
      <c r="D1439">
        <f ca="1"/>
        <v>-0.56019451618327032</v>
      </c>
      <c r="E1439">
        <f ca="1"/>
        <v>-0.68157574453163683</v>
      </c>
      <c r="G1439">
        <f ca="1"/>
        <v>1.4653799182966567</v>
      </c>
    </row>
    <row r="1440" spans="3:7">
      <c r="C1440">
        <f ca="1"/>
        <v>0.45890558754901906</v>
      </c>
      <c r="D1440">
        <f ca="1"/>
        <v>0.38921347228705849</v>
      </c>
      <c r="E1440">
        <f ca="1"/>
        <v>-0.39020390279913364</v>
      </c>
      <c r="G1440">
        <f ca="1"/>
        <v>0.51434055105313492</v>
      </c>
    </row>
    <row r="1441" spans="3:7">
      <c r="C1441">
        <f ca="1"/>
        <v>0.50858337424713573</v>
      </c>
      <c r="D1441">
        <f ca="1"/>
        <v>1.203509188537415</v>
      </c>
      <c r="E1441">
        <f ca="1"/>
        <v>-0.41704312625335271</v>
      </c>
      <c r="G1441">
        <f ca="1"/>
        <v>1.881016384609759</v>
      </c>
    </row>
    <row r="1442" spans="3:7">
      <c r="C1442">
        <f ca="1"/>
        <v>-0.16012039741815773</v>
      </c>
      <c r="D1442">
        <f ca="1"/>
        <v>-0.97041171937328785</v>
      </c>
      <c r="E1442">
        <f ca="1"/>
        <v>0.88348462675733797</v>
      </c>
      <c r="G1442">
        <f ca="1"/>
        <v>1.7478825324829224</v>
      </c>
    </row>
    <row r="1443" spans="3:7">
      <c r="C1443">
        <f ca="1"/>
        <v>-0.16955923164179398</v>
      </c>
      <c r="D1443">
        <f ca="1"/>
        <v>-1.3989950542508083</v>
      </c>
      <c r="E1443">
        <f ca="1"/>
        <v>1.7115056223099943</v>
      </c>
      <c r="G1443">
        <f ca="1"/>
        <v>4.9151889900518979</v>
      </c>
    </row>
    <row r="1444" spans="3:7">
      <c r="C1444">
        <f ca="1"/>
        <v>1.3668572883277332</v>
      </c>
      <c r="D1444">
        <f ca="1"/>
        <v>1.3169104912017596E-2</v>
      </c>
      <c r="E1444">
        <f ca="1"/>
        <v>0.71069831291633323</v>
      </c>
      <c r="G1444">
        <f ca="1"/>
        <v>2.3735643639609498</v>
      </c>
    </row>
    <row r="1445" spans="3:7">
      <c r="C1445">
        <f ca="1"/>
        <v>-0.4313806007306098</v>
      </c>
      <c r="D1445">
        <f ca="1"/>
        <v>1.2849124164162311</v>
      </c>
      <c r="E1445">
        <f ca="1"/>
        <v>1.2400008915799285</v>
      </c>
      <c r="G1445">
        <f ca="1"/>
        <v>3.3746913516663177</v>
      </c>
    </row>
    <row r="1446" spans="3:7">
      <c r="C1446">
        <f ca="1"/>
        <v>-3.0148631204472944E-2</v>
      </c>
      <c r="D1446">
        <f ca="1"/>
        <v>-0.50962333627973178</v>
      </c>
      <c r="E1446">
        <f ca="1"/>
        <v>-0.2848811181326093</v>
      </c>
      <c r="G1446">
        <f ca="1"/>
        <v>0.34178213631287357</v>
      </c>
    </row>
    <row r="1447" spans="3:7">
      <c r="C1447">
        <f ca="1"/>
        <v>-2.3224901269828191</v>
      </c>
      <c r="D1447">
        <f ca="1"/>
        <v>-0.48203365397052728</v>
      </c>
      <c r="E1447">
        <f ca="1"/>
        <v>1.1542835346012148</v>
      </c>
      <c r="G1447">
        <f ca="1"/>
        <v>6.9586873117443231</v>
      </c>
    </row>
    <row r="1448" spans="3:7">
      <c r="C1448">
        <f ca="1"/>
        <v>-1.1456641512763157</v>
      </c>
      <c r="D1448">
        <f ca="1"/>
        <v>2.1106911825083836</v>
      </c>
      <c r="E1448">
        <f ca="1"/>
        <v>-2.2092085228315455</v>
      </c>
      <c r="G1448">
        <f ca="1"/>
        <v>10.64816591278986</v>
      </c>
    </row>
    <row r="1449" spans="3:7">
      <c r="C1449">
        <f ca="1"/>
        <v>5.5658088886571706E-2</v>
      </c>
      <c r="D1449">
        <f ca="1"/>
        <v>0.12774027981723507</v>
      </c>
      <c r="E1449">
        <f ca="1"/>
        <v>0.48258940013225998</v>
      </c>
      <c r="G1449">
        <f ca="1"/>
        <v>0.25230793106630556</v>
      </c>
    </row>
    <row r="1450" spans="3:7">
      <c r="C1450">
        <f ca="1"/>
        <v>1.1019192706264569</v>
      </c>
      <c r="D1450">
        <f ca="1"/>
        <v>0.59203875098642433</v>
      </c>
      <c r="E1450">
        <f ca="1"/>
        <v>-0.9635608613065324</v>
      </c>
      <c r="G1450">
        <f ca="1"/>
        <v>2.4931854950892944</v>
      </c>
    </row>
    <row r="1451" spans="3:7">
      <c r="C1451">
        <f ca="1"/>
        <v>0.44998957250043581</v>
      </c>
      <c r="D1451">
        <f ca="1"/>
        <v>-0.49482846541755826</v>
      </c>
      <c r="E1451">
        <f ca="1"/>
        <v>-0.41545832004655875</v>
      </c>
      <c r="G1451">
        <f ca="1"/>
        <v>0.61995144124252943</v>
      </c>
    </row>
    <row r="1452" spans="3:7">
      <c r="C1452">
        <f ca="1"/>
        <v>0.18419768975495626</v>
      </c>
      <c r="D1452">
        <f ca="1"/>
        <v>-0.47452744023801691</v>
      </c>
      <c r="E1452">
        <f ca="1"/>
        <v>0.59271685516643813</v>
      </c>
      <c r="G1452">
        <f ca="1"/>
        <v>0.61041835084830021</v>
      </c>
    </row>
    <row r="1453" spans="3:7">
      <c r="C1453">
        <f ca="1"/>
        <v>-0.13242343826933445</v>
      </c>
      <c r="D1453">
        <f ca="1"/>
        <v>0.48137529946290286</v>
      </c>
      <c r="E1453">
        <f ca="1"/>
        <v>-0.72283128075474945</v>
      </c>
      <c r="G1453">
        <f ca="1"/>
        <v>0.77174320637362304</v>
      </c>
    </row>
    <row r="1454" spans="3:7">
      <c r="C1454">
        <f ca="1"/>
        <v>-2.0653313583161412</v>
      </c>
      <c r="D1454">
        <f ca="1"/>
        <v>-1.3281775795805515</v>
      </c>
      <c r="E1454">
        <f ca="1"/>
        <v>-0.64799649438102491</v>
      </c>
      <c r="G1454">
        <f ca="1"/>
        <v>6.4495487592745464</v>
      </c>
    </row>
    <row r="1455" spans="3:7">
      <c r="C1455">
        <f ca="1"/>
        <v>-1.102310794595029</v>
      </c>
      <c r="D1455">
        <f ca="1"/>
        <v>-0.55381499999740813</v>
      </c>
      <c r="E1455">
        <f ca="1"/>
        <v>-1.9967153864915566</v>
      </c>
      <c r="G1455">
        <f ca="1"/>
        <v>5.5086724767549793</v>
      </c>
    </row>
    <row r="1456" spans="3:7">
      <c r="C1456">
        <f ca="1"/>
        <v>0.84585259749478103</v>
      </c>
      <c r="D1456">
        <f ca="1"/>
        <v>-0.68689172956502631</v>
      </c>
      <c r="E1456">
        <f ca="1"/>
        <v>5.4050637218772964E-2</v>
      </c>
      <c r="G1456">
        <f ca="1"/>
        <v>1.1902083362172566</v>
      </c>
    </row>
    <row r="1457" spans="3:7">
      <c r="C1457">
        <f ca="1"/>
        <v>-0.85282744053179316</v>
      </c>
      <c r="D1457">
        <f ca="1"/>
        <v>0.92453682092442258</v>
      </c>
      <c r="E1457">
        <f ca="1"/>
        <v>1.0681337675587612</v>
      </c>
      <c r="G1457">
        <f ca="1"/>
        <v>2.7229927219683212</v>
      </c>
    </row>
    <row r="1458" spans="3:7">
      <c r="C1458">
        <f ca="1"/>
        <v>0.27213402540241027</v>
      </c>
      <c r="D1458">
        <f ca="1"/>
        <v>-0.42117542495076271</v>
      </c>
      <c r="E1458">
        <f ca="1"/>
        <v>1.1177477476609925</v>
      </c>
      <c r="G1458">
        <f ca="1"/>
        <v>1.5008056937653969</v>
      </c>
    </row>
    <row r="1459" spans="3:7">
      <c r="C1459">
        <f ca="1"/>
        <v>-1.4982984558624268</v>
      </c>
      <c r="D1459">
        <f ca="1"/>
        <v>0.9477710298055626</v>
      </c>
      <c r="E1459">
        <f ca="1"/>
        <v>-0.88708944085455277</v>
      </c>
      <c r="G1459">
        <f ca="1"/>
        <v>3.9300958638540724</v>
      </c>
    </row>
    <row r="1460" spans="3:7">
      <c r="C1460">
        <f ca="1"/>
        <v>1.4557442557850686</v>
      </c>
      <c r="D1460">
        <f ca="1"/>
        <v>2.1331348738193139</v>
      </c>
      <c r="E1460">
        <f ca="1"/>
        <v>6.0088088720036313E-2</v>
      </c>
      <c r="G1460">
        <f ca="1"/>
        <v>6.6730663065613909</v>
      </c>
    </row>
    <row r="1461" spans="3:7">
      <c r="C1461">
        <f ca="1"/>
        <v>1.5143786166368534</v>
      </c>
      <c r="D1461">
        <f ca="1"/>
        <v>-0.48393490904343961</v>
      </c>
      <c r="E1461">
        <f ca="1"/>
        <v>1.167818606268529</v>
      </c>
      <c r="G1461">
        <f ca="1"/>
        <v>3.891335887864801</v>
      </c>
    </row>
    <row r="1462" spans="3:7">
      <c r="C1462">
        <f ca="1"/>
        <v>-1.2922112190664961</v>
      </c>
      <c r="D1462">
        <f ca="1"/>
        <v>1.2155405971106616</v>
      </c>
      <c r="E1462">
        <f ca="1"/>
        <v>2.6052069618130855</v>
      </c>
      <c r="G1462">
        <f ca="1"/>
        <v>9.9344520917848307</v>
      </c>
    </row>
    <row r="1463" spans="3:7">
      <c r="C1463">
        <f ca="1"/>
        <v>0.92737205416207924</v>
      </c>
      <c r="D1463">
        <f ca="1"/>
        <v>-1.0271337226182895</v>
      </c>
      <c r="E1463">
        <f ca="1"/>
        <v>-0.24450477981267082</v>
      </c>
      <c r="G1463">
        <f ca="1"/>
        <v>1.9748051983317421</v>
      </c>
    </row>
    <row r="1464" spans="3:7">
      <c r="C1464">
        <f ca="1"/>
        <v>1.8599028605713681</v>
      </c>
      <c r="D1464">
        <f ca="1"/>
        <v>1.6542093171636783</v>
      </c>
      <c r="E1464">
        <f ca="1"/>
        <v>3.2438425935611852E-2</v>
      </c>
      <c r="G1464">
        <f ca="1"/>
        <v>6.1966993672298605</v>
      </c>
    </row>
    <row r="1465" spans="3:7">
      <c r="C1465">
        <f ca="1"/>
        <v>8.9358124566007752E-2</v>
      </c>
      <c r="D1465">
        <f ca="1"/>
        <v>0.15618038157074984</v>
      </c>
      <c r="E1465">
        <f ca="1"/>
        <v>0.25919675039678458</v>
      </c>
      <c r="G1465">
        <f ca="1"/>
        <v>9.956014142979222E-2</v>
      </c>
    </row>
    <row r="1466" spans="3:7">
      <c r="C1466">
        <f ca="1"/>
        <v>5.0186951224031731E-2</v>
      </c>
      <c r="D1466">
        <f ca="1"/>
        <v>-0.52749623124159972</v>
      </c>
      <c r="E1466">
        <f ca="1"/>
        <v>-0.11391596377149268</v>
      </c>
      <c r="G1466">
        <f ca="1"/>
        <v>0.2937478508492426</v>
      </c>
    </row>
    <row r="1467" spans="3:7">
      <c r="C1467">
        <f ca="1"/>
        <v>0.99523286679501555</v>
      </c>
      <c r="D1467">
        <f ca="1"/>
        <v>0.2500015811543938</v>
      </c>
      <c r="E1467">
        <f ca="1"/>
        <v>0.69625201033924022</v>
      </c>
      <c r="G1467">
        <f ca="1"/>
        <v>1.5377561116301557</v>
      </c>
    </row>
    <row r="1468" spans="3:7">
      <c r="C1468">
        <f ca="1"/>
        <v>-1.771364345542269E-2</v>
      </c>
      <c r="D1468">
        <f ca="1"/>
        <v>-0.52201921647347294</v>
      </c>
      <c r="E1468">
        <f ca="1"/>
        <v>0.70314562753531984</v>
      </c>
      <c r="G1468">
        <f ca="1"/>
        <v>0.76723160905408316</v>
      </c>
    </row>
    <row r="1469" spans="3:7">
      <c r="C1469">
        <f ca="1"/>
        <v>-1.7841594146356998</v>
      </c>
      <c r="D1469">
        <f ca="1"/>
        <v>-1.0718357663636344</v>
      </c>
      <c r="E1469">
        <f ca="1"/>
        <v>0.27742898563156754</v>
      </c>
      <c r="G1469">
        <f ca="1"/>
        <v>4.4090235689580828</v>
      </c>
    </row>
    <row r="1470" spans="3:7">
      <c r="C1470">
        <f ca="1"/>
        <v>-1.2870705107315128</v>
      </c>
      <c r="D1470">
        <f ca="1"/>
        <v>-0.1200449381091407</v>
      </c>
      <c r="E1470">
        <f ca="1"/>
        <v>-2.7862761745678251</v>
      </c>
      <c r="G1470">
        <f ca="1"/>
        <v>9.4342962077246177</v>
      </c>
    </row>
    <row r="1471" spans="3:7">
      <c r="C1471">
        <f ca="1"/>
        <v>-7.6939395804202851E-2</v>
      </c>
      <c r="D1471">
        <f ca="1"/>
        <v>0.52146989909627262</v>
      </c>
      <c r="E1471">
        <f ca="1"/>
        <v>1.2985703344269199</v>
      </c>
      <c r="G1471">
        <f ca="1"/>
        <v>1.9641354397438351</v>
      </c>
    </row>
    <row r="1472" spans="3:7">
      <c r="C1472">
        <f ca="1"/>
        <v>0.64042737405663586</v>
      </c>
      <c r="D1472">
        <f ca="1"/>
        <v>1.2565040944562309</v>
      </c>
      <c r="E1472">
        <f ca="1"/>
        <v>2.0761845961043925</v>
      </c>
      <c r="G1472">
        <f ca="1"/>
        <v>6.2994922379275105</v>
      </c>
    </row>
    <row r="1473" spans="3:7">
      <c r="C1473">
        <f ca="1"/>
        <v>-1.5812255958639729</v>
      </c>
      <c r="D1473">
        <f ca="1"/>
        <v>0.19575688444040895</v>
      </c>
      <c r="E1473">
        <f ca="1"/>
        <v>-0.97914113453233387</v>
      </c>
      <c r="G1473">
        <f ca="1"/>
        <v>3.4973125041544577</v>
      </c>
    </row>
    <row r="1474" spans="3:7">
      <c r="C1474">
        <f ca="1"/>
        <v>-0.24090170784543247</v>
      </c>
      <c r="D1474">
        <f ca="1"/>
        <v>0.9433896254804307</v>
      </c>
      <c r="E1474">
        <f ca="1"/>
        <v>0.93024650717933133</v>
      </c>
      <c r="G1474">
        <f ca="1"/>
        <v>1.8133761824262993</v>
      </c>
    </row>
    <row r="1475" spans="3:7">
      <c r="C1475">
        <f ca="1"/>
        <v>1.0124029754589434</v>
      </c>
      <c r="D1475">
        <f ca="1"/>
        <v>-1.061695178279644</v>
      </c>
      <c r="E1475">
        <f ca="1"/>
        <v>0.5393873427227569</v>
      </c>
      <c r="G1475">
        <f ca="1"/>
        <v>2.4430951417898839</v>
      </c>
    </row>
    <row r="1476" spans="3:7">
      <c r="C1476">
        <f ca="1"/>
        <v>-1.7475559412685795</v>
      </c>
      <c r="D1476">
        <f ca="1"/>
        <v>-0.29943673512126096</v>
      </c>
      <c r="E1476">
        <f ca="1"/>
        <v>-0.18400924527482859</v>
      </c>
      <c r="G1476">
        <f ca="1"/>
        <v>3.1774735285498035</v>
      </c>
    </row>
    <row r="1477" spans="3:7">
      <c r="C1477">
        <f ca="1"/>
        <v>0.45898328549527129</v>
      </c>
      <c r="D1477">
        <f ca="1"/>
        <v>-0.79625347813149994</v>
      </c>
      <c r="E1477">
        <f ca="1"/>
        <v>1.0796994758764276</v>
      </c>
      <c r="G1477">
        <f ca="1"/>
        <v>2.0104362160083773</v>
      </c>
    </row>
    <row r="1478" spans="3:7">
      <c r="C1478">
        <f ca="1"/>
        <v>-0.14627850679956489</v>
      </c>
      <c r="D1478">
        <f ca="1"/>
        <v>0.78269056247364122</v>
      </c>
      <c r="E1478">
        <f ca="1"/>
        <v>2.5378098411916219</v>
      </c>
      <c r="G1478">
        <f ca="1"/>
        <v>7.0744807081858605</v>
      </c>
    </row>
    <row r="1479" spans="3:7">
      <c r="C1479">
        <f ca="1"/>
        <v>0.34182746616278437</v>
      </c>
      <c r="D1479">
        <f ca="1"/>
        <v>-1.7462956585200164E-2</v>
      </c>
      <c r="E1479">
        <f ca="1"/>
        <v>-0.24511048667417132</v>
      </c>
      <c r="G1479">
        <f ca="1"/>
        <v>0.17723012215361519</v>
      </c>
    </row>
    <row r="1480" spans="3:7">
      <c r="C1480">
        <f ca="1"/>
        <v>-1.7711266113273729</v>
      </c>
      <c r="D1480">
        <f ca="1"/>
        <v>0.20675682376996693</v>
      </c>
      <c r="E1480">
        <f ca="1"/>
        <v>-6.1028532939721693E-2</v>
      </c>
      <c r="G1480">
        <f ca="1"/>
        <v>3.1833623393602029</v>
      </c>
    </row>
    <row r="1481" spans="3:7">
      <c r="C1481">
        <f ca="1"/>
        <v>-0.49291905917565548</v>
      </c>
      <c r="D1481">
        <f ca="1"/>
        <v>-0.14042854556265222</v>
      </c>
      <c r="E1481">
        <f ca="1"/>
        <v>4.6664439833889362E-2</v>
      </c>
      <c r="G1481">
        <f ca="1"/>
        <v>0.2648669452524659</v>
      </c>
    </row>
    <row r="1482" spans="3:7">
      <c r="C1482">
        <f ca="1"/>
        <v>2.311443096008059</v>
      </c>
      <c r="D1482">
        <f ca="1"/>
        <v>3.2349436759862425E-2</v>
      </c>
      <c r="E1482">
        <f ca="1"/>
        <v>-0.88980130421549053</v>
      </c>
      <c r="G1482">
        <f ca="1"/>
        <v>6.1355620331255887</v>
      </c>
    </row>
    <row r="1483" spans="3:7">
      <c r="C1483">
        <f ca="1"/>
        <v>0.30541213757980951</v>
      </c>
      <c r="D1483">
        <f ca="1"/>
        <v>0.48734489654289331</v>
      </c>
      <c r="E1483">
        <f ca="1"/>
        <v>-1.9547872498587953</v>
      </c>
      <c r="G1483">
        <f ca="1"/>
        <v>4.1519748141779838</v>
      </c>
    </row>
    <row r="1484" spans="3:7">
      <c r="C1484">
        <f ca="1"/>
        <v>0.72289928588108343</v>
      </c>
      <c r="D1484">
        <f ca="1"/>
        <v>-0.2060264367742024</v>
      </c>
      <c r="E1484">
        <f ca="1"/>
        <v>0.74168397444468526</v>
      </c>
      <c r="G1484">
        <f ca="1"/>
        <v>1.1151253881253194</v>
      </c>
    </row>
    <row r="1485" spans="3:7">
      <c r="C1485">
        <f ca="1"/>
        <v>0.66672645522053819</v>
      </c>
      <c r="D1485">
        <f ca="1"/>
        <v>6.964650239093241E-2</v>
      </c>
      <c r="E1485">
        <f ca="1"/>
        <v>-0.25090620063611707</v>
      </c>
      <c r="G1485">
        <f ca="1"/>
        <v>0.51232872290388587</v>
      </c>
    </row>
    <row r="1486" spans="3:7">
      <c r="C1486">
        <f ca="1"/>
        <v>0.96394230165771877</v>
      </c>
      <c r="D1486">
        <f ca="1"/>
        <v>-1.1069981783418308</v>
      </c>
      <c r="E1486">
        <f ca="1"/>
        <v>0.18576810684076803</v>
      </c>
      <c r="G1486">
        <f ca="1"/>
        <v>2.1891395172965153</v>
      </c>
    </row>
    <row r="1487" spans="3:7">
      <c r="C1487">
        <f ca="1"/>
        <v>0.74733906967124086</v>
      </c>
      <c r="D1487">
        <f ca="1"/>
        <v>1.310247758776147</v>
      </c>
      <c r="E1487">
        <f ca="1"/>
        <v>-0.22155894939233831</v>
      </c>
      <c r="G1487">
        <f ca="1"/>
        <v>2.3243532424908286</v>
      </c>
    </row>
    <row r="1488" spans="3:7">
      <c r="C1488">
        <f ca="1"/>
        <v>1.0093499181295209</v>
      </c>
      <c r="D1488">
        <f ca="1"/>
        <v>1.0030835449677971</v>
      </c>
      <c r="E1488">
        <f ca="1"/>
        <v>-0.57968541368686921</v>
      </c>
      <c r="G1488">
        <f ca="1"/>
        <v>2.3609990342545499</v>
      </c>
    </row>
    <row r="1489" spans="3:7">
      <c r="C1489">
        <f ca="1"/>
        <v>6.4914564169559125E-2</v>
      </c>
      <c r="D1489">
        <f ca="1"/>
        <v>-0.28303596638976064</v>
      </c>
      <c r="E1489">
        <f ca="1"/>
        <v>-0.38551605958966512</v>
      </c>
      <c r="G1489">
        <f ca="1"/>
        <v>0.23294589111305175</v>
      </c>
    </row>
    <row r="1490" spans="3:7">
      <c r="C1490">
        <f ca="1"/>
        <v>-1.4472534940191704</v>
      </c>
      <c r="D1490">
        <f ca="1"/>
        <v>-0.6650425504341354</v>
      </c>
      <c r="E1490">
        <f ca="1"/>
        <v>0.14227243043190951</v>
      </c>
      <c r="G1490">
        <f ca="1"/>
        <v>2.5570657142996391</v>
      </c>
    </row>
    <row r="1491" spans="3:7">
      <c r="C1491">
        <f ca="1"/>
        <v>0.28202544152941578</v>
      </c>
      <c r="D1491">
        <f ca="1"/>
        <v>0.57625236699088778</v>
      </c>
      <c r="E1491">
        <f ca="1"/>
        <v>0.55797134609325627</v>
      </c>
      <c r="G1491">
        <f ca="1"/>
        <v>0.72293716319358303</v>
      </c>
    </row>
    <row r="1492" spans="3:7">
      <c r="C1492">
        <f ca="1"/>
        <v>0.41496891637008537</v>
      </c>
      <c r="D1492">
        <f ca="1"/>
        <v>-6.8817727760688716E-2</v>
      </c>
      <c r="E1492">
        <f ca="1"/>
        <v>-9.6045289200981501E-2</v>
      </c>
      <c r="G1492">
        <f ca="1"/>
        <v>0.18615977878520734</v>
      </c>
    </row>
    <row r="1493" spans="3:7">
      <c r="C1493">
        <f ca="1"/>
        <v>0.19104390443657174</v>
      </c>
      <c r="D1493">
        <f ca="1"/>
        <v>0.43645244259015326</v>
      </c>
      <c r="E1493">
        <f ca="1"/>
        <v>-1.117590895841255</v>
      </c>
      <c r="G1493">
        <f ca="1"/>
        <v>1.4759979185325398</v>
      </c>
    </row>
    <row r="1494" spans="3:7">
      <c r="C1494">
        <f ca="1"/>
        <v>-0.1851956944640803</v>
      </c>
      <c r="D1494">
        <f ca="1"/>
        <v>-0.29954640069132327</v>
      </c>
      <c r="E1494">
        <f ca="1"/>
        <v>-0.90633901502869563</v>
      </c>
      <c r="G1494">
        <f ca="1"/>
        <v>0.94547590157834593</v>
      </c>
    </row>
    <row r="1495" spans="3:7">
      <c r="C1495">
        <f ca="1"/>
        <v>-0.52870241188774214</v>
      </c>
      <c r="D1495">
        <f ca="1"/>
        <v>1.4512292393582804</v>
      </c>
      <c r="E1495">
        <f ca="1"/>
        <v>-2.0593607514569423</v>
      </c>
      <c r="G1495">
        <f ca="1"/>
        <v>6.6265592501456307</v>
      </c>
    </row>
    <row r="1496" spans="3:7">
      <c r="C1496">
        <f ca="1"/>
        <v>-1.1967469955151337</v>
      </c>
      <c r="D1496">
        <f ca="1"/>
        <v>3.8354857827034929</v>
      </c>
      <c r="E1496">
        <f ca="1"/>
        <v>1.8523850626290923</v>
      </c>
      <c r="G1496">
        <f ca="1"/>
        <v>19.57448498084651</v>
      </c>
    </row>
    <row r="1497" spans="3:7">
      <c r="C1497">
        <f ca="1"/>
        <v>-0.16145077086649887</v>
      </c>
      <c r="D1497">
        <f ca="1"/>
        <v>1.8966418669871961</v>
      </c>
      <c r="E1497">
        <f ca="1"/>
        <v>-1.6047968245381636</v>
      </c>
      <c r="G1497">
        <f ca="1"/>
        <v>6.1986895710698366</v>
      </c>
    </row>
    <row r="1498" spans="3:7">
      <c r="C1498">
        <f ca="1"/>
        <v>-0.56843378269962208</v>
      </c>
      <c r="D1498">
        <f ca="1"/>
        <v>0.29516187813905531</v>
      </c>
      <c r="E1498">
        <f ca="1"/>
        <v>-1.2290229424317063</v>
      </c>
      <c r="G1498">
        <f ca="1"/>
        <v>1.9207348926442651</v>
      </c>
    </row>
    <row r="1499" spans="3:7">
      <c r="C1499">
        <f ca="1"/>
        <v>0.44636282288321477</v>
      </c>
      <c r="D1499">
        <f ca="1"/>
        <v>-0.67081991500695493</v>
      </c>
      <c r="E1499">
        <f ca="1"/>
        <v>0.38638446190753817</v>
      </c>
      <c r="G1499">
        <f ca="1"/>
        <v>0.79853208042578827</v>
      </c>
    </row>
    <row r="1500" spans="3:7">
      <c r="C1500">
        <f ca="1"/>
        <v>0.2360223441615793</v>
      </c>
      <c r="D1500">
        <f ca="1"/>
        <v>0.5231356623297978</v>
      </c>
      <c r="E1500">
        <f ca="1"/>
        <v>0.5744120037554391</v>
      </c>
      <c r="G1500">
        <f ca="1"/>
        <v>0.65932661820310179</v>
      </c>
    </row>
    <row r="1501" spans="3:7">
      <c r="C1501">
        <f ca="1"/>
        <v>-0.92139715884789675</v>
      </c>
      <c r="D1501">
        <f ca="1"/>
        <v>0.44290991263570983</v>
      </c>
      <c r="E1501">
        <f ca="1"/>
        <v>-0.16105588341586827</v>
      </c>
      <c r="G1501">
        <f ca="1"/>
        <v>1.0710809126268142</v>
      </c>
    </row>
    <row r="1502" spans="3:7">
      <c r="C1502">
        <f ca="1"/>
        <v>-0.44440817973538371</v>
      </c>
      <c r="D1502">
        <f ca="1"/>
        <v>-0.4827442872613793</v>
      </c>
      <c r="E1502">
        <f ca="1"/>
        <v>0.36365614017423792</v>
      </c>
      <c r="G1502">
        <f ca="1"/>
        <v>0.56278646538563915</v>
      </c>
    </row>
    <row r="1503" spans="3:7">
      <c r="C1503">
        <f ca="1"/>
        <v>-4.425701591162632E-2</v>
      </c>
      <c r="D1503">
        <f ca="1"/>
        <v>1.5653172603631795</v>
      </c>
      <c r="E1503">
        <f ca="1"/>
        <v>-0.91935062516539057</v>
      </c>
      <c r="G1503">
        <f ca="1"/>
        <v>3.2973823810402862</v>
      </c>
    </row>
    <row r="1504" spans="3:7">
      <c r="C1504">
        <f ca="1"/>
        <v>1.3756957571300985</v>
      </c>
      <c r="D1504">
        <f ca="1"/>
        <v>0.90295722731675543</v>
      </c>
      <c r="E1504">
        <f ca="1"/>
        <v>-0.20973870819451407</v>
      </c>
      <c r="G1504">
        <f ca="1"/>
        <v>2.7518608962644211</v>
      </c>
    </row>
    <row r="1505" spans="3:7">
      <c r="C1505">
        <f ca="1"/>
        <v>0.11086124836412083</v>
      </c>
      <c r="D1505">
        <f ca="1"/>
        <v>1.0471127947674526</v>
      </c>
      <c r="E1505">
        <f ca="1"/>
        <v>0.49572148470522842</v>
      </c>
      <c r="G1505">
        <f ca="1"/>
        <v>1.3544752117529124</v>
      </c>
    </row>
    <row r="1506" spans="3:7">
      <c r="C1506">
        <f ca="1"/>
        <v>0.34451877780379908</v>
      </c>
      <c r="D1506">
        <f ca="1"/>
        <v>-0.13209365762515746</v>
      </c>
      <c r="E1506">
        <f ca="1"/>
        <v>-0.62569180811586944</v>
      </c>
      <c r="G1506">
        <f ca="1"/>
        <v>0.52763216138752178</v>
      </c>
    </row>
    <row r="1507" spans="3:7">
      <c r="C1507">
        <f ca="1"/>
        <v>0.62981233720402519</v>
      </c>
      <c r="D1507">
        <f ca="1"/>
        <v>-1.2630006645594223</v>
      </c>
      <c r="E1507">
        <f ca="1"/>
        <v>-0.59845312847887999</v>
      </c>
      <c r="G1507">
        <f ca="1"/>
        <v>2.3499804057580977</v>
      </c>
    </row>
    <row r="1508" spans="3:7">
      <c r="C1508">
        <f ca="1"/>
        <v>2.0567078903405394</v>
      </c>
      <c r="D1508">
        <f ca="1"/>
        <v>0.86541155800971614</v>
      </c>
      <c r="E1508">
        <f ca="1"/>
        <v>1.7963689455445016E-2</v>
      </c>
      <c r="G1508">
        <f ca="1"/>
        <v>4.9793072050646883</v>
      </c>
    </row>
    <row r="1509" spans="3:7">
      <c r="C1509">
        <f ca="1"/>
        <v>-0.54521779183278285</v>
      </c>
      <c r="D1509">
        <f ca="1"/>
        <v>-1.8176286383036042</v>
      </c>
      <c r="E1509">
        <f ca="1"/>
        <v>-0.34061126255865226</v>
      </c>
      <c r="G1509">
        <f ca="1"/>
        <v>3.717052339494229</v>
      </c>
    </row>
    <row r="1510" spans="3:7">
      <c r="C1510">
        <f ca="1"/>
        <v>-1.1125018320479956</v>
      </c>
      <c r="D1510">
        <f ca="1"/>
        <v>0.82650958754969561</v>
      </c>
      <c r="E1510">
        <f ca="1"/>
        <v>-1.2011738376246159</v>
      </c>
      <c r="G1510">
        <f ca="1"/>
        <v>3.3635970128155614</v>
      </c>
    </row>
    <row r="1511" spans="3:7">
      <c r="C1511">
        <f ca="1"/>
        <v>1.2617952358856379</v>
      </c>
      <c r="D1511">
        <f ca="1"/>
        <v>0.28494311449073695</v>
      </c>
      <c r="E1511">
        <f ca="1"/>
        <v>-1.2796559291623901</v>
      </c>
      <c r="G1511">
        <f ca="1"/>
        <v>3.3108390928398341</v>
      </c>
    </row>
    <row r="1512" spans="3:7">
      <c r="C1512">
        <f ca="1"/>
        <v>1.5923770736159624</v>
      </c>
      <c r="D1512">
        <f ca="1"/>
        <v>-2.1541699804978367</v>
      </c>
      <c r="E1512">
        <f ca="1"/>
        <v>0.89648450565279059</v>
      </c>
      <c r="G1512">
        <f ca="1"/>
        <v>7.9797975183313143</v>
      </c>
    </row>
    <row r="1513" spans="3:7">
      <c r="C1513">
        <f ca="1"/>
        <v>1.5901560205854672</v>
      </c>
      <c r="D1513">
        <f ca="1"/>
        <v>1.483451300250011E-2</v>
      </c>
      <c r="E1513">
        <f ca="1"/>
        <v>0.13573921424029683</v>
      </c>
      <c r="G1513">
        <f ca="1"/>
        <v>2.5472413668628033</v>
      </c>
    </row>
    <row r="1514" spans="3:7">
      <c r="C1514">
        <f ca="1"/>
        <v>-2.0092968265437201</v>
      </c>
      <c r="D1514">
        <f ca="1"/>
        <v>0.25096826759519553</v>
      </c>
      <c r="E1514">
        <f ca="1"/>
        <v>1.3916808025744052</v>
      </c>
      <c r="G1514">
        <f ca="1"/>
        <v>6.0370342647525383</v>
      </c>
    </row>
    <row r="1515" spans="3:7">
      <c r="C1515">
        <f ca="1"/>
        <v>2.4176286815921539</v>
      </c>
      <c r="D1515">
        <f ca="1"/>
        <v>0.30217039677981794</v>
      </c>
      <c r="E1515">
        <f ca="1"/>
        <v>0.19247453784479368</v>
      </c>
      <c r="G1515">
        <f ca="1"/>
        <v>5.9732818384656561</v>
      </c>
    </row>
    <row r="1516" spans="3:7">
      <c r="C1516">
        <f ca="1"/>
        <v>-0.55330475160175618</v>
      </c>
      <c r="D1516">
        <f ca="1"/>
        <v>1.4809881526941624</v>
      </c>
      <c r="E1516">
        <f ca="1"/>
        <v>0.1400968443444682</v>
      </c>
      <c r="G1516">
        <f ca="1"/>
        <v>2.5190991823608266</v>
      </c>
    </row>
    <row r="1517" spans="3:7">
      <c r="C1517">
        <f ca="1"/>
        <v>0.82662242774653671</v>
      </c>
      <c r="D1517">
        <f ca="1"/>
        <v>-0.51319609298043989</v>
      </c>
      <c r="E1517">
        <f ca="1"/>
        <v>-2.6333364684049818E-2</v>
      </c>
      <c r="G1517">
        <f ca="1"/>
        <v>0.9473683139995499</v>
      </c>
    </row>
    <row r="1518" spans="3:7">
      <c r="C1518">
        <f ca="1"/>
        <v>1.9487661135226744</v>
      </c>
      <c r="D1518">
        <f ca="1"/>
        <v>-4.5932933338592129E-2</v>
      </c>
      <c r="E1518">
        <f ca="1"/>
        <v>-0.5081614891905728</v>
      </c>
      <c r="G1518">
        <f ca="1"/>
        <v>4.0580272986757375</v>
      </c>
    </row>
    <row r="1519" spans="3:7">
      <c r="C1519">
        <f ca="1"/>
        <v>-0.34191854236463315</v>
      </c>
      <c r="D1519">
        <f ca="1"/>
        <v>1.222375392153763</v>
      </c>
      <c r="E1519">
        <f ca="1"/>
        <v>0.64191828675742724</v>
      </c>
      <c r="G1519">
        <f ca="1"/>
        <v>2.023168975829412</v>
      </c>
    </row>
    <row r="1520" spans="3:7">
      <c r="C1520">
        <f ca="1"/>
        <v>9.0959288869703253E-2</v>
      </c>
      <c r="D1520">
        <f ca="1"/>
        <v>-1.0341585000065117</v>
      </c>
      <c r="E1520">
        <f ca="1"/>
        <v>0.55238212095669015</v>
      </c>
      <c r="G1520">
        <f ca="1"/>
        <v>1.3828834029200117</v>
      </c>
    </row>
    <row r="1521" spans="3:7">
      <c r="C1521">
        <f ca="1"/>
        <v>-0.59975621115128164</v>
      </c>
      <c r="D1521">
        <f ca="1"/>
        <v>0.12565104761430451</v>
      </c>
      <c r="E1521">
        <f ca="1"/>
        <v>-0.80425771730980478</v>
      </c>
      <c r="G1521">
        <f ca="1"/>
        <v>1.0223261744334908</v>
      </c>
    </row>
    <row r="1522" spans="3:7">
      <c r="C1522">
        <f ca="1"/>
        <v>0.40975708771788533</v>
      </c>
      <c r="D1522">
        <f ca="1"/>
        <v>0.40214951284930384</v>
      </c>
      <c r="E1522">
        <f ca="1"/>
        <v>-0.76272738266180029</v>
      </c>
      <c r="G1522">
        <f ca="1"/>
        <v>0.91137816188209553</v>
      </c>
    </row>
    <row r="1523" spans="3:7">
      <c r="C1523">
        <f ca="1"/>
        <v>-1.7123218349667304</v>
      </c>
      <c r="D1523">
        <f ca="1"/>
        <v>0.84530294345202972</v>
      </c>
      <c r="E1523">
        <f ca="1"/>
        <v>0.78790345755928015</v>
      </c>
      <c r="G1523">
        <f ca="1"/>
        <v>4.2673749911463643</v>
      </c>
    </row>
    <row r="1524" spans="3:7">
      <c r="C1524">
        <f ca="1"/>
        <v>-0.68163869010657629</v>
      </c>
      <c r="D1524">
        <f ca="1"/>
        <v>0.93763436138403433</v>
      </c>
      <c r="E1524">
        <f ca="1"/>
        <v>-0.1305942049853614</v>
      </c>
      <c r="G1524">
        <f ca="1"/>
        <v>1.3608443458740136</v>
      </c>
    </row>
    <row r="1525" spans="3:7">
      <c r="C1525">
        <f ca="1"/>
        <v>-1.5837405921940397</v>
      </c>
      <c r="D1525">
        <f ca="1"/>
        <v>-0.4141812736693995</v>
      </c>
      <c r="E1525">
        <f ca="1"/>
        <v>-0.17605167207466471</v>
      </c>
      <c r="G1525">
        <f ca="1"/>
        <v>2.7107745820618185</v>
      </c>
    </row>
    <row r="1526" spans="3:7">
      <c r="C1526">
        <f ca="1"/>
        <v>-0.94184540865599853</v>
      </c>
      <c r="D1526">
        <f ca="1"/>
        <v>-0.86867144676500918</v>
      </c>
      <c r="E1526">
        <f ca="1"/>
        <v>-1.2310103361395033</v>
      </c>
      <c r="G1526">
        <f ca="1"/>
        <v>3.1570493039134919</v>
      </c>
    </row>
    <row r="1527" spans="3:7">
      <c r="C1527">
        <f ca="1"/>
        <v>-0.72445346545075218</v>
      </c>
      <c r="D1527">
        <f ca="1"/>
        <v>0.37985055708996179</v>
      </c>
      <c r="E1527">
        <f ca="1"/>
        <v>5.7280393381654977E-2</v>
      </c>
      <c r="G1527">
        <f ca="1"/>
        <v>0.67240031279111567</v>
      </c>
    </row>
    <row r="1528" spans="3:7">
      <c r="C1528">
        <f ca="1"/>
        <v>-0.6869183036444324</v>
      </c>
      <c r="D1528">
        <f ca="1"/>
        <v>-1.1646010543486687</v>
      </c>
      <c r="E1528">
        <f ca="1"/>
        <v>-9.1503438180328231E-2</v>
      </c>
      <c r="G1528">
        <f ca="1"/>
        <v>1.8365252508705965</v>
      </c>
    </row>
    <row r="1529" spans="3:7">
      <c r="C1529">
        <f ca="1"/>
        <v>-1.5815969716156697</v>
      </c>
      <c r="D1529">
        <f ca="1"/>
        <v>-0.64748298198770859</v>
      </c>
      <c r="E1529">
        <f ca="1"/>
        <v>1.765683901429929</v>
      </c>
      <c r="G1529">
        <f ca="1"/>
        <v>6.0383228323563678</v>
      </c>
    </row>
    <row r="1530" spans="3:7">
      <c r="C1530">
        <f ca="1"/>
        <v>0.24243752312309055</v>
      </c>
      <c r="D1530">
        <f ca="1"/>
        <v>1.0764333695131194</v>
      </c>
      <c r="E1530">
        <f ca="1"/>
        <v>0.66025197182085005</v>
      </c>
      <c r="G1530">
        <f ca="1"/>
        <v>1.6534174179127474</v>
      </c>
    </row>
    <row r="1531" spans="3:7">
      <c r="C1531">
        <f ca="1"/>
        <v>-0.49251472248467848</v>
      </c>
      <c r="D1531">
        <f ca="1"/>
        <v>1.9696100545716151</v>
      </c>
      <c r="E1531">
        <f ca="1"/>
        <v>-0.40359073280685448</v>
      </c>
      <c r="G1531">
        <f ca="1"/>
        <v>4.2848199985413338</v>
      </c>
    </row>
    <row r="1532" spans="3:7">
      <c r="C1532">
        <f ca="1"/>
        <v>0.26953849823215403</v>
      </c>
      <c r="D1532">
        <f ca="1"/>
        <v>-0.20755635700746308</v>
      </c>
      <c r="E1532">
        <f ca="1"/>
        <v>-0.89751818520901194</v>
      </c>
      <c r="G1532">
        <f ca="1"/>
        <v>0.92126953614433271</v>
      </c>
    </row>
    <row r="1533" spans="3:7">
      <c r="C1533">
        <f ca="1"/>
        <v>1.8676925950058128</v>
      </c>
      <c r="D1533">
        <f ca="1"/>
        <v>0.13922553646526747</v>
      </c>
      <c r="E1533">
        <f ca="1"/>
        <v>-0.60744759954342331</v>
      </c>
      <c r="G1533">
        <f ca="1"/>
        <v>3.8766519656346556</v>
      </c>
    </row>
    <row r="1534" spans="3:7">
      <c r="C1534">
        <f ca="1"/>
        <v>-1.5877345603548316</v>
      </c>
      <c r="D1534">
        <f ca="1"/>
        <v>0.46456032021389937</v>
      </c>
      <c r="E1534">
        <f ca="1"/>
        <v>0.58654672734826441</v>
      </c>
      <c r="G1534">
        <f ca="1"/>
        <v>3.0807543886253503</v>
      </c>
    </row>
    <row r="1535" spans="3:7">
      <c r="C1535">
        <f ca="1"/>
        <v>0.11432068569382998</v>
      </c>
      <c r="D1535">
        <f ca="1"/>
        <v>-6.3600730111497347E-2</v>
      </c>
      <c r="E1535">
        <f ca="1"/>
        <v>1.2982330877257238</v>
      </c>
      <c r="G1535">
        <f ca="1"/>
        <v>1.7025234221140897</v>
      </c>
    </row>
    <row r="1536" spans="3:7">
      <c r="C1536">
        <f ca="1"/>
        <v>-0.86464492970515228</v>
      </c>
      <c r="D1536">
        <f ca="1"/>
        <v>-0.77015506123865529</v>
      </c>
      <c r="E1536">
        <f ca="1"/>
        <v>1.9980479337692096</v>
      </c>
      <c r="G1536">
        <f ca="1"/>
        <v>5.3329452184557526</v>
      </c>
    </row>
    <row r="1537" spans="3:7">
      <c r="C1537">
        <f ca="1"/>
        <v>1.8477059181907181</v>
      </c>
      <c r="D1537">
        <f ca="1"/>
        <v>-1.0263104046828533</v>
      </c>
      <c r="E1537">
        <f ca="1"/>
        <v>0.85214930941325495</v>
      </c>
      <c r="G1537">
        <f ca="1"/>
        <v>5.1934886524107737</v>
      </c>
    </row>
    <row r="1538" spans="3:7">
      <c r="C1538">
        <f ca="1"/>
        <v>0.18686266138991156</v>
      </c>
      <c r="D1538">
        <f ca="1"/>
        <v>-0.7452175055485275</v>
      </c>
      <c r="E1538">
        <f ca="1"/>
        <v>-4.8790634606982172E-2</v>
      </c>
      <c r="G1538">
        <f ca="1"/>
        <v>0.59264731082304234</v>
      </c>
    </row>
    <row r="1539" spans="3:7">
      <c r="C1539">
        <f ca="1"/>
        <v>0.21114009897783023</v>
      </c>
      <c r="D1539">
        <f ca="1"/>
        <v>0.74785136862824253</v>
      </c>
      <c r="E1539">
        <f ca="1"/>
        <v>-0.60235420939503947</v>
      </c>
      <c r="G1539">
        <f ca="1"/>
        <v>0.96669240453142646</v>
      </c>
    </row>
    <row r="1540" spans="3:7">
      <c r="C1540">
        <f ca="1"/>
        <v>0.74497813285333225</v>
      </c>
      <c r="D1540">
        <f ca="1"/>
        <v>0.74352208748383064</v>
      </c>
      <c r="E1540">
        <f ca="1"/>
        <v>-5.3295417829758149E-2</v>
      </c>
      <c r="G1540">
        <f ca="1"/>
        <v>1.110657914567599</v>
      </c>
    </row>
    <row r="1541" spans="3:7">
      <c r="C1541">
        <f ca="1"/>
        <v>0.47209604438294506</v>
      </c>
      <c r="D1541">
        <f ca="1"/>
        <v>-2.1937569334549254</v>
      </c>
      <c r="E1541">
        <f ca="1"/>
        <v>0.55201355154893017</v>
      </c>
      <c r="G1541">
        <f ca="1"/>
        <v>5.3401631192972454</v>
      </c>
    </row>
    <row r="1542" spans="3:7">
      <c r="C1542">
        <f ca="1"/>
        <v>1.2822188085628121</v>
      </c>
      <c r="D1542">
        <f ca="1"/>
        <v>-0.7762304773621056</v>
      </c>
      <c r="E1542">
        <f ca="1"/>
        <v>-0.80080029535725983</v>
      </c>
      <c r="G1542">
        <f ca="1"/>
        <v>2.8878999400623142</v>
      </c>
    </row>
    <row r="1543" spans="3:7">
      <c r="C1543">
        <f ca="1"/>
        <v>0.64467633413785375</v>
      </c>
      <c r="D1543">
        <f ca="1"/>
        <v>-8.9632834017543017E-2</v>
      </c>
      <c r="E1543">
        <f ca="1"/>
        <v>-0.70222676980391485</v>
      </c>
      <c r="G1543">
        <f ca="1"/>
        <v>0.91676405696067853</v>
      </c>
    </row>
    <row r="1544" spans="3:7">
      <c r="C1544">
        <f ca="1"/>
        <v>2.4368259695196057</v>
      </c>
      <c r="D1544">
        <f ca="1"/>
        <v>-0.84265560642027759</v>
      </c>
      <c r="E1544">
        <f ca="1"/>
        <v>1.0060362370151558E-3</v>
      </c>
      <c r="G1544">
        <f ca="1"/>
        <v>6.6481902888656021</v>
      </c>
    </row>
    <row r="1545" spans="3:7">
      <c r="C1545">
        <f ca="1"/>
        <v>8.8608282999286248E-2</v>
      </c>
      <c r="D1545">
        <f ca="1"/>
        <v>-2.7701267979717364E-2</v>
      </c>
      <c r="E1545">
        <f ca="1"/>
        <v>1.8507873298282993</v>
      </c>
      <c r="G1545">
        <f ca="1"/>
        <v>3.4340325283167314</v>
      </c>
    </row>
    <row r="1546" spans="3:7">
      <c r="C1546">
        <f ca="1"/>
        <v>0.43402592295783315</v>
      </c>
      <c r="D1546">
        <f ca="1"/>
        <v>1.8692794489221962</v>
      </c>
      <c r="E1546">
        <f ca="1"/>
        <v>-1.3397996647560282</v>
      </c>
      <c r="G1546">
        <f ca="1"/>
        <v>5.4776473016426337</v>
      </c>
    </row>
    <row r="1547" spans="3:7">
      <c r="C1547">
        <f ca="1"/>
        <v>0.67399102537528965</v>
      </c>
      <c r="D1547">
        <f ca="1"/>
        <v>-0.49906731598081056</v>
      </c>
      <c r="E1547">
        <f ca="1"/>
        <v>-0.24891977394000092</v>
      </c>
      <c r="G1547">
        <f ca="1"/>
        <v>0.76529314202506571</v>
      </c>
    </row>
    <row r="1548" spans="3:7">
      <c r="C1548">
        <f ca="1"/>
        <v>0.48769939143135871</v>
      </c>
      <c r="D1548">
        <f ca="1"/>
        <v>0.5413680087149384</v>
      </c>
      <c r="E1548">
        <f ca="1"/>
        <v>1.0000678632571869</v>
      </c>
      <c r="G1548">
        <f ca="1"/>
        <v>1.5310657483822907</v>
      </c>
    </row>
    <row r="1549" spans="3:7">
      <c r="C1549">
        <f ca="1"/>
        <v>-1.9266194898505395</v>
      </c>
      <c r="D1549">
        <f ca="1"/>
        <v>8.0508694312574236E-2</v>
      </c>
      <c r="E1549">
        <f ca="1"/>
        <v>0.19846649135484618</v>
      </c>
      <c r="G1549">
        <f ca="1"/>
        <v>3.7577332567225721</v>
      </c>
    </row>
    <row r="1550" spans="3:7">
      <c r="C1550">
        <f ca="1"/>
        <v>-0.67931327266702279</v>
      </c>
      <c r="D1550">
        <f ca="1"/>
        <v>0.20729810042978786</v>
      </c>
      <c r="E1550">
        <f ca="1"/>
        <v>0.14878601360251251</v>
      </c>
      <c r="G1550">
        <f ca="1"/>
        <v>0.52657630270710631</v>
      </c>
    </row>
    <row r="1551" spans="3:7">
      <c r="C1551">
        <f ca="1"/>
        <v>0.51241855468829745</v>
      </c>
      <c r="D1551">
        <f ca="1"/>
        <v>-0.55386925461377834</v>
      </c>
      <c r="E1551">
        <f ca="1"/>
        <v>-0.23608148120876113</v>
      </c>
      <c r="G1551">
        <f ca="1"/>
        <v>0.62507839216498873</v>
      </c>
    </row>
    <row r="1552" spans="3:7">
      <c r="C1552">
        <f ca="1"/>
        <v>2.481171394563058</v>
      </c>
      <c r="D1552">
        <f ca="1"/>
        <v>-1.0018316680208352</v>
      </c>
      <c r="E1552">
        <f ca="1"/>
        <v>0.24037331679269774</v>
      </c>
      <c r="G1552">
        <f ca="1"/>
        <v>7.2176575116733215</v>
      </c>
    </row>
    <row r="1553" spans="3:7">
      <c r="C1553">
        <f ca="1"/>
        <v>-1.3240110959393867</v>
      </c>
      <c r="D1553">
        <f ca="1"/>
        <v>0.17933893154458427</v>
      </c>
      <c r="E1553">
        <f ca="1"/>
        <v>0.83581669491118804</v>
      </c>
      <c r="G1553">
        <f ca="1"/>
        <v>2.4837573820304311</v>
      </c>
    </row>
    <row r="1554" spans="3:7">
      <c r="C1554">
        <f ca="1"/>
        <v>-0.36950932501462508</v>
      </c>
      <c r="D1554">
        <f ca="1"/>
        <v>-0.10275680867233219</v>
      </c>
      <c r="E1554">
        <f ca="1"/>
        <v>-0.82492633203058696</v>
      </c>
      <c r="G1554">
        <f ca="1"/>
        <v>0.82759955627872439</v>
      </c>
    </row>
    <row r="1555" spans="3:7">
      <c r="C1555">
        <f ca="1"/>
        <v>5.1905154306926195E-2</v>
      </c>
      <c r="D1555">
        <f ca="1"/>
        <v>0.69804375674162467</v>
      </c>
      <c r="E1555">
        <f ca="1"/>
        <v>-0.20731841472874024</v>
      </c>
      <c r="G1555">
        <f ca="1"/>
        <v>0.53294015645522419</v>
      </c>
    </row>
    <row r="1556" spans="3:7">
      <c r="C1556">
        <f ca="1"/>
        <v>-2.1231213095595107</v>
      </c>
      <c r="D1556">
        <f ca="1"/>
        <v>-6.5334661878403699E-2</v>
      </c>
      <c r="E1556">
        <f ca="1"/>
        <v>-0.5017413075267616</v>
      </c>
      <c r="G1556">
        <f ca="1"/>
        <v>4.7636570528271216</v>
      </c>
    </row>
    <row r="1557" spans="3:7">
      <c r="C1557">
        <f ca="1"/>
        <v>0.48176656285047353</v>
      </c>
      <c r="D1557">
        <f ca="1"/>
        <v>-0.30180729822202429</v>
      </c>
      <c r="E1557">
        <f ca="1"/>
        <v>-0.55812333534407532</v>
      </c>
      <c r="G1557">
        <f ca="1"/>
        <v>0.63468832379643236</v>
      </c>
    </row>
    <row r="1558" spans="3:7">
      <c r="C1558">
        <f ca="1"/>
        <v>1.2482551090712062</v>
      </c>
      <c r="D1558">
        <f ca="1"/>
        <v>0.77725128990560999</v>
      </c>
      <c r="E1558">
        <f ca="1"/>
        <v>1.8857042900077678</v>
      </c>
      <c r="G1558">
        <f ca="1"/>
        <v>5.7181410543360034</v>
      </c>
    </row>
    <row r="1559" spans="3:7">
      <c r="C1559">
        <f ca="1"/>
        <v>-0.99937906838705459</v>
      </c>
      <c r="D1559">
        <f ca="1"/>
        <v>-1.083655916752176</v>
      </c>
      <c r="E1559">
        <f ca="1"/>
        <v>-4.3450965885765143E-2</v>
      </c>
      <c r="G1559">
        <f ca="1"/>
        <v>2.1749566546785819</v>
      </c>
    </row>
    <row r="1560" spans="3:7">
      <c r="C1560">
        <f ca="1"/>
        <v>0.15533517970219604</v>
      </c>
      <c r="D1560">
        <f ca="1"/>
        <v>-0.89261232274649904</v>
      </c>
      <c r="E1560">
        <f ca="1"/>
        <v>0.48799361573215683</v>
      </c>
      <c r="G1560">
        <f ca="1"/>
        <v>1.0590235457673576</v>
      </c>
    </row>
    <row r="1561" spans="3:7">
      <c r="C1561">
        <f ca="1"/>
        <v>0.59168523344088764</v>
      </c>
      <c r="D1561">
        <f ca="1"/>
        <v>-1.3813662779828302</v>
      </c>
      <c r="E1561">
        <f ca="1"/>
        <v>0.93875933534048639</v>
      </c>
      <c r="G1561">
        <f ca="1"/>
        <v>3.1395332991090474</v>
      </c>
    </row>
    <row r="1562" spans="3:7">
      <c r="C1562">
        <f ca="1"/>
        <v>1.310189691098663</v>
      </c>
      <c r="D1562">
        <f ca="1"/>
        <v>-0.36249803545048953</v>
      </c>
      <c r="E1562">
        <f ca="1"/>
        <v>-0.93025453990683937</v>
      </c>
      <c r="G1562">
        <f ca="1"/>
        <v>2.7133753613839597</v>
      </c>
    </row>
    <row r="1563" spans="3:7">
      <c r="C1563">
        <f ca="1"/>
        <v>2.5697461908300863E-2</v>
      </c>
      <c r="D1563">
        <f ca="1"/>
        <v>2.1239519604059227</v>
      </c>
      <c r="E1563">
        <f ca="1"/>
        <v>1.1128835032044366</v>
      </c>
      <c r="G1563">
        <f ca="1"/>
        <v>5.7503419813652705</v>
      </c>
    </row>
    <row r="1564" spans="3:7">
      <c r="C1564">
        <f ca="1"/>
        <v>0.26496074197943903</v>
      </c>
      <c r="D1564">
        <f ca="1"/>
        <v>0.26106337316282591</v>
      </c>
      <c r="E1564">
        <f ca="1"/>
        <v>7.3530491793309602E-2</v>
      </c>
      <c r="G1564">
        <f ca="1"/>
        <v>0.14376501282081372</v>
      </c>
    </row>
    <row r="1565" spans="3:7">
      <c r="C1565">
        <f ca="1"/>
        <v>0.49249149752563554</v>
      </c>
      <c r="D1565">
        <f ca="1"/>
        <v>-0.16532971843274613</v>
      </c>
      <c r="E1565">
        <f ca="1"/>
        <v>-0.27439803132370416</v>
      </c>
      <c r="G1565">
        <f ca="1"/>
        <v>0.34517607052641874</v>
      </c>
    </row>
    <row r="1566" spans="3:7">
      <c r="C1566">
        <f ca="1"/>
        <v>0.36116254341473991</v>
      </c>
      <c r="D1566">
        <f ca="1"/>
        <v>0.54301277560940431</v>
      </c>
      <c r="E1566">
        <f ca="1"/>
        <v>0.31216504957736896</v>
      </c>
      <c r="G1566">
        <f ca="1"/>
        <v>0.52274827541847435</v>
      </c>
    </row>
    <row r="1567" spans="3:7">
      <c r="C1567">
        <f ca="1"/>
        <v>-0.96533917599193286</v>
      </c>
      <c r="D1567">
        <f ca="1"/>
        <v>0.96892645068238303</v>
      </c>
      <c r="E1567">
        <f ca="1"/>
        <v>0.83639228930405551</v>
      </c>
      <c r="G1567">
        <f ca="1"/>
        <v>2.5702502531440232</v>
      </c>
    </row>
    <row r="1568" spans="3:7">
      <c r="C1568">
        <f ca="1"/>
        <v>0.91852396576122786</v>
      </c>
      <c r="D1568">
        <f ca="1"/>
        <v>-1.9047060660453166</v>
      </c>
      <c r="E1568">
        <f ca="1"/>
        <v>-0.19418389625248561</v>
      </c>
      <c r="G1568">
        <f ca="1"/>
        <v>4.5092988592713557</v>
      </c>
    </row>
    <row r="1569" spans="3:7">
      <c r="C1569">
        <f ca="1"/>
        <v>0.97946489580739871</v>
      </c>
      <c r="D1569">
        <f ca="1"/>
        <v>9.9036085952449684E-2</v>
      </c>
      <c r="E1569">
        <f ca="1"/>
        <v>1.4573733522839485</v>
      </c>
      <c r="G1569">
        <f ca="1"/>
        <v>3.0930967163871337</v>
      </c>
    </row>
    <row r="1570" spans="3:7">
      <c r="C1570">
        <f ca="1"/>
        <v>-0.31154348343889543</v>
      </c>
      <c r="D1570">
        <f ca="1"/>
        <v>-3.8365428383558518E-2</v>
      </c>
      <c r="E1570">
        <f ca="1"/>
        <v>0.4694328214654499</v>
      </c>
      <c r="G1570">
        <f ca="1"/>
        <v>0.31889842203730823</v>
      </c>
    </row>
    <row r="1571" spans="3:7">
      <c r="C1571">
        <f ca="1"/>
        <v>0.52341993240621554</v>
      </c>
      <c r="D1571">
        <f ca="1"/>
        <v>0.77137406650460549</v>
      </c>
      <c r="E1571">
        <f ca="1"/>
        <v>0.22747172388522666</v>
      </c>
      <c r="G1571">
        <f ca="1"/>
        <v>0.92072976128329553</v>
      </c>
    </row>
    <row r="1572" spans="3:7">
      <c r="C1572">
        <f ca="1"/>
        <v>4.5170475254317248E-3</v>
      </c>
      <c r="D1572">
        <f ca="1"/>
        <v>0.45544967358235217</v>
      </c>
      <c r="E1572">
        <f ca="1"/>
        <v>1.0242171189252236</v>
      </c>
      <c r="G1572">
        <f ca="1"/>
        <v>1.2564755155841039</v>
      </c>
    </row>
    <row r="1573" spans="3:7">
      <c r="C1573">
        <f ca="1"/>
        <v>0.84995234980625134</v>
      </c>
      <c r="D1573">
        <f ca="1"/>
        <v>-0.560878346498212</v>
      </c>
      <c r="E1573">
        <f ca="1"/>
        <v>-0.75958512849795978</v>
      </c>
      <c r="G1573">
        <f ca="1"/>
        <v>1.6139730839469988</v>
      </c>
    </row>
    <row r="1574" spans="3:7">
      <c r="C1574">
        <f ca="1"/>
        <v>9.4432919935444698E-2</v>
      </c>
      <c r="D1574">
        <f ca="1"/>
        <v>-0.55813299931533911</v>
      </c>
      <c r="E1574">
        <f ca="1"/>
        <v>-0.73629290640496059</v>
      </c>
      <c r="G1574">
        <f ca="1"/>
        <v>0.86255726531453458</v>
      </c>
    </row>
    <row r="1575" spans="3:7">
      <c r="C1575">
        <f ca="1"/>
        <v>0.45418653143680504</v>
      </c>
      <c r="D1575">
        <f ca="1"/>
        <v>0.59839943497544623</v>
      </c>
      <c r="E1575">
        <f ca="1"/>
        <v>-1.5733605363922747</v>
      </c>
      <c r="G1575">
        <f ca="1"/>
        <v>3.0398306665941157</v>
      </c>
    </row>
    <row r="1576" spans="3:7">
      <c r="C1576">
        <f ca="1"/>
        <v>1.4944510286979837</v>
      </c>
      <c r="D1576">
        <f ca="1"/>
        <v>0.58505283728698554</v>
      </c>
      <c r="E1576">
        <f ca="1"/>
        <v>0.23120812058077647</v>
      </c>
      <c r="G1576">
        <f ca="1"/>
        <v>2.6291278946165089</v>
      </c>
    </row>
    <row r="1577" spans="3:7">
      <c r="C1577">
        <f ca="1"/>
        <v>-1.3414977698377779</v>
      </c>
      <c r="D1577">
        <f ca="1"/>
        <v>-1.0047109693579583</v>
      </c>
      <c r="E1577">
        <f ca="1"/>
        <v>0.15360375069420706</v>
      </c>
      <c r="G1577">
        <f ca="1"/>
        <v>2.8326545106552681</v>
      </c>
    </row>
    <row r="1578" spans="3:7">
      <c r="C1578">
        <f ca="1"/>
        <v>-0.55613701249691716</v>
      </c>
      <c r="D1578">
        <f ca="1"/>
        <v>0.94118503285223654</v>
      </c>
      <c r="E1578">
        <f ca="1"/>
        <v>0.51031757882795425</v>
      </c>
      <c r="G1578">
        <f ca="1"/>
        <v>1.455541673994887</v>
      </c>
    </row>
    <row r="1579" spans="3:7">
      <c r="C1579">
        <f ca="1"/>
        <v>-1.4446829026287531</v>
      </c>
      <c r="D1579">
        <f ca="1"/>
        <v>-0.8761396061321014</v>
      </c>
      <c r="E1579">
        <f ca="1"/>
        <v>0.62310685912587271</v>
      </c>
      <c r="G1579">
        <f ca="1"/>
        <v>3.2429914564708637</v>
      </c>
    </row>
    <row r="1580" spans="3:7">
      <c r="C1580">
        <f ca="1"/>
        <v>-0.30573452488630393</v>
      </c>
      <c r="D1580">
        <f ca="1"/>
        <v>0.56657962719479071</v>
      </c>
      <c r="E1580">
        <f ca="1"/>
        <v>0.11442347856899561</v>
      </c>
      <c r="G1580">
        <f ca="1"/>
        <v>0.4275788061074714</v>
      </c>
    </row>
    <row r="1581" spans="3:7">
      <c r="C1581">
        <f ca="1"/>
        <v>1.6432027341755168E-2</v>
      </c>
      <c r="D1581">
        <f ca="1"/>
        <v>2.5866148711388051</v>
      </c>
      <c r="E1581">
        <f ca="1"/>
        <v>-0.14588464095123257</v>
      </c>
      <c r="G1581">
        <f ca="1"/>
        <v>6.7121288315844474</v>
      </c>
    </row>
    <row r="1582" spans="3:7">
      <c r="C1582">
        <f ca="1"/>
        <v>0.39087329412630573</v>
      </c>
      <c r="D1582">
        <f ca="1"/>
        <v>0.99471394788731515</v>
      </c>
      <c r="E1582">
        <f ca="1"/>
        <v>-0.94261382387415116</v>
      </c>
      <c r="G1582">
        <f ca="1"/>
        <v>2.030758591141367</v>
      </c>
    </row>
    <row r="1583" spans="3:7">
      <c r="C1583">
        <f ca="1"/>
        <v>-1.0455327789915556</v>
      </c>
      <c r="D1583">
        <f ca="1"/>
        <v>-0.19562482034926587</v>
      </c>
      <c r="E1583">
        <f ca="1"/>
        <v>1.7170526471494365</v>
      </c>
      <c r="G1583">
        <f ca="1"/>
        <v>4.0796776553653746</v>
      </c>
    </row>
    <row r="1584" spans="3:7">
      <c r="C1584">
        <f ca="1"/>
        <v>-0.9160029491643118</v>
      </c>
      <c r="D1584">
        <f ca="1"/>
        <v>-0.57968992386975848</v>
      </c>
      <c r="E1584">
        <f ca="1"/>
        <v>-1.156669050299697</v>
      </c>
      <c r="G1584">
        <f ca="1"/>
        <v>2.5129851026350463</v>
      </c>
    </row>
    <row r="1585" spans="3:7">
      <c r="C1585">
        <f ca="1"/>
        <v>-1.1725207366844121</v>
      </c>
      <c r="D1585">
        <f ca="1"/>
        <v>-2.0195274758514845</v>
      </c>
      <c r="E1585">
        <f ca="1"/>
        <v>0.57181672015025464</v>
      </c>
      <c r="G1585">
        <f ca="1"/>
        <v>5.7802704651174199</v>
      </c>
    </row>
    <row r="1586" spans="3:7">
      <c r="C1586">
        <f ca="1"/>
        <v>-0.2040090367022809</v>
      </c>
      <c r="D1586">
        <f ca="1"/>
        <v>-0.27623699061017037</v>
      </c>
      <c r="E1586">
        <f ca="1"/>
        <v>0.22606740149619381</v>
      </c>
      <c r="G1586">
        <f ca="1"/>
        <v>0.16903303205679726</v>
      </c>
    </row>
    <row r="1587" spans="3:7">
      <c r="C1587">
        <f ca="1"/>
        <v>-0.4973480733800934</v>
      </c>
      <c r="D1587">
        <f ca="1"/>
        <v>-0.92188705736909426</v>
      </c>
      <c r="E1587">
        <f ca="1"/>
        <v>1.3980293814305524</v>
      </c>
      <c r="G1587">
        <f ca="1"/>
        <v>3.0517170039826316</v>
      </c>
    </row>
    <row r="1588" spans="3:7">
      <c r="C1588">
        <f ca="1"/>
        <v>0.74490658171822988</v>
      </c>
      <c r="D1588">
        <f ca="1"/>
        <v>-0.66184793392119501</v>
      </c>
      <c r="E1588">
        <f ca="1"/>
        <v>1.3924325302927463</v>
      </c>
      <c r="G1588">
        <f ca="1"/>
        <v>2.9317968545403521</v>
      </c>
    </row>
    <row r="1589" spans="3:7">
      <c r="C1589">
        <f ca="1"/>
        <v>-1.1698510759249172</v>
      </c>
      <c r="D1589">
        <f ca="1"/>
        <v>6.4249050861247117E-2</v>
      </c>
      <c r="E1589">
        <f ca="1"/>
        <v>-0.20056747332626107</v>
      </c>
      <c r="G1589">
        <f ca="1"/>
        <v>1.4129067917357379</v>
      </c>
    </row>
    <row r="1590" spans="3:7">
      <c r="C1590">
        <f ca="1"/>
        <v>-0.17165554035968314</v>
      </c>
      <c r="D1590">
        <f ca="1"/>
        <v>-0.35860864396815528</v>
      </c>
      <c r="E1590">
        <f ca="1"/>
        <v>0.53825298659264076</v>
      </c>
      <c r="G1590">
        <f ca="1"/>
        <v>0.44778206164075146</v>
      </c>
    </row>
    <row r="1591" spans="3:7">
      <c r="C1591">
        <f ca="1"/>
        <v>0.34573794028453897</v>
      </c>
      <c r="D1591">
        <f ca="1"/>
        <v>-1.2191559970913173</v>
      </c>
      <c r="E1591">
        <f ca="1"/>
        <v>0.30221389411965549</v>
      </c>
      <c r="G1591">
        <f ca="1"/>
        <v>1.6972093063948859</v>
      </c>
    </row>
    <row r="1592" spans="3:7">
      <c r="C1592">
        <f ca="1"/>
        <v>-6.2346926567941219E-2</v>
      </c>
      <c r="D1592">
        <f ca="1"/>
        <v>-0.50988638497045724</v>
      </c>
      <c r="E1592">
        <f ca="1"/>
        <v>-0.11602027906058944</v>
      </c>
      <c r="G1592">
        <f ca="1"/>
        <v>0.27733196998400661</v>
      </c>
    </row>
    <row r="1593" spans="3:7">
      <c r="C1593">
        <f ca="1"/>
        <v>0.37158117617943937</v>
      </c>
      <c r="D1593">
        <f ca="1"/>
        <v>0.29472070973235509</v>
      </c>
      <c r="E1593">
        <f ca="1"/>
        <v>0.23388341408193652</v>
      </c>
      <c r="G1593">
        <f ca="1"/>
        <v>0.27963431861866128</v>
      </c>
    </row>
    <row r="1594" spans="3:7">
      <c r="C1594">
        <f ca="1"/>
        <v>-0.91763853165092912</v>
      </c>
      <c r="D1594">
        <f ca="1"/>
        <v>0.85849468184207822</v>
      </c>
      <c r="E1594">
        <f ca="1"/>
        <v>1.213140429739993</v>
      </c>
      <c r="G1594">
        <f ca="1"/>
        <v>3.0507832957913394</v>
      </c>
    </row>
    <row r="1595" spans="3:7">
      <c r="C1595">
        <f ca="1"/>
        <v>-1.0030731728426532</v>
      </c>
      <c r="D1595">
        <f ca="1"/>
        <v>-0.15364165979493521</v>
      </c>
      <c r="E1595">
        <f ca="1"/>
        <v>-0.59751298465664804</v>
      </c>
      <c r="G1595">
        <f ca="1"/>
        <v>1.3867833165344656</v>
      </c>
    </row>
    <row r="1596" spans="3:7">
      <c r="C1596">
        <f ca="1"/>
        <v>-0.59160043966632425</v>
      </c>
      <c r="D1596">
        <f ca="1"/>
        <v>0.26824486732056524</v>
      </c>
      <c r="E1596">
        <f ca="1"/>
        <v>-0.59727102742438565</v>
      </c>
      <c r="G1596">
        <f ca="1"/>
        <v>0.77867906925779706</v>
      </c>
    </row>
    <row r="1597" spans="3:7">
      <c r="C1597">
        <f ca="1"/>
        <v>1.4014758917246033</v>
      </c>
      <c r="D1597">
        <f ca="1"/>
        <v>-0.75903158107313062</v>
      </c>
      <c r="E1597">
        <f ca="1"/>
        <v>-1.6516719949008201</v>
      </c>
      <c r="G1597">
        <f ca="1"/>
        <v>5.2682839948913029</v>
      </c>
    </row>
    <row r="1598" spans="3:7">
      <c r="C1598">
        <f ca="1"/>
        <v>-0.88615339677825689</v>
      </c>
      <c r="D1598">
        <f ca="1"/>
        <v>-0.84064079541341241</v>
      </c>
      <c r="E1598">
        <f ca="1"/>
        <v>-2.1625671638968753</v>
      </c>
      <c r="G1598">
        <f ca="1"/>
        <v>6.1686415278999132</v>
      </c>
    </row>
    <row r="1599" spans="3:7">
      <c r="C1599">
        <f ca="1"/>
        <v>-1.9491810505810818</v>
      </c>
      <c r="D1599">
        <f ca="1"/>
        <v>0.37340338610744506</v>
      </c>
      <c r="E1599">
        <f ca="1"/>
        <v>0.46834892965206631</v>
      </c>
      <c r="G1599">
        <f ca="1"/>
        <v>4.1580875766071115</v>
      </c>
    </row>
    <row r="1600" spans="3:7">
      <c r="C1600">
        <f ca="1"/>
        <v>0.50647431666419196</v>
      </c>
      <c r="D1600">
        <f ca="1"/>
        <v>1.2558757876536579</v>
      </c>
      <c r="E1600">
        <f ca="1"/>
        <v>1.3500666523832894</v>
      </c>
      <c r="G1600">
        <f ca="1"/>
        <v>3.6564201933325773</v>
      </c>
    </row>
    <row r="1601" spans="3:7">
      <c r="C1601">
        <f ca="1"/>
        <v>0.23126151327884781</v>
      </c>
      <c r="D1601">
        <f ca="1"/>
        <v>0.48710479131272139</v>
      </c>
      <c r="E1601">
        <f ca="1"/>
        <v>1.1995087023760089</v>
      </c>
      <c r="G1601">
        <f ca="1"/>
        <v>1.7295740923196092</v>
      </c>
    </row>
    <row r="1602" spans="3:7">
      <c r="C1602">
        <f ca="1"/>
        <v>-0.5207108715358284</v>
      </c>
      <c r="D1602">
        <f ca="1"/>
        <v>1.1291163287060355</v>
      </c>
      <c r="E1602">
        <f ca="1"/>
        <v>-0.57176244159594269</v>
      </c>
      <c r="G1602">
        <f ca="1"/>
        <v>1.8729557851059517</v>
      </c>
    </row>
    <row r="1603" spans="3:7">
      <c r="C1603">
        <f ca="1"/>
        <v>-2.0255770215954363</v>
      </c>
      <c r="D1603">
        <f ca="1"/>
        <v>-0.46275791113803177</v>
      </c>
      <c r="E1603">
        <f ca="1"/>
        <v>6.1291606114118477E-2</v>
      </c>
      <c r="G1603">
        <f ca="1"/>
        <v>4.3208638157163213</v>
      </c>
    </row>
    <row r="1604" spans="3:7">
      <c r="C1604">
        <f ca="1"/>
        <v>0.10796753032408532</v>
      </c>
      <c r="D1604">
        <f ca="1"/>
        <v>-0.68573068674955984</v>
      </c>
      <c r="E1604">
        <f ca="1"/>
        <v>2.3312692998083612E-2</v>
      </c>
      <c r="G1604">
        <f ca="1"/>
        <v>0.48242704400912811</v>
      </c>
    </row>
    <row r="1605" spans="3:7">
      <c r="C1605">
        <f ca="1"/>
        <v>-0.59474372351098059</v>
      </c>
      <c r="D1605">
        <f ca="1"/>
        <v>1.0353874641817802</v>
      </c>
      <c r="E1605">
        <f ca="1"/>
        <v>1.0401371575054073</v>
      </c>
      <c r="G1605">
        <f ca="1"/>
        <v>2.507632604063911</v>
      </c>
    </row>
    <row r="1606" spans="3:7">
      <c r="C1606">
        <f ca="1"/>
        <v>1.0800705018959167</v>
      </c>
      <c r="D1606">
        <f ca="1"/>
        <v>-2.6554362657638113</v>
      </c>
      <c r="E1606">
        <f ca="1"/>
        <v>0.6452290621659843</v>
      </c>
      <c r="G1606">
        <f ca="1"/>
        <v>8.6342145932629464</v>
      </c>
    </row>
    <row r="1607" spans="3:7">
      <c r="C1607">
        <f ca="1"/>
        <v>1.9496441705630918</v>
      </c>
      <c r="D1607">
        <f ca="1"/>
        <v>-1.3668333290278685</v>
      </c>
      <c r="E1607">
        <f ca="1"/>
        <v>0.55048635663571599</v>
      </c>
      <c r="G1607">
        <f ca="1"/>
        <v>5.9723809699941164</v>
      </c>
    </row>
    <row r="1608" spans="3:7">
      <c r="C1608">
        <f ca="1"/>
        <v>1.0019931741301857</v>
      </c>
      <c r="D1608">
        <f ca="1"/>
        <v>0.93485143337651622</v>
      </c>
      <c r="E1608">
        <f ca="1"/>
        <v>0.77886279057406504</v>
      </c>
      <c r="G1608">
        <f ca="1"/>
        <v>2.4845647700304312</v>
      </c>
    </row>
    <row r="1609" spans="3:7">
      <c r="C1609">
        <f ca="1"/>
        <v>-0.6179118743372668</v>
      </c>
      <c r="D1609">
        <f ca="1"/>
        <v>-1.8800719478758154</v>
      </c>
      <c r="E1609">
        <f ca="1"/>
        <v>0.92224034247798248</v>
      </c>
      <c r="G1609">
        <f ca="1"/>
        <v>4.7670128629304642</v>
      </c>
    </row>
    <row r="1610" spans="3:7">
      <c r="C1610">
        <f ca="1"/>
        <v>0.91474729893393769</v>
      </c>
      <c r="D1610">
        <f ca="1"/>
        <v>2.4150038988670421</v>
      </c>
      <c r="E1610">
        <f ca="1"/>
        <v>-0.48789073041961467</v>
      </c>
      <c r="G1610">
        <f ca="1"/>
        <v>6.9070438172793347</v>
      </c>
    </row>
    <row r="1611" spans="3:7">
      <c r="C1611">
        <f ca="1"/>
        <v>-1.0481892499719587</v>
      </c>
      <c r="D1611">
        <f ca="1"/>
        <v>0.59224191109261615</v>
      </c>
      <c r="E1611">
        <f ca="1"/>
        <v>0.12757610871649649</v>
      </c>
      <c r="G1611">
        <f ca="1"/>
        <v>1.4657268485266548</v>
      </c>
    </row>
    <row r="1612" spans="3:7">
      <c r="C1612">
        <f ca="1"/>
        <v>-0.98590198880332047</v>
      </c>
      <c r="D1612">
        <f ca="1"/>
        <v>0.41382840035880958</v>
      </c>
      <c r="E1612">
        <f ca="1"/>
        <v>-0.701368161013043</v>
      </c>
      <c r="G1612">
        <f ca="1"/>
        <v>1.6351739737526918</v>
      </c>
    </row>
    <row r="1613" spans="3:7">
      <c r="C1613">
        <f ca="1"/>
        <v>0.4052694293395871</v>
      </c>
      <c r="D1613">
        <f ca="1"/>
        <v>0.39195596159734208</v>
      </c>
      <c r="E1613">
        <f ca="1"/>
        <v>0.27327800870490476</v>
      </c>
      <c r="G1613">
        <f ca="1"/>
        <v>0.39255365623064964</v>
      </c>
    </row>
    <row r="1614" spans="3:7">
      <c r="C1614">
        <f ca="1"/>
        <v>1.8668679329114637</v>
      </c>
      <c r="D1614">
        <f ca="1"/>
        <v>-1.032221298281623</v>
      </c>
      <c r="E1614">
        <f ca="1"/>
        <v>2.6386117401298637</v>
      </c>
      <c r="G1614">
        <f ca="1"/>
        <v>11.512948602710468</v>
      </c>
    </row>
    <row r="1615" spans="3:7">
      <c r="C1615">
        <f ca="1"/>
        <v>-0.97965277342623136</v>
      </c>
      <c r="D1615">
        <f ca="1"/>
        <v>1.731149700484933</v>
      </c>
      <c r="E1615">
        <f ca="1"/>
        <v>-0.24848858809764107</v>
      </c>
      <c r="G1615">
        <f ca="1"/>
        <v>4.0183454203855398</v>
      </c>
    </row>
    <row r="1616" spans="3:7">
      <c r="C1616">
        <f ca="1"/>
        <v>-0.13692216880614361</v>
      </c>
      <c r="D1616">
        <f ca="1"/>
        <v>2.9976364868026639</v>
      </c>
      <c r="E1616">
        <f ca="1"/>
        <v>-0.16368628275756122</v>
      </c>
      <c r="G1616">
        <f ca="1"/>
        <v>9.0313653864841843</v>
      </c>
    </row>
    <row r="1617" spans="3:7">
      <c r="C1617">
        <f ca="1"/>
        <v>0.25336313482008965</v>
      </c>
      <c r="D1617">
        <f ca="1"/>
        <v>-0.59758842326073647</v>
      </c>
      <c r="E1617">
        <f ca="1"/>
        <v>-3.592446749805539E-2</v>
      </c>
      <c r="G1617">
        <f ca="1"/>
        <v>0.42259536906613487</v>
      </c>
    </row>
    <row r="1618" spans="3:7">
      <c r="C1618">
        <f ca="1"/>
        <v>1.2515655406025001</v>
      </c>
      <c r="D1618">
        <f ca="1"/>
        <v>-0.74539066504293505</v>
      </c>
      <c r="E1618">
        <f ca="1"/>
        <v>-1.112368250754133</v>
      </c>
      <c r="G1618">
        <f ca="1"/>
        <v>3.3593866712425875</v>
      </c>
    </row>
    <row r="1619" spans="3:7">
      <c r="C1619">
        <f ca="1"/>
        <v>0.62619634762397358</v>
      </c>
      <c r="D1619">
        <f ca="1"/>
        <v>-1.0937819906282595</v>
      </c>
      <c r="E1619">
        <f ca="1"/>
        <v>1.0065929475969144</v>
      </c>
      <c r="G1619">
        <f ca="1"/>
        <v>2.6017102709521671</v>
      </c>
    </row>
    <row r="1620" spans="3:7">
      <c r="C1620">
        <f ca="1"/>
        <v>0.33598709693520684</v>
      </c>
      <c r="D1620">
        <f ca="1"/>
        <v>-0.60026914446687663</v>
      </c>
      <c r="E1620">
        <f ca="1"/>
        <v>0.56957797595703019</v>
      </c>
      <c r="G1620">
        <f ca="1"/>
        <v>0.79762944580125139</v>
      </c>
    </row>
    <row r="1621" spans="3:7">
      <c r="C1621">
        <f ca="1"/>
        <v>-1.0807028305619821</v>
      </c>
      <c r="D1621">
        <f ca="1"/>
        <v>-1.4441267778862403</v>
      </c>
      <c r="E1621">
        <f ca="1"/>
        <v>-1.5517015730873374</v>
      </c>
      <c r="G1621">
        <f ca="1"/>
        <v>5.6611985305144916</v>
      </c>
    </row>
    <row r="1622" spans="3:7">
      <c r="C1622">
        <f ca="1"/>
        <v>1.4992218407044879</v>
      </c>
      <c r="D1622">
        <f ca="1"/>
        <v>0.39238228947762638</v>
      </c>
      <c r="E1622">
        <f ca="1"/>
        <v>0.11574240442445774</v>
      </c>
      <c r="G1622">
        <f ca="1"/>
        <v>2.4150262929230117</v>
      </c>
    </row>
    <row r="1623" spans="3:7">
      <c r="C1623">
        <f ca="1"/>
        <v>0.98284495962689145</v>
      </c>
      <c r="D1623">
        <f ca="1"/>
        <v>-0.29112402805987986</v>
      </c>
      <c r="E1623">
        <f ca="1"/>
        <v>0.28243485054402029</v>
      </c>
      <c r="G1623">
        <f ca="1"/>
        <v>1.1305068591796188</v>
      </c>
    </row>
    <row r="1624" spans="3:7">
      <c r="C1624">
        <f ca="1"/>
        <v>-3.0690397565207403E-2</v>
      </c>
      <c r="D1624">
        <f ca="1"/>
        <v>0.86868849704141349</v>
      </c>
      <c r="E1624">
        <f ca="1"/>
        <v>1.6320812685278929</v>
      </c>
      <c r="G1624">
        <f ca="1"/>
        <v>3.4192508724743962</v>
      </c>
    </row>
    <row r="1625" spans="3:7">
      <c r="C1625">
        <f ca="1"/>
        <v>-1.1111764878779091</v>
      </c>
      <c r="D1625">
        <f ca="1"/>
        <v>-0.47687159185704037</v>
      </c>
      <c r="E1625">
        <f ca="1"/>
        <v>-0.3809317329583855</v>
      </c>
      <c r="G1625">
        <f ca="1"/>
        <v>1.6072286875076316</v>
      </c>
    </row>
    <row r="1626" spans="3:7">
      <c r="C1626">
        <f ca="1"/>
        <v>0.63697461547971734</v>
      </c>
      <c r="D1626">
        <f ca="1"/>
        <v>-1.1372994637836025</v>
      </c>
      <c r="E1626">
        <f ca="1"/>
        <v>-0.75747321164729609</v>
      </c>
      <c r="G1626">
        <f ca="1"/>
        <v>2.2729523974512729</v>
      </c>
    </row>
    <row r="1627" spans="3:7">
      <c r="C1627">
        <f ca="1"/>
        <v>1.1748578991072109</v>
      </c>
      <c r="D1627">
        <f ca="1"/>
        <v>0.30058939178056304</v>
      </c>
      <c r="E1627">
        <f ca="1"/>
        <v>-1.2546035906922814</v>
      </c>
      <c r="G1627">
        <f ca="1"/>
        <v>3.044675235323584</v>
      </c>
    </row>
    <row r="1628" spans="3:7">
      <c r="C1628">
        <f ca="1"/>
        <v>7.8423169172321214E-2</v>
      </c>
      <c r="D1628">
        <f ca="1"/>
        <v>2.0099946249662235</v>
      </c>
      <c r="E1628">
        <f ca="1"/>
        <v>0.41822537050163811</v>
      </c>
      <c r="G1628">
        <f ca="1"/>
        <v>4.2211410463873724</v>
      </c>
    </row>
    <row r="1629" spans="3:7">
      <c r="C1629">
        <f ca="1"/>
        <v>1.4885695230991542</v>
      </c>
      <c r="D1629">
        <f ca="1"/>
        <v>-0.90124944389604256</v>
      </c>
      <c r="E1629">
        <f ca="1"/>
        <v>0.48064087673055639</v>
      </c>
      <c r="G1629">
        <f ca="1"/>
        <v>3.2591054376068875</v>
      </c>
    </row>
    <row r="1630" spans="3:7">
      <c r="C1630">
        <f ca="1"/>
        <v>1.0366301913909133</v>
      </c>
      <c r="D1630">
        <f ca="1"/>
        <v>-1.4164613957319661</v>
      </c>
      <c r="E1630">
        <f ca="1"/>
        <v>0.46961768122315056</v>
      </c>
      <c r="G1630">
        <f ca="1"/>
        <v>3.3015058058195197</v>
      </c>
    </row>
    <row r="1631" spans="3:7">
      <c r="C1631">
        <f ca="1"/>
        <v>0.25236901327731531</v>
      </c>
      <c r="D1631">
        <f ca="1"/>
        <v>-1.9065181439155836</v>
      </c>
      <c r="E1631">
        <f ca="1"/>
        <v>-1.2221075215319817</v>
      </c>
      <c r="G1631">
        <f ca="1"/>
        <v>5.1920483461269304</v>
      </c>
    </row>
    <row r="1632" spans="3:7">
      <c r="C1632">
        <f ca="1"/>
        <v>-0.82153458437930227</v>
      </c>
      <c r="D1632">
        <f ca="1"/>
        <v>-0.31042907196158448</v>
      </c>
      <c r="E1632">
        <f ca="1"/>
        <v>0.94653236458162504</v>
      </c>
      <c r="G1632">
        <f ca="1"/>
        <v>1.6672087992506857</v>
      </c>
    </row>
    <row r="1633" spans="3:7">
      <c r="C1633">
        <f ca="1"/>
        <v>-0.32269504138834981</v>
      </c>
      <c r="D1633">
        <f ca="1"/>
        <v>1.2194592091468746</v>
      </c>
      <c r="E1633">
        <f ca="1"/>
        <v>-0.45056812142650582</v>
      </c>
      <c r="G1633">
        <f ca="1"/>
        <v>1.7942244845555599</v>
      </c>
    </row>
    <row r="1634" spans="3:7">
      <c r="C1634">
        <f ca="1"/>
        <v>-0.90206154862453625</v>
      </c>
      <c r="D1634">
        <f ca="1"/>
        <v>0.41449664685613719</v>
      </c>
      <c r="E1634">
        <f ca="1"/>
        <v>0.50906445664434152</v>
      </c>
      <c r="G1634">
        <f ca="1"/>
        <v>1.2446691287804765</v>
      </c>
    </row>
    <row r="1635" spans="3:7">
      <c r="C1635">
        <f ca="1"/>
        <v>0.88722476497099501</v>
      </c>
      <c r="D1635">
        <f ca="1"/>
        <v>-0.41922094146535971</v>
      </c>
      <c r="E1635">
        <f ca="1"/>
        <v>9.1446873102357898E-2</v>
      </c>
      <c r="G1635">
        <f ca="1"/>
        <v>0.97127651194113862</v>
      </c>
    </row>
    <row r="1636" spans="3:7">
      <c r="C1636">
        <f ca="1"/>
        <v>0.81014563474096224</v>
      </c>
      <c r="D1636">
        <f ca="1"/>
        <v>-0.57659734548914066</v>
      </c>
      <c r="E1636">
        <f ca="1"/>
        <v>0.33372865661428758</v>
      </c>
      <c r="G1636">
        <f ca="1"/>
        <v>1.1001752645605372</v>
      </c>
    </row>
    <row r="1637" spans="3:7">
      <c r="C1637">
        <f ca="1"/>
        <v>0.35063422244641518</v>
      </c>
      <c r="D1637">
        <f ca="1"/>
        <v>-0.35393995002534345</v>
      </c>
      <c r="E1637">
        <f ca="1"/>
        <v>-1.327269868185692</v>
      </c>
      <c r="G1637">
        <f ca="1"/>
        <v>2.0098631491682091</v>
      </c>
    </row>
    <row r="1638" spans="3:7">
      <c r="C1638">
        <f ca="1"/>
        <v>-0.78262886037798907</v>
      </c>
      <c r="D1638">
        <f ca="1"/>
        <v>-0.37475114921757019</v>
      </c>
      <c r="E1638">
        <f ca="1"/>
        <v>1.0973146902849416</v>
      </c>
      <c r="G1638">
        <f ca="1"/>
        <v>1.9570458864515765</v>
      </c>
    </row>
    <row r="1639" spans="3:7">
      <c r="C1639">
        <f ca="1"/>
        <v>0.61363197515416423</v>
      </c>
      <c r="D1639">
        <f ca="1"/>
        <v>-0.85026203366093667</v>
      </c>
      <c r="E1639">
        <f ca="1"/>
        <v>1.2991238021811298</v>
      </c>
      <c r="G1639">
        <f ca="1"/>
        <v>2.7872123802103879</v>
      </c>
    </row>
    <row r="1640" spans="3:7">
      <c r="C1640">
        <f ca="1"/>
        <v>0.33019247404214597</v>
      </c>
      <c r="D1640">
        <f ca="1"/>
        <v>-1.5820684453547924</v>
      </c>
      <c r="E1640">
        <f ca="1"/>
        <v>0.38398321455414869</v>
      </c>
      <c r="G1640">
        <f ca="1"/>
        <v>2.7594107447607406</v>
      </c>
    </row>
    <row r="1641" spans="3:7">
      <c r="C1641">
        <f ca="1"/>
        <v>-0.18750111907848235</v>
      </c>
      <c r="D1641">
        <f ca="1"/>
        <v>0.6988150483504787</v>
      </c>
      <c r="E1641">
        <f ca="1"/>
        <v>1.5153673837472692</v>
      </c>
      <c r="G1641">
        <f ca="1"/>
        <v>2.8198374491818088</v>
      </c>
    </row>
    <row r="1642" spans="3:7">
      <c r="C1642">
        <f ca="1"/>
        <v>2.569389083570027</v>
      </c>
      <c r="D1642">
        <f ca="1"/>
        <v>-0.66254674541104086</v>
      </c>
      <c r="E1642">
        <f ca="1"/>
        <v>-0.53053341194921799</v>
      </c>
      <c r="G1642">
        <f ca="1"/>
        <v>7.3221941538180646</v>
      </c>
    </row>
    <row r="1643" spans="3:7">
      <c r="C1643">
        <f ca="1"/>
        <v>-0.74764646119456835</v>
      </c>
      <c r="D1643">
        <f ca="1"/>
        <v>-0.35282407963876078</v>
      </c>
      <c r="E1643">
        <f ca="1"/>
        <v>0.5279787341305856</v>
      </c>
      <c r="G1643">
        <f ca="1"/>
        <v>0.96222160580383531</v>
      </c>
    </row>
    <row r="1644" spans="3:7">
      <c r="C1644">
        <f ca="1"/>
        <v>1.0300712540030343</v>
      </c>
      <c r="D1644">
        <f ca="1"/>
        <v>-6.2655631453346905E-2</v>
      </c>
      <c r="E1644">
        <f ca="1"/>
        <v>-0.9557037222583552</v>
      </c>
      <c r="G1644">
        <f ca="1"/>
        <v>1.9783421212146766</v>
      </c>
    </row>
    <row r="1645" spans="3:7">
      <c r="C1645">
        <f ca="1"/>
        <v>0.98196486818758821</v>
      </c>
      <c r="D1645">
        <f ca="1"/>
        <v>1.0811176226473143</v>
      </c>
      <c r="E1645">
        <f ca="1"/>
        <v>0.13394235386475226</v>
      </c>
      <c r="G1645">
        <f ca="1"/>
        <v>2.1510108705120787</v>
      </c>
    </row>
    <row r="1646" spans="3:7">
      <c r="C1646">
        <f ca="1"/>
        <v>-1.0635819880242292</v>
      </c>
      <c r="D1646">
        <f ca="1"/>
        <v>0.42900390639876862</v>
      </c>
      <c r="E1646">
        <f ca="1"/>
        <v>-0.1604447279890342</v>
      </c>
      <c r="G1646">
        <f ca="1"/>
        <v>1.3409935076944501</v>
      </c>
    </row>
    <row r="1647" spans="3:7">
      <c r="C1647">
        <f ca="1"/>
        <v>-1.0519892372691477</v>
      </c>
      <c r="D1647">
        <f ca="1"/>
        <v>-1.5380399286449031</v>
      </c>
      <c r="E1647">
        <f ca="1"/>
        <v>8.1471780823454562E-2</v>
      </c>
      <c r="G1647">
        <f ca="1"/>
        <v>3.4788858285066868</v>
      </c>
    </row>
    <row r="1648" spans="3:7">
      <c r="C1648">
        <f ca="1"/>
        <v>1.4815415688567914</v>
      </c>
      <c r="D1648">
        <f ca="1"/>
        <v>-3.6931546901908474E-2</v>
      </c>
      <c r="E1648">
        <f ca="1"/>
        <v>0.7348811480151366</v>
      </c>
      <c r="G1648">
        <f ca="1"/>
        <v>2.7363796611152562</v>
      </c>
    </row>
    <row r="1649" spans="3:7">
      <c r="C1649">
        <f ca="1"/>
        <v>-0.10712911348309744</v>
      </c>
      <c r="D1649">
        <f ca="1"/>
        <v>-1.4248790083573117</v>
      </c>
      <c r="E1649">
        <f ca="1"/>
        <v>-1.9058634930605509</v>
      </c>
      <c r="G1649">
        <f ca="1"/>
        <v>5.6740724895939554</v>
      </c>
    </row>
    <row r="1650" spans="3:7">
      <c r="C1650">
        <f ca="1"/>
        <v>-0.38022882426946963</v>
      </c>
      <c r="D1650">
        <f ca="1"/>
        <v>1.0022582325305209</v>
      </c>
      <c r="E1650">
        <f ca="1"/>
        <v>0.66620985129463894</v>
      </c>
      <c r="G1650">
        <f ca="1"/>
        <v>1.5929310894425719</v>
      </c>
    </row>
    <row r="1651" spans="3:7">
      <c r="C1651">
        <f ca="1"/>
        <v>1.0220171980483617</v>
      </c>
      <c r="D1651">
        <f ca="1"/>
        <v>-2.4509110511955326E-2</v>
      </c>
      <c r="E1651">
        <f ca="1"/>
        <v>1.0250859602059201</v>
      </c>
      <c r="G1651">
        <f ca="1"/>
        <v>2.0959210754160047</v>
      </c>
    </row>
    <row r="1652" spans="3:7">
      <c r="C1652">
        <f ca="1"/>
        <v>0.19190019661500829</v>
      </c>
      <c r="D1652">
        <f ca="1"/>
        <v>-1.8223738924054698</v>
      </c>
      <c r="E1652">
        <f ca="1"/>
        <v>0.18364634983276898</v>
      </c>
      <c r="G1652">
        <f ca="1"/>
        <v>3.3915982709888417</v>
      </c>
    </row>
    <row r="1653" spans="3:7">
      <c r="C1653">
        <f ca="1"/>
        <v>-0.7785032355432735</v>
      </c>
      <c r="D1653">
        <f ca="1"/>
        <v>1.0658556404341264</v>
      </c>
      <c r="E1653">
        <f ca="1"/>
        <v>-0.43286116870323132</v>
      </c>
      <c r="G1653">
        <f ca="1"/>
        <v>1.9294843253677145</v>
      </c>
    </row>
    <row r="1654" spans="3:7">
      <c r="C1654">
        <f ca="1"/>
        <v>-0.57662329110997301</v>
      </c>
      <c r="D1654">
        <f ca="1"/>
        <v>0.51251995967637731</v>
      </c>
      <c r="E1654">
        <f ca="1"/>
        <v>0.12048190863644528</v>
      </c>
      <c r="G1654">
        <f ca="1"/>
        <v>0.60968701922585289</v>
      </c>
    </row>
    <row r="1655" spans="3:7">
      <c r="C1655">
        <f ca="1"/>
        <v>0.23850649359897627</v>
      </c>
      <c r="D1655">
        <f ca="1"/>
        <v>1.6177248199742713</v>
      </c>
      <c r="E1655">
        <f ca="1"/>
        <v>1.0739500340295121</v>
      </c>
      <c r="G1655">
        <f ca="1"/>
        <v>3.8272876162416569</v>
      </c>
    </row>
    <row r="1656" spans="3:7">
      <c r="C1656">
        <f ca="1"/>
        <v>5.0112450345500867E-2</v>
      </c>
      <c r="D1656">
        <f ca="1"/>
        <v>0.61971095151383482</v>
      </c>
      <c r="E1656">
        <f ca="1"/>
        <v>0.40901217343449059</v>
      </c>
      <c r="G1656">
        <f ca="1"/>
        <v>0.55384387912341859</v>
      </c>
    </row>
    <row r="1657" spans="3:7">
      <c r="C1657">
        <f ca="1"/>
        <v>1.3853727936032081</v>
      </c>
      <c r="D1657">
        <f ca="1"/>
        <v>-0.34954834708917498</v>
      </c>
      <c r="E1657">
        <f ca="1"/>
        <v>-0.45755442858496431</v>
      </c>
      <c r="G1657">
        <f ca="1"/>
        <v>2.2507978793264445</v>
      </c>
    </row>
    <row r="1658" spans="3:7">
      <c r="C1658">
        <f ca="1"/>
        <v>-0.64237342908104889</v>
      </c>
      <c r="D1658">
        <f ca="1"/>
        <v>0.76023248220734818</v>
      </c>
      <c r="E1658">
        <f ca="1"/>
        <v>0.88352830856087849</v>
      </c>
      <c r="G1658">
        <f ca="1"/>
        <v>1.7712193214209382</v>
      </c>
    </row>
    <row r="1659" spans="3:7">
      <c r="C1659">
        <f ca="1"/>
        <v>0.52371834696742892</v>
      </c>
      <c r="D1659">
        <f ca="1"/>
        <v>-1.0749839321614174</v>
      </c>
      <c r="E1659">
        <f ca="1"/>
        <v>1.8102011149271947E-2</v>
      </c>
      <c r="G1659">
        <f ca="1"/>
        <v>1.4301990441631676</v>
      </c>
    </row>
    <row r="1660" spans="3:7">
      <c r="C1660">
        <f ca="1"/>
        <v>1.515748959305185E-2</v>
      </c>
      <c r="D1660">
        <f ca="1"/>
        <v>0.5463224091088823</v>
      </c>
      <c r="E1660">
        <f ca="1"/>
        <v>-4.65970812940429E-2</v>
      </c>
      <c r="G1660">
        <f ca="1"/>
        <v>0.30086921217042006</v>
      </c>
    </row>
    <row r="1661" spans="3:7">
      <c r="C1661">
        <f ca="1"/>
        <v>0.92169207155780886</v>
      </c>
      <c r="D1661">
        <f ca="1"/>
        <v>-0.5131284068752564</v>
      </c>
      <c r="E1661">
        <f ca="1"/>
        <v>0.91878111943179042</v>
      </c>
      <c r="G1661">
        <f ca="1"/>
        <v>1.9569757821391978</v>
      </c>
    </row>
    <row r="1662" spans="3:7">
      <c r="C1662">
        <f ca="1"/>
        <v>1.8471481116759676</v>
      </c>
      <c r="D1662">
        <f ca="1"/>
        <v>-0.95607621688576605</v>
      </c>
      <c r="E1662">
        <f ca="1"/>
        <v>2.2716289289769871</v>
      </c>
      <c r="G1662">
        <f ca="1"/>
        <v>9.4863358699278244</v>
      </c>
    </row>
    <row r="1663" spans="3:7">
      <c r="C1663">
        <f ca="1"/>
        <v>-0.94711566280955983</v>
      </c>
      <c r="D1663">
        <f ca="1"/>
        <v>-0.37283170322854203</v>
      </c>
      <c r="E1663">
        <f ca="1"/>
        <v>-2.7537659518266554E-2</v>
      </c>
      <c r="G1663">
        <f ca="1"/>
        <v>1.0367898803632316</v>
      </c>
    </row>
    <row r="1664" spans="3:7">
      <c r="C1664">
        <f ca="1"/>
        <v>-0.69771424989765973</v>
      </c>
      <c r="D1664">
        <f ca="1"/>
        <v>-0.53627955621275847</v>
      </c>
      <c r="E1664">
        <f ca="1"/>
        <v>9.3761649011337142E-2</v>
      </c>
      <c r="G1664">
        <f ca="1"/>
        <v>0.78319218374733224</v>
      </c>
    </row>
    <row r="1665" spans="3:7">
      <c r="C1665">
        <f ca="1"/>
        <v>0.46427754521187486</v>
      </c>
      <c r="D1665">
        <f ca="1"/>
        <v>-0.71356138512289347</v>
      </c>
      <c r="E1665">
        <f ca="1"/>
        <v>-0.79837197423487749</v>
      </c>
      <c r="G1665">
        <f ca="1"/>
        <v>1.3621212985701627</v>
      </c>
    </row>
    <row r="1666" spans="3:7">
      <c r="C1666">
        <f ca="1"/>
        <v>0.28383861237900598</v>
      </c>
      <c r="D1666">
        <f ca="1"/>
        <v>1.8841022838804082</v>
      </c>
      <c r="E1666">
        <f ca="1"/>
        <v>-1.2305724174708177</v>
      </c>
      <c r="G1666">
        <f ca="1"/>
        <v>5.1447142486405824</v>
      </c>
    </row>
    <row r="1667" spans="3:7">
      <c r="C1667">
        <f ca="1"/>
        <v>0.41229464646653818</v>
      </c>
      <c r="D1667">
        <f ca="1"/>
        <v>-1.223087073174949</v>
      </c>
      <c r="E1667">
        <f ca="1"/>
        <v>1.5358061547306092</v>
      </c>
      <c r="G1667">
        <f ca="1"/>
        <v>4.0246294089810508</v>
      </c>
    </row>
    <row r="1668" spans="3:7">
      <c r="C1668">
        <f ca="1"/>
        <v>1.854305559326334E-3</v>
      </c>
      <c r="D1668">
        <f ca="1"/>
        <v>1.8488551106570876</v>
      </c>
      <c r="E1668">
        <f ca="1"/>
        <v>-0.41637817328062943</v>
      </c>
      <c r="G1668">
        <f ca="1"/>
        <v>3.591639441836453</v>
      </c>
    </row>
    <row r="1669" spans="3:7">
      <c r="C1669">
        <f ca="1"/>
        <v>1.6008153919747923</v>
      </c>
      <c r="D1669">
        <f ca="1"/>
        <v>1.842811332250208</v>
      </c>
      <c r="E1669">
        <f ca="1"/>
        <v>-0.86652018828213584</v>
      </c>
      <c r="G1669">
        <f ca="1"/>
        <v>6.7094207621537016</v>
      </c>
    </row>
    <row r="1670" spans="3:7">
      <c r="C1670">
        <f ca="1"/>
        <v>-0.15529750568501727</v>
      </c>
      <c r="D1670">
        <f ca="1"/>
        <v>-4.0347552969799687E-2</v>
      </c>
      <c r="E1670">
        <f ca="1"/>
        <v>1.8455219828154796</v>
      </c>
      <c r="G1670">
        <f ca="1"/>
        <v>3.4316966293578184</v>
      </c>
    </row>
    <row r="1671" spans="3:7">
      <c r="C1671">
        <f ca="1"/>
        <v>-0.45724532705514376</v>
      </c>
      <c r="D1671">
        <f ca="1"/>
        <v>-0.14410107720876819</v>
      </c>
      <c r="E1671">
        <f ca="1"/>
        <v>0.86108678758167279</v>
      </c>
      <c r="G1671">
        <f ca="1"/>
        <v>0.97130886531421767</v>
      </c>
    </row>
    <row r="1672" spans="3:7">
      <c r="C1672">
        <f ca="1"/>
        <v>-1.8327127881483651</v>
      </c>
      <c r="D1672">
        <f ca="1"/>
        <v>-1.0923198356617581</v>
      </c>
      <c r="E1672">
        <f ca="1"/>
        <v>0.85772909673893583</v>
      </c>
      <c r="G1672">
        <f ca="1"/>
        <v>5.2876979906152757</v>
      </c>
    </row>
    <row r="1673" spans="3:7">
      <c r="C1673">
        <f ca="1"/>
        <v>0.51399295794124522</v>
      </c>
      <c r="D1673">
        <f ca="1"/>
        <v>0.7797874540598837</v>
      </c>
      <c r="E1673">
        <f ca="1"/>
        <v>-2.2595895340706682</v>
      </c>
      <c r="G1673">
        <f ca="1"/>
        <v>5.9780020968040848</v>
      </c>
    </row>
    <row r="1674" spans="3:7">
      <c r="C1674">
        <f ca="1"/>
        <v>0.57639492929250891</v>
      </c>
      <c r="D1674">
        <f ca="1"/>
        <v>0.91633080500575748</v>
      </c>
      <c r="E1674">
        <f ca="1"/>
        <v>-0.19869543829399272</v>
      </c>
      <c r="G1674">
        <f ca="1"/>
        <v>1.2113731359154578</v>
      </c>
    </row>
    <row r="1675" spans="3:7">
      <c r="C1675">
        <f ca="1"/>
        <v>-1.0125330889629089</v>
      </c>
      <c r="D1675">
        <f ca="1"/>
        <v>6.0293620393789507E-2</v>
      </c>
      <c r="E1675">
        <f ca="1"/>
        <v>0.33521095295995595</v>
      </c>
      <c r="G1675">
        <f ca="1"/>
        <v>1.1412249598892823</v>
      </c>
    </row>
    <row r="1676" spans="3:7">
      <c r="C1676">
        <f ca="1"/>
        <v>1.845879024032709</v>
      </c>
      <c r="D1676">
        <f ca="1"/>
        <v>8.8353924486723329E-2</v>
      </c>
      <c r="E1676">
        <f ca="1"/>
        <v>-0.62643117329647813</v>
      </c>
      <c r="G1676">
        <f ca="1"/>
        <v>3.8074918022137538</v>
      </c>
    </row>
    <row r="1677" spans="3:7">
      <c r="C1677">
        <f ca="1"/>
        <v>0.54831528434241794</v>
      </c>
      <c r="D1677">
        <f ca="1"/>
        <v>0.17365222102514399</v>
      </c>
      <c r="E1677">
        <f ca="1"/>
        <v>0.26959232982176889</v>
      </c>
      <c r="G1677">
        <f ca="1"/>
        <v>0.40348476920920157</v>
      </c>
    </row>
    <row r="1678" spans="3:7">
      <c r="C1678">
        <f ca="1"/>
        <v>0.36048821165330663</v>
      </c>
      <c r="D1678">
        <f ca="1"/>
        <v>0.1051524780341784</v>
      </c>
      <c r="E1678">
        <f ca="1"/>
        <v>-1.2382432378214812</v>
      </c>
      <c r="G1678">
        <f ca="1"/>
        <v>1.6742551103883527</v>
      </c>
    </row>
    <row r="1679" spans="3:7">
      <c r="C1679">
        <f ca="1"/>
        <v>0.51202223159196647</v>
      </c>
      <c r="D1679">
        <f ca="1"/>
        <v>-0.68964101777862985</v>
      </c>
      <c r="E1679">
        <f ca="1"/>
        <v>-1.0872692057200568</v>
      </c>
      <c r="G1679">
        <f ca="1"/>
        <v>1.919925824754285</v>
      </c>
    </row>
    <row r="1680" spans="3:7">
      <c r="C1680">
        <f ca="1"/>
        <v>-1.1658699601641533</v>
      </c>
      <c r="D1680">
        <f ca="1"/>
        <v>-1.2260014152398848</v>
      </c>
      <c r="E1680">
        <f ca="1"/>
        <v>-1.5325236093707548</v>
      </c>
      <c r="G1680">
        <f ca="1"/>
        <v>5.2109608474621307</v>
      </c>
    </row>
    <row r="1681" spans="3:7">
      <c r="C1681">
        <f ca="1"/>
        <v>0.32470713988626015</v>
      </c>
      <c r="D1681">
        <f ca="1"/>
        <v>1.9917380280572421</v>
      </c>
      <c r="E1681">
        <f ca="1"/>
        <v>1.9401950153974508</v>
      </c>
      <c r="G1681">
        <f ca="1"/>
        <v>7.8368117968755806</v>
      </c>
    </row>
    <row r="1682" spans="3:7">
      <c r="C1682">
        <f ca="1"/>
        <v>1.1079104194026488</v>
      </c>
      <c r="D1682">
        <f ca="1"/>
        <v>-0.28886462662590323</v>
      </c>
      <c r="E1682">
        <f ca="1"/>
        <v>0.55058947998853203</v>
      </c>
      <c r="G1682">
        <f ca="1"/>
        <v>1.6140570454107177</v>
      </c>
    </row>
    <row r="1683" spans="3:7">
      <c r="C1683">
        <f ca="1"/>
        <v>1.0627394037288616</v>
      </c>
      <c r="D1683">
        <f ca="1"/>
        <v>0.26134896832010202</v>
      </c>
      <c r="E1683">
        <f ca="1"/>
        <v>-6.8265454810612636E-2</v>
      </c>
      <c r="G1683">
        <f ca="1"/>
        <v>1.2023784958004575</v>
      </c>
    </row>
    <row r="1684" spans="3:7">
      <c r="C1684">
        <f ca="1"/>
        <v>-1.0573809576433149</v>
      </c>
      <c r="D1684">
        <f ca="1"/>
        <v>0.10526266106665724</v>
      </c>
      <c r="E1684">
        <f ca="1"/>
        <v>1.2390017141713041</v>
      </c>
      <c r="G1684">
        <f ca="1"/>
        <v>2.6642599651209573</v>
      </c>
    </row>
    <row r="1685" spans="3:7">
      <c r="C1685">
        <f ca="1"/>
        <v>-0.56441752751802099</v>
      </c>
      <c r="D1685">
        <f ca="1"/>
        <v>-2.3022266008450649E-2</v>
      </c>
      <c r="E1685">
        <f ca="1"/>
        <v>0.72920414491028951</v>
      </c>
      <c r="G1685">
        <f ca="1"/>
        <v>0.8508358550560664</v>
      </c>
    </row>
    <row r="1686" spans="3:7">
      <c r="C1686">
        <f ca="1"/>
        <v>-0.60468887982476416</v>
      </c>
      <c r="D1686">
        <f ca="1"/>
        <v>0.6897738490251919</v>
      </c>
      <c r="E1686">
        <f ca="1"/>
        <v>1.0945658973525914</v>
      </c>
      <c r="G1686">
        <f ca="1"/>
        <v>2.0395111078300401</v>
      </c>
    </row>
    <row r="1687" spans="3:7">
      <c r="C1687">
        <f ca="1"/>
        <v>0.70429431998097969</v>
      </c>
      <c r="D1687">
        <f ca="1"/>
        <v>-1.1764822117329807</v>
      </c>
      <c r="E1687">
        <f ca="1"/>
        <v>3.3688458172271118E-2</v>
      </c>
      <c r="G1687">
        <f ca="1"/>
        <v>1.8812757958956217</v>
      </c>
    </row>
    <row r="1688" spans="3:7">
      <c r="C1688">
        <f ca="1"/>
        <v>9.5293161881071245E-2</v>
      </c>
      <c r="D1688">
        <f ca="1"/>
        <v>0.85942532218920031</v>
      </c>
      <c r="E1688">
        <f ca="1"/>
        <v>8.2653060607335654E-2</v>
      </c>
      <c r="G1688">
        <f ca="1"/>
        <v>0.7545241995490628</v>
      </c>
    </row>
    <row r="1689" spans="3:7">
      <c r="C1689">
        <f ca="1"/>
        <v>-0.20828968030566361</v>
      </c>
      <c r="D1689">
        <f ca="1"/>
        <v>-1.1763450877518977</v>
      </c>
      <c r="E1689">
        <f ca="1"/>
        <v>-3.0015643980908346</v>
      </c>
      <c r="G1689">
        <f ca="1"/>
        <v>10.43656119228625</v>
      </c>
    </row>
    <row r="1690" spans="3:7">
      <c r="C1690">
        <f ca="1"/>
        <v>-0.7312208493260185</v>
      </c>
      <c r="D1690">
        <f ca="1"/>
        <v>2.5020706405064166</v>
      </c>
      <c r="E1690">
        <f ca="1"/>
        <v>0.27022809080964239</v>
      </c>
      <c r="G1690">
        <f ca="1"/>
        <v>6.8680646416358782</v>
      </c>
    </row>
    <row r="1691" spans="3:7">
      <c r="C1691">
        <f ca="1"/>
        <v>-1.3363908639944211</v>
      </c>
      <c r="D1691">
        <f ca="1"/>
        <v>-0.1197456551245701</v>
      </c>
      <c r="E1691">
        <f ca="1"/>
        <v>1.9649878087314718</v>
      </c>
      <c r="G1691">
        <f ca="1"/>
        <v>5.6614566517522791</v>
      </c>
    </row>
    <row r="1692" spans="3:7">
      <c r="C1692">
        <f ca="1"/>
        <v>-0.20859714706588606</v>
      </c>
      <c r="D1692">
        <f ca="1"/>
        <v>-0.82197346215975908</v>
      </c>
      <c r="E1692">
        <f ca="1"/>
        <v>-0.53641722221815791</v>
      </c>
      <c r="G1692">
        <f ca="1"/>
        <v>1.0068965785511723</v>
      </c>
    </row>
    <row r="1693" spans="3:7">
      <c r="C1693">
        <f ca="1"/>
        <v>0.80508207241490348</v>
      </c>
      <c r="D1693">
        <f ca="1"/>
        <v>1.4215079744856589</v>
      </c>
      <c r="E1693">
        <f ca="1"/>
        <v>5.4962774594338445E-2</v>
      </c>
      <c r="G1693">
        <f ca="1"/>
        <v>2.6718629714413047</v>
      </c>
    </row>
    <row r="1694" spans="3:7">
      <c r="C1694">
        <f ca="1"/>
        <v>0.10570347211758527</v>
      </c>
      <c r="D1694">
        <f ca="1"/>
        <v>-1.8004728582206948</v>
      </c>
      <c r="E1694">
        <f ca="1"/>
        <v>1.4599269241688013</v>
      </c>
      <c r="G1694">
        <f ca="1"/>
        <v>5.3842623611200882</v>
      </c>
    </row>
    <row r="1695" spans="3:7">
      <c r="C1695">
        <f ca="1"/>
        <v>0.16779344009590202</v>
      </c>
      <c r="D1695">
        <f ca="1"/>
        <v>-0.11799255884699228</v>
      </c>
      <c r="E1695">
        <f ca="1"/>
        <v>0.82811773017054868</v>
      </c>
      <c r="G1695">
        <f ca="1"/>
        <v>0.72785585750529969</v>
      </c>
    </row>
    <row r="1696" spans="3:7">
      <c r="C1696">
        <f ca="1"/>
        <v>-5.8986971504600909E-2</v>
      </c>
      <c r="D1696">
        <f ca="1"/>
        <v>-2.099899702583321</v>
      </c>
      <c r="E1696">
        <f ca="1"/>
        <v>-3.266947567605067</v>
      </c>
      <c r="G1696">
        <f ca="1"/>
        <v>15.086004633197469</v>
      </c>
    </row>
    <row r="1697" spans="3:7">
      <c r="C1697">
        <f ca="1"/>
        <v>-1.2772420623085321</v>
      </c>
      <c r="D1697">
        <f ca="1"/>
        <v>0.24457124274309533</v>
      </c>
      <c r="E1697">
        <f ca="1"/>
        <v>0.12913425761746047</v>
      </c>
      <c r="G1697">
        <f ca="1"/>
        <v>1.7078380349974669</v>
      </c>
    </row>
    <row r="1698" spans="3:7">
      <c r="C1698">
        <f ca="1"/>
        <v>0.25967970486424513</v>
      </c>
      <c r="D1698">
        <f ca="1"/>
        <v>0.59748979255456347</v>
      </c>
      <c r="E1698">
        <f ca="1"/>
        <v>-2.2568619988045437</v>
      </c>
      <c r="G1698">
        <f ca="1"/>
        <v>5.5178536829733167</v>
      </c>
    </row>
    <row r="1699" spans="3:7">
      <c r="C1699">
        <f ca="1"/>
        <v>0.2317693370005815</v>
      </c>
      <c r="D1699">
        <f ca="1"/>
        <v>-1.0672333754757433</v>
      </c>
      <c r="E1699">
        <f ca="1"/>
        <v>4.0941708012146298E-2</v>
      </c>
      <c r="G1699">
        <f ca="1"/>
        <v>1.1943803267579898</v>
      </c>
    </row>
    <row r="1700" spans="3:7">
      <c r="C1700">
        <f ca="1"/>
        <v>0.56889028134008146</v>
      </c>
      <c r="D1700">
        <f ca="1"/>
        <v>-0.25364475368442024</v>
      </c>
      <c r="E1700">
        <f ca="1"/>
        <v>3.6488885098114395E-3</v>
      </c>
      <c r="G1700">
        <f ca="1"/>
        <v>0.38798512766218424</v>
      </c>
    </row>
    <row r="1701" spans="3:7">
      <c r="C1701">
        <f ca="1"/>
        <v>-1.9959038886245251</v>
      </c>
      <c r="D1701">
        <f ca="1"/>
        <v>-0.92886540051749122</v>
      </c>
      <c r="E1701">
        <f ca="1"/>
        <v>-0.1013123680468678</v>
      </c>
      <c r="G1701">
        <f ca="1"/>
        <v>4.8566874608242845</v>
      </c>
    </row>
    <row r="1702" spans="3:7">
      <c r="C1702">
        <f ca="1"/>
        <v>-0.48818736052699002</v>
      </c>
      <c r="D1702">
        <f ca="1"/>
        <v>0.42010015415307217</v>
      </c>
      <c r="E1702">
        <f ca="1"/>
        <v>0.24504373924965636</v>
      </c>
      <c r="G1702">
        <f ca="1"/>
        <v>0.47485747264319794</v>
      </c>
    </row>
    <row r="1703" spans="3:7">
      <c r="C1703">
        <f ca="1"/>
        <v>1.5617808605236929</v>
      </c>
      <c r="D1703">
        <f ca="1"/>
        <v>0.40317023745113234</v>
      </c>
      <c r="E1703">
        <f ca="1"/>
        <v>0.14041919614498077</v>
      </c>
      <c r="G1703">
        <f ca="1"/>
        <v>2.6214232473105321</v>
      </c>
    </row>
    <row r="1704" spans="3:7">
      <c r="C1704">
        <f ca="1"/>
        <v>-0.9979829338199212</v>
      </c>
      <c r="D1704">
        <f ca="1"/>
        <v>-1.5253176135883231</v>
      </c>
      <c r="E1704">
        <f ca="1"/>
        <v>-2.3622362384135194</v>
      </c>
      <c r="G1704">
        <f ca="1"/>
        <v>8.9027238045926467</v>
      </c>
    </row>
    <row r="1705" spans="3:7">
      <c r="C1705">
        <f ca="1"/>
        <v>0.15488525932135314</v>
      </c>
      <c r="D1705">
        <f ca="1"/>
        <v>-0.24092363329574212</v>
      </c>
      <c r="E1705">
        <f ca="1"/>
        <v>0.58006676389044498</v>
      </c>
      <c r="G1705">
        <f ca="1"/>
        <v>0.41851109120579727</v>
      </c>
    </row>
    <row r="1706" spans="3:7">
      <c r="C1706">
        <f ca="1"/>
        <v>-1.5623794351208777</v>
      </c>
      <c r="D1706">
        <f ca="1"/>
        <v>0.21053777038580204</v>
      </c>
      <c r="E1706">
        <f ca="1"/>
        <v>0.74619266584863686</v>
      </c>
      <c r="G1706">
        <f ca="1"/>
        <v>3.0421591466139533</v>
      </c>
    </row>
    <row r="1707" spans="3:7">
      <c r="C1707">
        <f ca="1"/>
        <v>-0.1463906464682016</v>
      </c>
      <c r="D1707">
        <f ca="1"/>
        <v>2.7663036014597822</v>
      </c>
      <c r="E1707">
        <f ca="1"/>
        <v>0.78366986722064191</v>
      </c>
      <c r="G1707">
        <f ca="1"/>
        <v>8.2880042976123569</v>
      </c>
    </row>
    <row r="1708" spans="3:7">
      <c r="C1708">
        <f ca="1"/>
        <v>-0.98511053988855424</v>
      </c>
      <c r="D1708">
        <f ca="1"/>
        <v>0.54817017268064749</v>
      </c>
      <c r="E1708">
        <f ca="1"/>
        <v>1.2128825188003558</v>
      </c>
      <c r="G1708">
        <f ca="1"/>
        <v>2.7420173184277452</v>
      </c>
    </row>
    <row r="1709" spans="3:7">
      <c r="C1709">
        <f ca="1"/>
        <v>-7.892413553217234E-2</v>
      </c>
      <c r="D1709">
        <f ca="1"/>
        <v>0.28759867955072488</v>
      </c>
      <c r="E1709">
        <f ca="1"/>
        <v>0.23671519466076507</v>
      </c>
      <c r="G1709">
        <f ca="1"/>
        <v>0.14497610303210515</v>
      </c>
    </row>
    <row r="1710" spans="3:7">
      <c r="C1710">
        <f ca="1"/>
        <v>-0.21075010168837474</v>
      </c>
      <c r="D1710">
        <f ca="1"/>
        <v>0.6412699546467292</v>
      </c>
      <c r="E1710">
        <f ca="1"/>
        <v>1.0162003012376655</v>
      </c>
      <c r="G1710">
        <f ca="1"/>
        <v>1.4883058123298003</v>
      </c>
    </row>
    <row r="1711" spans="3:7">
      <c r="C1711">
        <f ca="1"/>
        <v>-0.11205175507540899</v>
      </c>
      <c r="D1711">
        <f ca="1"/>
        <v>-0.62159317296438943</v>
      </c>
      <c r="E1711">
        <f ca="1"/>
        <v>-0.13317282881108697</v>
      </c>
      <c r="G1711">
        <f ca="1"/>
        <v>0.41666867082496389</v>
      </c>
    </row>
    <row r="1712" spans="3:7">
      <c r="C1712">
        <f ca="1"/>
        <v>0.57767542179223963</v>
      </c>
      <c r="D1712">
        <f ca="1"/>
        <v>-1.4183751117483721</v>
      </c>
      <c r="E1712">
        <f ca="1"/>
        <v>-6.2995299688070647E-2</v>
      </c>
      <c r="G1712">
        <f ca="1"/>
        <v>2.3494652583528386</v>
      </c>
    </row>
    <row r="1713" spans="3:7">
      <c r="C1713">
        <f ca="1"/>
        <v>0.92741055020391006</v>
      </c>
      <c r="D1713">
        <f ca="1"/>
        <v>5.8493946482125719E-2</v>
      </c>
      <c r="E1713">
        <f ca="1"/>
        <v>2.2469988628191615</v>
      </c>
      <c r="G1713">
        <f ca="1"/>
        <v>5.9125157599151779</v>
      </c>
    </row>
    <row r="1714" spans="3:7">
      <c r="C1714">
        <f ca="1"/>
        <v>0.15678979621338821</v>
      </c>
      <c r="D1714">
        <f ca="1"/>
        <v>-1.3528546756688711</v>
      </c>
      <c r="E1714">
        <f ca="1"/>
        <v>-0.33192342637496314</v>
      </c>
      <c r="G1714">
        <f ca="1"/>
        <v>1.9649719746522578</v>
      </c>
    </row>
    <row r="1715" spans="3:7">
      <c r="C1715">
        <f ca="1"/>
        <v>-1.4101754154451075E-2</v>
      </c>
      <c r="D1715">
        <f ca="1"/>
        <v>7.0316191869678954E-2</v>
      </c>
      <c r="E1715">
        <f ca="1"/>
        <v>5.9449214879614645E-2</v>
      </c>
      <c r="G1715">
        <f ca="1"/>
        <v>8.6774354590886792E-3</v>
      </c>
    </row>
    <row r="1716" spans="3:7">
      <c r="C1716">
        <f ca="1"/>
        <v>1.2934810938677697</v>
      </c>
      <c r="D1716">
        <f ca="1"/>
        <v>1.4021963762201837</v>
      </c>
      <c r="E1716">
        <f ca="1"/>
        <v>1.3028655861097478</v>
      </c>
      <c r="G1716">
        <f ca="1"/>
        <v>5.3367067531474737</v>
      </c>
    </row>
    <row r="1717" spans="3:7">
      <c r="C1717">
        <f ca="1"/>
        <v>-0.41123804312531359</v>
      </c>
      <c r="D1717">
        <f ca="1"/>
        <v>-1.3342336823105512</v>
      </c>
      <c r="E1717">
        <f ca="1"/>
        <v>0.69339755955357418</v>
      </c>
      <c r="G1717">
        <f ca="1"/>
        <v>2.4300964227203625</v>
      </c>
    </row>
    <row r="1718" spans="3:7">
      <c r="C1718">
        <f ca="1"/>
        <v>0.71949481235101242</v>
      </c>
      <c r="D1718">
        <f ca="1"/>
        <v>-0.62272442884580426</v>
      </c>
      <c r="E1718">
        <f ca="1"/>
        <v>-1.6087400925550957E-2</v>
      </c>
      <c r="G1718">
        <f ca="1"/>
        <v>0.90571730374989112</v>
      </c>
    </row>
    <row r="1719" spans="3:7">
      <c r="C1719">
        <f ca="1"/>
        <v>-0.50750902598763004</v>
      </c>
      <c r="D1719">
        <f ca="1"/>
        <v>-0.95686060410237639</v>
      </c>
      <c r="E1719">
        <f ca="1"/>
        <v>0.6865597190734043</v>
      </c>
      <c r="G1719">
        <f ca="1"/>
        <v>1.6445118749962293</v>
      </c>
    </row>
    <row r="1720" spans="3:7">
      <c r="C1720">
        <f ca="1"/>
        <v>-8.5527888954517198E-2</v>
      </c>
      <c r="D1720">
        <f ca="1"/>
        <v>1.1847570241972534</v>
      </c>
      <c r="E1720">
        <f ca="1"/>
        <v>0.76019608383756088</v>
      </c>
      <c r="G1720">
        <f ca="1"/>
        <v>1.9888623120557112</v>
      </c>
    </row>
    <row r="1721" spans="3:7">
      <c r="C1721">
        <f ca="1"/>
        <v>-1.182928789582361</v>
      </c>
      <c r="D1721">
        <f ca="1"/>
        <v>-0.52234368911064488</v>
      </c>
      <c r="E1721">
        <f ca="1"/>
        <v>0.63840380238791306</v>
      </c>
      <c r="G1721">
        <f ca="1"/>
        <v>2.0797228656798534</v>
      </c>
    </row>
    <row r="1722" spans="3:7">
      <c r="C1722">
        <f ca="1"/>
        <v>-1.2805965145483038</v>
      </c>
      <c r="D1722">
        <f ca="1"/>
        <v>1.2750992764852966</v>
      </c>
      <c r="E1722">
        <f ca="1"/>
        <v>-1.0418080894975434</v>
      </c>
      <c r="G1722">
        <f ca="1"/>
        <v>4.3511696933091129</v>
      </c>
    </row>
    <row r="1723" spans="3:7">
      <c r="C1723">
        <f ca="1"/>
        <v>1.0321856327306969</v>
      </c>
      <c r="D1723">
        <f ca="1"/>
        <v>1.26104069783322</v>
      </c>
      <c r="E1723">
        <f ca="1"/>
        <v>1.1516948756985015</v>
      </c>
      <c r="G1723">
        <f ca="1"/>
        <v>3.9820319087175506</v>
      </c>
    </row>
    <row r="1724" spans="3:7">
      <c r="C1724">
        <f ca="1"/>
        <v>-1.4858581617402884</v>
      </c>
      <c r="D1724">
        <f ca="1"/>
        <v>0.13057398825901081</v>
      </c>
      <c r="E1724">
        <f ca="1"/>
        <v>1.1987160343979335</v>
      </c>
      <c r="G1724">
        <f ca="1"/>
        <v>3.6617441743428012</v>
      </c>
    </row>
    <row r="1725" spans="3:7">
      <c r="C1725">
        <f ca="1"/>
        <v>-0.15434101244803539</v>
      </c>
      <c r="D1725">
        <f ca="1"/>
        <v>0.50222382079008265</v>
      </c>
      <c r="E1725">
        <f ca="1"/>
        <v>-0.59846678804445308</v>
      </c>
      <c r="G1725">
        <f ca="1"/>
        <v>0.63421241068471801</v>
      </c>
    </row>
    <row r="1726" spans="3:7">
      <c r="C1726">
        <f ca="1"/>
        <v>0.21564021222972757</v>
      </c>
      <c r="D1726">
        <f ca="1"/>
        <v>0.94032970803591553</v>
      </c>
      <c r="E1726">
        <f ca="1"/>
        <v>-0.6979155648169415</v>
      </c>
      <c r="G1726">
        <f ca="1"/>
        <v>1.4178067965591428</v>
      </c>
    </row>
    <row r="1727" spans="3:7">
      <c r="C1727">
        <f ca="1"/>
        <v>-0.61456727270500355</v>
      </c>
      <c r="D1727">
        <f ca="1"/>
        <v>-0.39856172295370629</v>
      </c>
      <c r="E1727">
        <f ca="1"/>
        <v>2.2171819986827388</v>
      </c>
      <c r="G1727">
        <f ca="1"/>
        <v>5.4524403949666773</v>
      </c>
    </row>
    <row r="1728" spans="3:7">
      <c r="C1728">
        <f ca="1"/>
        <v>-0.80950298166606383</v>
      </c>
      <c r="D1728">
        <f ca="1"/>
        <v>1.9862294459951766</v>
      </c>
      <c r="E1728">
        <f ca="1"/>
        <v>0.68726770054366093</v>
      </c>
      <c r="G1728">
        <f ca="1"/>
        <v>5.0727393816751256</v>
      </c>
    </row>
    <row r="1729" spans="3:7">
      <c r="C1729">
        <f ca="1"/>
        <v>1.0833440539913461</v>
      </c>
      <c r="D1729">
        <f ca="1"/>
        <v>-0.63722517936543988</v>
      </c>
      <c r="E1729">
        <f ca="1"/>
        <v>6.677448164531069E-2</v>
      </c>
      <c r="G1729">
        <f ca="1"/>
        <v>1.5841490999347219</v>
      </c>
    </row>
    <row r="1730" spans="3:7">
      <c r="C1730">
        <f ca="1"/>
        <v>-0.76627274361734021</v>
      </c>
      <c r="D1730">
        <f ca="1"/>
        <v>-0.11112771921818615</v>
      </c>
      <c r="E1730">
        <f ca="1"/>
        <v>-0.40769540007394717</v>
      </c>
      <c r="G1730">
        <f ca="1"/>
        <v>0.76573882683093786</v>
      </c>
    </row>
    <row r="1731" spans="3:7">
      <c r="C1731">
        <f ca="1"/>
        <v>-0.26135964416121388</v>
      </c>
      <c r="D1731">
        <f ca="1"/>
        <v>0.55545363779865886</v>
      </c>
      <c r="E1731">
        <f ca="1"/>
        <v>1.3288084401076186</v>
      </c>
      <c r="G1731">
        <f ca="1"/>
        <v>2.1425694778410826</v>
      </c>
    </row>
    <row r="1732" spans="3:7">
      <c r="C1732">
        <f ca="1"/>
        <v>0.23155303754359258</v>
      </c>
      <c r="D1732">
        <f ca="1"/>
        <v>-1.7153581586170152</v>
      </c>
      <c r="E1732">
        <f ca="1"/>
        <v>1.0138184098944949</v>
      </c>
      <c r="G1732">
        <f ca="1"/>
        <v>4.0238981897706241</v>
      </c>
    </row>
    <row r="1733" spans="3:7">
      <c r="C1733">
        <f ca="1"/>
        <v>-8.5217398957482371E-2</v>
      </c>
      <c r="D1733">
        <f ca="1"/>
        <v>0.75834462060642216</v>
      </c>
      <c r="E1733">
        <f ca="1"/>
        <v>0.83344594848325648</v>
      </c>
      <c r="G1733">
        <f ca="1"/>
        <v>1.276980717730932</v>
      </c>
    </row>
    <row r="1734" spans="3:7">
      <c r="C1734">
        <f ca="1"/>
        <v>1.6677303351472017</v>
      </c>
      <c r="D1734">
        <f ca="1"/>
        <v>-1.1026054036906667</v>
      </c>
      <c r="E1734">
        <f ca="1"/>
        <v>-0.16101936728725627</v>
      </c>
      <c r="G1734">
        <f ca="1"/>
        <v>4.0229903836596437</v>
      </c>
    </row>
    <row r="1735" spans="3:7">
      <c r="C1735">
        <f ca="1"/>
        <v>-1.2321211141349546</v>
      </c>
      <c r="D1735">
        <f ca="1"/>
        <v>-1.3474264465065475</v>
      </c>
      <c r="E1735">
        <f ca="1"/>
        <v>-0.4294654679752134</v>
      </c>
      <c r="G1735">
        <f ca="1"/>
        <v>3.518121056825593</v>
      </c>
    </row>
    <row r="1736" spans="3:7">
      <c r="C1736">
        <f ca="1"/>
        <v>0.96961601898484173</v>
      </c>
      <c r="D1736">
        <f ca="1"/>
        <v>0.9590057445176523</v>
      </c>
      <c r="E1736">
        <f ca="1"/>
        <v>-0.4554733722869177</v>
      </c>
      <c r="G1736">
        <f ca="1"/>
        <v>2.0673032351522869</v>
      </c>
    </row>
    <row r="1737" spans="3:7">
      <c r="C1737">
        <f ca="1"/>
        <v>0.49540412923355542</v>
      </c>
      <c r="D1737">
        <f ca="1"/>
        <v>-1.199815706632452</v>
      </c>
      <c r="E1737">
        <f ca="1"/>
        <v>-1.2809885367825165</v>
      </c>
      <c r="G1737">
        <f ca="1"/>
        <v>3.3259146125117995</v>
      </c>
    </row>
    <row r="1738" spans="3:7">
      <c r="C1738">
        <f ca="1"/>
        <v>-1.4596785122652638</v>
      </c>
      <c r="D1738">
        <f ca="1"/>
        <v>1.1128761908703497</v>
      </c>
      <c r="E1738">
        <f ca="1"/>
        <v>-4.5802500545420101E-2</v>
      </c>
      <c r="G1738">
        <f ca="1"/>
        <v>3.3712526444312463</v>
      </c>
    </row>
    <row r="1739" spans="3:7">
      <c r="C1739">
        <f ca="1"/>
        <v>-0.55114762914252413</v>
      </c>
      <c r="D1739">
        <f ca="1"/>
        <v>-0.51976622318649546</v>
      </c>
      <c r="E1739">
        <f ca="1"/>
        <v>0.64311087497406982</v>
      </c>
      <c r="G1739">
        <f ca="1"/>
        <v>0.98751223338489269</v>
      </c>
    </row>
    <row r="1740" spans="3:7">
      <c r="C1740">
        <f ca="1"/>
        <v>0.18717937043722019</v>
      </c>
      <c r="D1740">
        <f ca="1"/>
        <v>-4.544315016913042E-2</v>
      </c>
      <c r="E1740">
        <f ca="1"/>
        <v>1.7312299826107878</v>
      </c>
      <c r="G1740">
        <f ca="1"/>
        <v>3.034258449305117</v>
      </c>
    </row>
    <row r="1741" spans="3:7">
      <c r="C1741">
        <f ca="1"/>
        <v>0.5245139024507991</v>
      </c>
      <c r="D1741">
        <f ca="1"/>
        <v>0.53134059472814632</v>
      </c>
      <c r="E1741">
        <f ca="1"/>
        <v>-1.0898379240566081</v>
      </c>
      <c r="G1741">
        <f ca="1"/>
        <v>1.7451843621822438</v>
      </c>
    </row>
    <row r="1742" spans="3:7">
      <c r="C1742">
        <f ca="1"/>
        <v>0.35811566507677167</v>
      </c>
      <c r="D1742">
        <f ca="1"/>
        <v>0.27292824475142935</v>
      </c>
      <c r="E1742">
        <f ca="1"/>
        <v>-0.630772727838533</v>
      </c>
      <c r="G1742">
        <f ca="1"/>
        <v>0.60061089054133865</v>
      </c>
    </row>
    <row r="1743" spans="3:7">
      <c r="C1743">
        <f ca="1"/>
        <v>0.30495048030815008</v>
      </c>
      <c r="D1743">
        <f ca="1"/>
        <v>1.1739711639785684</v>
      </c>
      <c r="E1743">
        <f ca="1"/>
        <v>0.29565693159562639</v>
      </c>
      <c r="G1743">
        <f ca="1"/>
        <v>1.5586161104939071</v>
      </c>
    </row>
    <row r="1744" spans="3:7">
      <c r="C1744">
        <f ca="1"/>
        <v>-1.1754308132472666</v>
      </c>
      <c r="D1744">
        <f ca="1"/>
        <v>1.7317470215485911</v>
      </c>
      <c r="E1744">
        <f ca="1"/>
        <v>0.49836756781811392</v>
      </c>
      <c r="G1744">
        <f ca="1"/>
        <v>4.6289555760264891</v>
      </c>
    </row>
    <row r="1745" spans="3:7">
      <c r="C1745">
        <f ca="1"/>
        <v>0.17502747275040206</v>
      </c>
      <c r="D1745">
        <f ca="1"/>
        <v>-2.2464600029520179E-2</v>
      </c>
      <c r="E1745">
        <f ca="1"/>
        <v>0.35944849178796329</v>
      </c>
      <c r="G1745">
        <f ca="1"/>
        <v>0.16034249272052056</v>
      </c>
    </row>
    <row r="1746" spans="3:7">
      <c r="C1746">
        <f ca="1"/>
        <v>0.93969821548313992</v>
      </c>
      <c r="D1746">
        <f ca="1"/>
        <v>-1.530206365074319</v>
      </c>
      <c r="E1746">
        <f ca="1"/>
        <v>1.10944477485927</v>
      </c>
      <c r="G1746">
        <f ca="1"/>
        <v>4.4554319643586933</v>
      </c>
    </row>
    <row r="1747" spans="3:7">
      <c r="C1747">
        <f ca="1"/>
        <v>0.16118954627891702</v>
      </c>
      <c r="D1747">
        <f ca="1"/>
        <v>0.8746066778102255</v>
      </c>
      <c r="E1747">
        <f ca="1"/>
        <v>-1.259203409626142</v>
      </c>
      <c r="G1747">
        <f ca="1"/>
        <v>2.3765121375139442</v>
      </c>
    </row>
    <row r="1748" spans="3:7">
      <c r="C1748">
        <f ca="1"/>
        <v>-0.32096970159013277</v>
      </c>
      <c r="D1748">
        <f ca="1"/>
        <v>0.53300402098666488</v>
      </c>
      <c r="E1748">
        <f ca="1"/>
        <v>0.97525235066500737</v>
      </c>
      <c r="G1748">
        <f ca="1"/>
        <v>1.3382319832044345</v>
      </c>
    </row>
    <row r="1749" spans="3:7">
      <c r="C1749">
        <f ca="1"/>
        <v>-5.3494292190188995E-2</v>
      </c>
      <c r="D1749">
        <f ca="1"/>
        <v>-1.3084691597838267</v>
      </c>
      <c r="E1749">
        <f ca="1"/>
        <v>-1.434589249070451</v>
      </c>
      <c r="G1749">
        <f ca="1"/>
        <v>3.7729994949508434</v>
      </c>
    </row>
    <row r="1750" spans="3:7">
      <c r="C1750">
        <f ca="1"/>
        <v>1.1170878303662672</v>
      </c>
      <c r="D1750">
        <f ca="1"/>
        <v>0.28162896437305229</v>
      </c>
      <c r="E1750">
        <f ca="1"/>
        <v>-1.3398508213084328</v>
      </c>
      <c r="G1750">
        <f ca="1"/>
        <v>3.1224003176871342</v>
      </c>
    </row>
    <row r="1751" spans="3:7">
      <c r="C1751">
        <f ca="1"/>
        <v>0.65601196466365175</v>
      </c>
      <c r="D1751">
        <f ca="1"/>
        <v>-1.4112194065967396</v>
      </c>
      <c r="E1751">
        <f ca="1"/>
        <v>2.9095240019581881</v>
      </c>
      <c r="G1751">
        <f ca="1"/>
        <v>10.887221829307908</v>
      </c>
    </row>
    <row r="1752" spans="3:7">
      <c r="C1752">
        <f ca="1"/>
        <v>-0.23413272796513984</v>
      </c>
      <c r="D1752">
        <f ca="1"/>
        <v>-1.8229728526692319</v>
      </c>
      <c r="E1752">
        <f ca="1"/>
        <v>-0.15313873152042493</v>
      </c>
      <c r="G1752">
        <f ca="1"/>
        <v>3.4014996269650806</v>
      </c>
    </row>
    <row r="1753" spans="3:7">
      <c r="C1753">
        <f ca="1"/>
        <v>-0.7737852641819859</v>
      </c>
      <c r="D1753">
        <f ca="1"/>
        <v>-1.5628234021141965</v>
      </c>
      <c r="E1753">
        <f ca="1"/>
        <v>0.72955113644708336</v>
      </c>
      <c r="G1753">
        <f ca="1"/>
        <v>3.5734054819522081</v>
      </c>
    </row>
    <row r="1754" spans="3:7">
      <c r="C1754">
        <f ca="1"/>
        <v>-0.7761469429331922</v>
      </c>
      <c r="D1754">
        <f ca="1"/>
        <v>0.18846107697365608</v>
      </c>
      <c r="E1754">
        <f ca="1"/>
        <v>-1.8056479494187296</v>
      </c>
      <c r="G1754">
        <f ca="1"/>
        <v>3.8982861717986736</v>
      </c>
    </row>
    <row r="1755" spans="3:7">
      <c r="C1755">
        <f ca="1"/>
        <v>-0.31809105108172075</v>
      </c>
      <c r="D1755">
        <f ca="1"/>
        <v>0.2315688614097032</v>
      </c>
      <c r="E1755">
        <f ca="1"/>
        <v>1.0090228606354072</v>
      </c>
      <c r="G1755">
        <f ca="1"/>
        <v>1.1729331876377207</v>
      </c>
    </row>
    <row r="1756" spans="3:7">
      <c r="C1756">
        <f ca="1"/>
        <v>-0.70309646664294667</v>
      </c>
      <c r="D1756">
        <f ca="1"/>
        <v>-0.54119339021049262</v>
      </c>
      <c r="E1756">
        <f ca="1"/>
        <v>0.36255987847498738</v>
      </c>
      <c r="G1756">
        <f ca="1"/>
        <v>0.9186845924931204</v>
      </c>
    </row>
    <row r="1757" spans="3:7">
      <c r="C1757">
        <f ca="1"/>
        <v>0.17438917761429643</v>
      </c>
      <c r="D1757">
        <f ca="1"/>
        <v>-0.95019571374972367</v>
      </c>
      <c r="E1757">
        <f ca="1"/>
        <v>0.8105214208006053</v>
      </c>
      <c r="G1757">
        <f ca="1"/>
        <v>1.5902284532739692</v>
      </c>
    </row>
    <row r="1758" spans="3:7">
      <c r="C1758">
        <f ca="1"/>
        <v>0.36686324980145779</v>
      </c>
      <c r="D1758">
        <f ca="1"/>
        <v>0.9304441161847844</v>
      </c>
      <c r="E1758">
        <f ca="1"/>
        <v>1.8045428364403413</v>
      </c>
      <c r="G1758">
        <f ca="1"/>
        <v>4.2566897459459234</v>
      </c>
    </row>
    <row r="1759" spans="3:7">
      <c r="C1759">
        <f ca="1"/>
        <v>0.38023330598714844</v>
      </c>
      <c r="D1759">
        <f ca="1"/>
        <v>2.6349221749602498</v>
      </c>
      <c r="E1759">
        <f ca="1"/>
        <v>0.84820093822108167</v>
      </c>
      <c r="G1759">
        <f ca="1"/>
        <v>7.8068370666782929</v>
      </c>
    </row>
    <row r="1760" spans="3:7">
      <c r="C1760">
        <f ca="1"/>
        <v>-0.20028701872502616</v>
      </c>
      <c r="D1760">
        <f ca="1"/>
        <v>-0.1037661704358845</v>
      </c>
      <c r="E1760">
        <f ca="1"/>
        <v>-0.53631841745294195</v>
      </c>
      <c r="G1760">
        <f ca="1"/>
        <v>0.33851975289591613</v>
      </c>
    </row>
    <row r="1761" spans="3:7">
      <c r="C1761">
        <f ca="1"/>
        <v>0.63286002077736425</v>
      </c>
      <c r="D1761">
        <f ca="1"/>
        <v>-1.2530926723256406</v>
      </c>
      <c r="E1761">
        <f ca="1"/>
        <v>-0.4835748471701008</v>
      </c>
      <c r="G1761">
        <f ca="1"/>
        <v>2.2045976841501278</v>
      </c>
    </row>
    <row r="1762" spans="3:7">
      <c r="C1762">
        <f ca="1"/>
        <v>1.1070029421906733</v>
      </c>
      <c r="D1762">
        <f ca="1"/>
        <v>0.4691358702934772</v>
      </c>
      <c r="E1762">
        <f ca="1"/>
        <v>0.32335695233560413</v>
      </c>
      <c r="G1762">
        <f ca="1"/>
        <v>1.5501036974385956</v>
      </c>
    </row>
    <row r="1763" spans="3:7">
      <c r="C1763">
        <f ca="1"/>
        <v>1.4975344204499046</v>
      </c>
      <c r="D1763">
        <f ca="1"/>
        <v>-1.7760598836191703</v>
      </c>
      <c r="E1763">
        <f ca="1"/>
        <v>2.475046891725591</v>
      </c>
      <c r="G1763">
        <f ca="1"/>
        <v>11.522855166874081</v>
      </c>
    </row>
    <row r="1764" spans="3:7">
      <c r="C1764">
        <f ca="1"/>
        <v>1.6541049074856244</v>
      </c>
      <c r="D1764">
        <f ca="1"/>
        <v>1.9454664854752002</v>
      </c>
      <c r="E1764">
        <f ca="1"/>
        <v>-0.81405048158562721</v>
      </c>
      <c r="G1764">
        <f ca="1"/>
        <v>7.1835810776450453</v>
      </c>
    </row>
    <row r="1765" spans="3:7">
      <c r="C1765">
        <f ca="1"/>
        <v>1.5721538454319803</v>
      </c>
      <c r="D1765">
        <f ca="1"/>
        <v>-0.78127410402004682</v>
      </c>
      <c r="E1765">
        <f ca="1"/>
        <v>-0.7696816316514955</v>
      </c>
      <c r="G1765">
        <f ca="1"/>
        <v>3.6744667534205986</v>
      </c>
    </row>
    <row r="1766" spans="3:7">
      <c r="C1766">
        <f ca="1"/>
        <v>-0.46719466308080704</v>
      </c>
      <c r="D1766">
        <f ca="1"/>
        <v>1.3884659890740183</v>
      </c>
      <c r="E1766">
        <f ca="1"/>
        <v>-2.1485505061227825</v>
      </c>
      <c r="G1766">
        <f ca="1"/>
        <v>6.7623779333869454</v>
      </c>
    </row>
    <row r="1767" spans="3:7">
      <c r="C1767">
        <f ca="1"/>
        <v>0.13089289639073831</v>
      </c>
      <c r="D1767">
        <f ca="1"/>
        <v>-0.37373876436801895</v>
      </c>
      <c r="E1767">
        <f ca="1"/>
        <v>-1.6399867260492804</v>
      </c>
      <c r="G1767">
        <f ca="1"/>
        <v>2.8463700759347277</v>
      </c>
    </row>
    <row r="1768" spans="3:7">
      <c r="C1768">
        <f ca="1"/>
        <v>0.75439579774219345</v>
      </c>
      <c r="D1768">
        <f ca="1"/>
        <v>-0.53250309139050855</v>
      </c>
      <c r="E1768">
        <f ca="1"/>
        <v>0.1156265114061464</v>
      </c>
      <c r="G1768">
        <f ca="1"/>
        <v>0.86604205213148444</v>
      </c>
    </row>
    <row r="1769" spans="3:7">
      <c r="C1769">
        <f ca="1"/>
        <v>0.48950771965562523</v>
      </c>
      <c r="D1769">
        <f ca="1"/>
        <v>0.51151724656717712</v>
      </c>
      <c r="E1769">
        <f ca="1"/>
        <v>8.4611535808558444E-2</v>
      </c>
      <c r="G1769">
        <f ca="1"/>
        <v>0.50842681312999949</v>
      </c>
    </row>
    <row r="1770" spans="3:7">
      <c r="C1770">
        <f ca="1"/>
        <v>-0.68731881403307549</v>
      </c>
      <c r="D1770">
        <f ca="1"/>
        <v>-0.91897429266212738</v>
      </c>
      <c r="E1770">
        <f ca="1"/>
        <v>-0.35787353183225895</v>
      </c>
      <c r="G1770">
        <f ca="1"/>
        <v>1.4449943674837855</v>
      </c>
    </row>
    <row r="1771" spans="3:7">
      <c r="C1771">
        <f ca="1"/>
        <v>-1.1702410581379967</v>
      </c>
      <c r="D1771">
        <f ca="1"/>
        <v>-0.87278098860129327</v>
      </c>
      <c r="E1771">
        <f ca="1"/>
        <v>-0.88838643018377406</v>
      </c>
      <c r="G1771">
        <f ca="1"/>
        <v>2.9204412375504587</v>
      </c>
    </row>
    <row r="1772" spans="3:7">
      <c r="C1772">
        <f ca="1"/>
        <v>0.83012773628109382</v>
      </c>
      <c r="D1772">
        <f ca="1"/>
        <v>-9.8293286335248767E-2</v>
      </c>
      <c r="E1772">
        <f ca="1"/>
        <v>2.3443642467338801</v>
      </c>
      <c r="G1772">
        <f ca="1"/>
        <v>6.1948173500458692</v>
      </c>
    </row>
    <row r="1773" spans="3:7">
      <c r="C1773">
        <f ca="1"/>
        <v>-0.14051665584301012</v>
      </c>
      <c r="D1773">
        <f ca="1"/>
        <v>0.13024445395703257</v>
      </c>
      <c r="E1773">
        <f ca="1"/>
        <v>-0.33783005641629799</v>
      </c>
      <c r="G1773">
        <f ca="1"/>
        <v>0.1508376953741076</v>
      </c>
    </row>
    <row r="1774" spans="3:7">
      <c r="C1774">
        <f ca="1"/>
        <v>-2.0312555910863175</v>
      </c>
      <c r="D1774">
        <f ca="1"/>
        <v>-0.86453721549765716</v>
      </c>
      <c r="E1774">
        <f ca="1"/>
        <v>1.2612542101044788</v>
      </c>
      <c r="G1774">
        <f ca="1"/>
        <v>6.4641860558061408</v>
      </c>
    </row>
    <row r="1775" spans="3:7">
      <c r="C1775">
        <f ca="1"/>
        <v>0.1620274935398496</v>
      </c>
      <c r="D1775">
        <f ca="1"/>
        <v>1.9376547004073175</v>
      </c>
      <c r="E1775">
        <f ca="1"/>
        <v>-0.97189219338280264</v>
      </c>
      <c r="G1775">
        <f ca="1"/>
        <v>4.7253330822318125</v>
      </c>
    </row>
    <row r="1776" spans="3:7">
      <c r="C1776">
        <f ca="1"/>
        <v>-0.47344481875378347</v>
      </c>
      <c r="D1776">
        <f ca="1"/>
        <v>2.1966781005392049</v>
      </c>
      <c r="E1776">
        <f ca="1"/>
        <v>-1.9634936496065429</v>
      </c>
      <c r="G1776">
        <f ca="1"/>
        <v>8.9048519858385546</v>
      </c>
    </row>
    <row r="1777" spans="3:7">
      <c r="C1777">
        <f ca="1"/>
        <v>1.3251497082244943</v>
      </c>
      <c r="D1777">
        <f ca="1"/>
        <v>0.10063501953389359</v>
      </c>
      <c r="E1777">
        <f ca="1"/>
        <v>0.27069098191006202</v>
      </c>
      <c r="G1777">
        <f ca="1"/>
        <v>1.8394227640514831</v>
      </c>
    </row>
    <row r="1778" spans="3:7">
      <c r="C1778">
        <f ca="1"/>
        <v>-1.8134837819517768</v>
      </c>
      <c r="D1778">
        <f ca="1"/>
        <v>-1.8998280781895218</v>
      </c>
      <c r="E1778">
        <f ca="1"/>
        <v>-5.6387112511920211E-2</v>
      </c>
      <c r="G1778">
        <f ca="1"/>
        <v>6.901249660536843</v>
      </c>
    </row>
    <row r="1779" spans="3:7">
      <c r="C1779">
        <f ca="1"/>
        <v>-1.4571004008127055</v>
      </c>
      <c r="D1779">
        <f ca="1"/>
        <v>-0.23113323885742085</v>
      </c>
      <c r="E1779">
        <f ca="1"/>
        <v>1.3708510333876196</v>
      </c>
      <c r="G1779">
        <f ca="1"/>
        <v>4.0557967078931734</v>
      </c>
    </row>
    <row r="1780" spans="3:7">
      <c r="C1780">
        <f ca="1"/>
        <v>0.95008887144335474</v>
      </c>
      <c r="D1780">
        <f ca="1"/>
        <v>0.18088183052214224</v>
      </c>
      <c r="E1780">
        <f ca="1"/>
        <v>-2.6158220982600966</v>
      </c>
      <c r="G1780">
        <f ca="1"/>
        <v>7.7779123499994025</v>
      </c>
    </row>
    <row r="1781" spans="3:7">
      <c r="C1781">
        <f ca="1"/>
        <v>-1.2446714663883354</v>
      </c>
      <c r="D1781">
        <f ca="1"/>
        <v>0.88699320170853779</v>
      </c>
      <c r="E1781">
        <f ca="1"/>
        <v>-0.20775480545460318</v>
      </c>
      <c r="G1781">
        <f ca="1"/>
        <v>2.3791260583079317</v>
      </c>
    </row>
    <row r="1782" spans="3:7">
      <c r="C1782">
        <f ca="1"/>
        <v>1.8946527950471446</v>
      </c>
      <c r="D1782">
        <f ca="1"/>
        <v>0.5049700708433118</v>
      </c>
      <c r="E1782">
        <f ca="1"/>
        <v>-1.4043230360738863</v>
      </c>
      <c r="G1782">
        <f ca="1"/>
        <v>5.8168271758752343</v>
      </c>
    </row>
    <row r="1783" spans="3:7">
      <c r="C1783">
        <f ca="1"/>
        <v>0.1575404401210537</v>
      </c>
      <c r="D1783">
        <f ca="1"/>
        <v>-1.3538721656217088</v>
      </c>
      <c r="E1783">
        <f ca="1"/>
        <v>-1.1789952863855893</v>
      </c>
      <c r="G1783">
        <f ca="1"/>
        <v>3.2478187164381884</v>
      </c>
    </row>
    <row r="1784" spans="3:7">
      <c r="C1784">
        <f ca="1"/>
        <v>1.0958315670707026</v>
      </c>
      <c r="D1784">
        <f ca="1"/>
        <v>-0.22770534750421434</v>
      </c>
      <c r="E1784">
        <f ca="1"/>
        <v>-1.045069519487992</v>
      </c>
      <c r="G1784">
        <f ca="1"/>
        <v>2.344866849233509</v>
      </c>
    </row>
    <row r="1785" spans="3:7">
      <c r="C1785">
        <f ca="1"/>
        <v>0.81592049106318476</v>
      </c>
      <c r="D1785">
        <f ca="1"/>
        <v>-1.3375182005735615</v>
      </c>
      <c r="E1785">
        <f ca="1"/>
        <v>0.45423363771209635</v>
      </c>
      <c r="G1785">
        <f ca="1"/>
        <v>2.6610093822314909</v>
      </c>
    </row>
    <row r="1786" spans="3:7">
      <c r="C1786">
        <f ca="1"/>
        <v>0.4712784118809597</v>
      </c>
      <c r="D1786">
        <f ca="1"/>
        <v>-0.27301462963088696</v>
      </c>
      <c r="E1786">
        <f ca="1"/>
        <v>1.4043405927185921</v>
      </c>
      <c r="G1786">
        <f ca="1"/>
        <v>2.2688128298547365</v>
      </c>
    </row>
    <row r="1787" spans="3:7">
      <c r="C1787">
        <f ca="1"/>
        <v>1.5022325207202438</v>
      </c>
      <c r="D1787">
        <f ca="1"/>
        <v>-0.61858660286197653</v>
      </c>
      <c r="E1787">
        <f ca="1"/>
        <v>0.48787052235541917</v>
      </c>
      <c r="G1787">
        <f ca="1"/>
        <v>2.8773695781331683</v>
      </c>
    </row>
    <row r="1788" spans="3:7">
      <c r="C1788">
        <f ca="1"/>
        <v>7.8175061869048837E-2</v>
      </c>
      <c r="D1788">
        <f ca="1"/>
        <v>-1.8186022048722823</v>
      </c>
      <c r="E1788">
        <f ca="1"/>
        <v>0.38834535691792466</v>
      </c>
      <c r="G1788">
        <f ca="1"/>
        <v>3.4642374361042667</v>
      </c>
    </row>
    <row r="1789" spans="3:7">
      <c r="C1789">
        <f ca="1"/>
        <v>-0.26951111333913469</v>
      </c>
      <c r="D1789">
        <f ca="1"/>
        <v>-2.0499361497621611</v>
      </c>
      <c r="E1789">
        <f ca="1"/>
        <v>0.31368004336834887</v>
      </c>
      <c r="G1789">
        <f ca="1"/>
        <v>4.373269627922582</v>
      </c>
    </row>
    <row r="1790" spans="3:7">
      <c r="C1790">
        <f ca="1"/>
        <v>0.91093928276596414</v>
      </c>
      <c r="D1790">
        <f ca="1"/>
        <v>0.45094087135223504</v>
      </c>
      <c r="E1790">
        <f ca="1"/>
        <v>-0.46092422868404509</v>
      </c>
      <c r="G1790">
        <f ca="1"/>
        <v>1.2456091909300642</v>
      </c>
    </row>
    <row r="1791" spans="3:7">
      <c r="C1791">
        <f ca="1"/>
        <v>0.83569268316822543</v>
      </c>
      <c r="D1791">
        <f ca="1"/>
        <v>-0.54166148772160871</v>
      </c>
      <c r="E1791">
        <f ca="1"/>
        <v>-0.86473750095685298</v>
      </c>
      <c r="G1791">
        <f ca="1"/>
        <v>1.739550373542798</v>
      </c>
    </row>
    <row r="1792" spans="3:7">
      <c r="C1792">
        <f ca="1"/>
        <v>-1.1157572596116088</v>
      </c>
      <c r="D1792">
        <f ca="1"/>
        <v>-1.7791381617052036</v>
      </c>
      <c r="E1792">
        <f ca="1"/>
        <v>-0.18114142044841797</v>
      </c>
      <c r="G1792">
        <f ca="1"/>
        <v>4.4430590750138483</v>
      </c>
    </row>
    <row r="1793" spans="3:7">
      <c r="C1793">
        <f ca="1"/>
        <v>-1.1205740231961303</v>
      </c>
      <c r="D1793">
        <f ca="1"/>
        <v>-0.39924195039387567</v>
      </c>
      <c r="E1793">
        <f ca="1"/>
        <v>0.28297285141484974</v>
      </c>
      <c r="G1793">
        <f ca="1"/>
        <v>1.4951539110541179</v>
      </c>
    </row>
    <row r="1794" spans="3:7">
      <c r="C1794">
        <f ca="1"/>
        <v>-0.71769974918290813</v>
      </c>
      <c r="D1794">
        <f ca="1"/>
        <v>-0.31191928061879076</v>
      </c>
      <c r="E1794">
        <f ca="1"/>
        <v>0.20557315621387925</v>
      </c>
      <c r="G1794">
        <f ca="1"/>
        <v>0.65464689015468913</v>
      </c>
    </row>
    <row r="1795" spans="3:7">
      <c r="C1795">
        <f ca="1"/>
        <v>1.417595321581232</v>
      </c>
      <c r="D1795">
        <f ca="1"/>
        <v>-4.2184436735854987E-2</v>
      </c>
      <c r="E1795">
        <f ca="1"/>
        <v>-0.61752238006010185</v>
      </c>
      <c r="G1795">
        <f ca="1"/>
        <v>2.3926899123468108</v>
      </c>
    </row>
    <row r="1796" spans="3:7">
      <c r="C1796">
        <f ca="1"/>
        <v>2.3125120207280938</v>
      </c>
      <c r="D1796">
        <f ca="1"/>
        <v>-1.3524693137676838</v>
      </c>
      <c r="E1796">
        <f ca="1"/>
        <v>-1.2015552456117129</v>
      </c>
      <c r="G1796">
        <f ca="1"/>
        <v>8.620620098952184</v>
      </c>
    </row>
    <row r="1797" spans="3:7">
      <c r="C1797">
        <f ca="1"/>
        <v>-1.2352820603416379</v>
      </c>
      <c r="D1797">
        <f ca="1"/>
        <v>-0.58585070099461045</v>
      </c>
      <c r="E1797">
        <f ca="1"/>
        <v>-0.36494487115798002</v>
      </c>
      <c r="G1797">
        <f ca="1"/>
        <v>2.0023275714422732</v>
      </c>
    </row>
    <row r="1798" spans="3:7">
      <c r="C1798">
        <f ca="1"/>
        <v>-1.0026748281163764</v>
      </c>
      <c r="D1798">
        <f ca="1"/>
        <v>-0.65997710935972154</v>
      </c>
      <c r="E1798">
        <f ca="1"/>
        <v>0.61288606329180673</v>
      </c>
      <c r="G1798">
        <f ca="1"/>
        <v>1.8165559223943473</v>
      </c>
    </row>
    <row r="1799" spans="3:7">
      <c r="C1799">
        <f ca="1"/>
        <v>-0.31534940301863013</v>
      </c>
      <c r="D1799">
        <f ca="1"/>
        <v>0.82892910834749811</v>
      </c>
      <c r="E1799">
        <f ca="1"/>
        <v>-0.53454136108449535</v>
      </c>
      <c r="G1799">
        <f ca="1"/>
        <v>1.0723031793600497</v>
      </c>
    </row>
    <row r="1800" spans="3:7">
      <c r="C1800">
        <f ca="1"/>
        <v>0.33959620022021836</v>
      </c>
      <c r="D1800">
        <f ca="1"/>
        <v>1.252908969731318</v>
      </c>
      <c r="E1800">
        <f ca="1"/>
        <v>0.48623258435903416</v>
      </c>
      <c r="G1800">
        <f ca="1"/>
        <v>1.9215285917296687</v>
      </c>
    </row>
    <row r="1801" spans="3:7">
      <c r="C1801">
        <f ca="1"/>
        <v>-0.44745781636863724</v>
      </c>
      <c r="D1801">
        <f ca="1"/>
        <v>-0.99895911803221571</v>
      </c>
      <c r="E1801">
        <f ca="1"/>
        <v>-0.10787127740182983</v>
      </c>
      <c r="G1801">
        <f ca="1"/>
        <v>1.2097740294173938</v>
      </c>
    </row>
    <row r="1802" spans="3:7">
      <c r="C1802">
        <f ca="1"/>
        <v>0.22674587074494862</v>
      </c>
      <c r="D1802">
        <f ca="1"/>
        <v>0.87423501099434398</v>
      </c>
      <c r="E1802">
        <f ca="1"/>
        <v>2.0789191647405505</v>
      </c>
      <c r="G1802">
        <f ca="1"/>
        <v>5.137605437873713</v>
      </c>
    </row>
    <row r="1803" spans="3:7">
      <c r="C1803">
        <f ca="1"/>
        <v>0.2772468665877984</v>
      </c>
      <c r="D1803">
        <f ca="1"/>
        <v>1.5090940158820634</v>
      </c>
      <c r="E1803">
        <f ca="1"/>
        <v>1.3343118420676565</v>
      </c>
      <c r="G1803">
        <f ca="1"/>
        <v>4.1346186656857888</v>
      </c>
    </row>
    <row r="1804" spans="3:7">
      <c r="C1804">
        <f ca="1"/>
        <v>-1.4041316865745812</v>
      </c>
      <c r="D1804">
        <f ca="1"/>
        <v>0.36386227711012387</v>
      </c>
      <c r="E1804">
        <f ca="1"/>
        <v>0.18557786274380642</v>
      </c>
      <c r="G1804">
        <f ca="1"/>
        <v>2.1384206930871015</v>
      </c>
    </row>
    <row r="1805" spans="3:7">
      <c r="C1805">
        <f ca="1"/>
        <v>-0.45077464978501208</v>
      </c>
      <c r="D1805">
        <f ca="1"/>
        <v>1.4108796955443579</v>
      </c>
      <c r="E1805">
        <f ca="1"/>
        <v>-1.2633658899317206</v>
      </c>
      <c r="G1805">
        <f ca="1"/>
        <v>3.7898726720311089</v>
      </c>
    </row>
    <row r="1806" spans="3:7">
      <c r="C1806">
        <f ca="1"/>
        <v>0.31959845217014399</v>
      </c>
      <c r="D1806">
        <f ca="1"/>
        <v>2.3764516633553896</v>
      </c>
      <c r="E1806">
        <f ca="1"/>
        <v>-0.84921016578477004</v>
      </c>
      <c r="G1806">
        <f ca="1"/>
        <v>6.4708235845663467</v>
      </c>
    </row>
    <row r="1807" spans="3:7">
      <c r="C1807">
        <f ca="1"/>
        <v>-0.21464583995329517</v>
      </c>
      <c r="D1807">
        <f ca="1"/>
        <v>-0.16099842739732464</v>
      </c>
      <c r="E1807">
        <f ca="1"/>
        <v>0.50931390550043287</v>
      </c>
      <c r="G1807">
        <f ca="1"/>
        <v>0.33139398456977109</v>
      </c>
    </row>
    <row r="1808" spans="3:7">
      <c r="C1808">
        <f ca="1"/>
        <v>0.43957088091454283</v>
      </c>
      <c r="D1808">
        <f ca="1"/>
        <v>-1.3619857965249846</v>
      </c>
      <c r="E1808">
        <f ca="1"/>
        <v>-0.52171393199876015</v>
      </c>
      <c r="G1808">
        <f ca="1"/>
        <v>2.3204132961253907</v>
      </c>
    </row>
    <row r="1809" spans="3:7">
      <c r="C1809">
        <f ca="1"/>
        <v>1.0718766594343263</v>
      </c>
      <c r="D1809">
        <f ca="1"/>
        <v>2.5471420128770579E-2</v>
      </c>
      <c r="E1809">
        <f ca="1"/>
        <v>-0.74101966706847622</v>
      </c>
      <c r="G1809">
        <f ca="1"/>
        <v>1.6986785132657425</v>
      </c>
    </row>
    <row r="1810" spans="3:7">
      <c r="C1810">
        <f ca="1"/>
        <v>-0.62747355615294831</v>
      </c>
      <c r="D1810">
        <f ca="1"/>
        <v>-0.14985532340086929</v>
      </c>
      <c r="E1810">
        <f ca="1"/>
        <v>-0.68963682751430577</v>
      </c>
      <c r="G1810">
        <f ca="1"/>
        <v>0.89177863548680258</v>
      </c>
    </row>
    <row r="1811" spans="3:7">
      <c r="C1811">
        <f ca="1"/>
        <v>0.34857273207882372</v>
      </c>
      <c r="D1811">
        <f ca="1"/>
        <v>0.89958384784413303</v>
      </c>
      <c r="E1811">
        <f ca="1"/>
        <v>0.19347941827983448</v>
      </c>
      <c r="G1811">
        <f ca="1"/>
        <v>0.96818833414885486</v>
      </c>
    </row>
    <row r="1812" spans="3:7">
      <c r="C1812">
        <f ca="1"/>
        <v>0.19136150499138646</v>
      </c>
      <c r="D1812">
        <f ca="1"/>
        <v>0.59930230708983567</v>
      </c>
      <c r="E1812">
        <f ca="1"/>
        <v>-0.2171413037121806</v>
      </c>
      <c r="G1812">
        <f ca="1"/>
        <v>0.44293282665359357</v>
      </c>
    </row>
    <row r="1813" spans="3:7">
      <c r="C1813">
        <f ca="1"/>
        <v>0.19985594935121886</v>
      </c>
      <c r="D1813">
        <f ca="1"/>
        <v>0.61158555422729211</v>
      </c>
      <c r="E1813">
        <f ca="1"/>
        <v>-1.122262897851902</v>
      </c>
      <c r="G1813">
        <f ca="1"/>
        <v>1.6734533025255298</v>
      </c>
    </row>
    <row r="1814" spans="3:7">
      <c r="C1814">
        <f ca="1"/>
        <v>-1.6873435700652861</v>
      </c>
      <c r="D1814">
        <f ca="1"/>
        <v>0.41821207368106783</v>
      </c>
      <c r="E1814">
        <f ca="1"/>
        <v>0.39626347756744273</v>
      </c>
      <c r="G1814">
        <f ca="1"/>
        <v>3.1790544056671273</v>
      </c>
    </row>
    <row r="1815" spans="3:7">
      <c r="C1815">
        <f ca="1"/>
        <v>1.1774342326750724</v>
      </c>
      <c r="D1815">
        <f ca="1"/>
        <v>-1.769790940842946</v>
      </c>
      <c r="E1815">
        <f ca="1"/>
        <v>0.792297899906796</v>
      </c>
      <c r="G1815">
        <f ca="1"/>
        <v>5.1462473087616152</v>
      </c>
    </row>
    <row r="1816" spans="3:7">
      <c r="C1816">
        <f ca="1"/>
        <v>0.34097334966244108</v>
      </c>
      <c r="D1816">
        <f ca="1"/>
        <v>1.451167978705223</v>
      </c>
      <c r="E1816">
        <f ca="1"/>
        <v>-0.37290057836869617</v>
      </c>
      <c r="G1816">
        <f ca="1"/>
        <v>2.361206168947136</v>
      </c>
    </row>
    <row r="1817" spans="3:7">
      <c r="C1817">
        <f ca="1"/>
        <v>-1.7758194404997105</v>
      </c>
      <c r="D1817">
        <f ca="1"/>
        <v>1.5342705351889789</v>
      </c>
      <c r="E1817">
        <f ca="1"/>
        <v>-0.22582605773464304</v>
      </c>
      <c r="G1817">
        <f ca="1"/>
        <v>5.5585181687577512</v>
      </c>
    </row>
    <row r="1818" spans="3:7">
      <c r="C1818">
        <f ca="1"/>
        <v>0.62007344923188135</v>
      </c>
      <c r="D1818">
        <f ca="1"/>
        <v>-1.94894273566325</v>
      </c>
      <c r="E1818">
        <f ca="1"/>
        <v>0.28750806576849147</v>
      </c>
      <c r="G1818">
        <f ca="1"/>
        <v>4.2655297572188147</v>
      </c>
    </row>
    <row r="1819" spans="3:7">
      <c r="C1819">
        <f ca="1"/>
        <v>1.6218535981566151</v>
      </c>
      <c r="D1819">
        <f ca="1"/>
        <v>-1.259692319752246</v>
      </c>
      <c r="E1819">
        <f ca="1"/>
        <v>4.3115715341458145E-2</v>
      </c>
      <c r="G1819">
        <f ca="1"/>
        <v>4.2190927992057601</v>
      </c>
    </row>
    <row r="1820" spans="3:7">
      <c r="C1820">
        <f ca="1"/>
        <v>-0.20548443697462884</v>
      </c>
      <c r="D1820">
        <f ca="1"/>
        <v>1.7227767033242116</v>
      </c>
      <c r="E1820">
        <f ca="1"/>
        <v>0.9308133493280738</v>
      </c>
      <c r="G1820">
        <f ca="1"/>
        <v>3.8765969146427657</v>
      </c>
    </row>
    <row r="1821" spans="3:7">
      <c r="C1821">
        <f ca="1"/>
        <v>-1.1108903223843809</v>
      </c>
      <c r="D1821">
        <f ca="1"/>
        <v>-1.3042555480672502</v>
      </c>
      <c r="E1821">
        <f ca="1"/>
        <v>0.55978681135403074</v>
      </c>
      <c r="G1821">
        <f ca="1"/>
        <v>3.2485211171973902</v>
      </c>
    </row>
    <row r="1822" spans="3:7">
      <c r="C1822">
        <f ca="1"/>
        <v>-0.88283655834745578</v>
      </c>
      <c r="D1822">
        <f ca="1"/>
        <v>1.6907756793268347</v>
      </c>
      <c r="E1822">
        <f ca="1"/>
        <v>0.44417405345047728</v>
      </c>
      <c r="G1822">
        <f ca="1"/>
        <v>3.8354133763165277</v>
      </c>
    </row>
    <row r="1823" spans="3:7">
      <c r="C1823">
        <f ca="1"/>
        <v>-0.60504418593052189</v>
      </c>
      <c r="D1823">
        <f ca="1"/>
        <v>0.34614417170027284</v>
      </c>
      <c r="E1823">
        <f ca="1"/>
        <v>-0.38724540451882866</v>
      </c>
      <c r="G1823">
        <f ca="1"/>
        <v>0.63585325785134716</v>
      </c>
    </row>
    <row r="1824" spans="3:7">
      <c r="C1824">
        <f ca="1"/>
        <v>-0.28187422377234633</v>
      </c>
      <c r="D1824">
        <f ca="1"/>
        <v>0.30869430257558522</v>
      </c>
      <c r="E1824">
        <f ca="1"/>
        <v>-0.30217892448825068</v>
      </c>
      <c r="G1824">
        <f ca="1"/>
        <v>0.26605735287476562</v>
      </c>
    </row>
    <row r="1825" spans="3:7">
      <c r="C1825">
        <f ca="1"/>
        <v>0.13631967264697803</v>
      </c>
      <c r="D1825">
        <f ca="1"/>
        <v>0.84841548572249559</v>
      </c>
      <c r="E1825">
        <f ca="1"/>
        <v>1.7692950482858352</v>
      </c>
      <c r="G1825">
        <f ca="1"/>
        <v>3.8687968574530931</v>
      </c>
    </row>
    <row r="1826" spans="3:7">
      <c r="C1826">
        <f ca="1"/>
        <v>0.52514141828985739</v>
      </c>
      <c r="D1826">
        <f ca="1"/>
        <v>8.161581379150748E-2</v>
      </c>
      <c r="E1826">
        <f ca="1"/>
        <v>-0.2738457266705655</v>
      </c>
      <c r="G1826">
        <f ca="1"/>
        <v>0.35742613228006309</v>
      </c>
    </row>
    <row r="1827" spans="3:7">
      <c r="C1827">
        <f ca="1"/>
        <v>-0.40085968201170491</v>
      </c>
      <c r="D1827">
        <f ca="1"/>
        <v>0.11962710099165512</v>
      </c>
      <c r="E1827">
        <f ca="1"/>
        <v>0.17061886317131011</v>
      </c>
      <c r="G1827">
        <f ca="1"/>
        <v>0.20410992442406306</v>
      </c>
    </row>
    <row r="1828" spans="3:7">
      <c r="C1828">
        <f ca="1"/>
        <v>-0.74658212218929698</v>
      </c>
      <c r="D1828">
        <f ca="1"/>
        <v>-0.31629728687072639</v>
      </c>
      <c r="E1828">
        <f ca="1"/>
        <v>2.2597574234266773</v>
      </c>
      <c r="G1828">
        <f ca="1"/>
        <v>5.7639324515864327</v>
      </c>
    </row>
    <row r="1829" spans="3:7">
      <c r="C1829">
        <f ca="1"/>
        <v>-0.17831515259042438</v>
      </c>
      <c r="D1829">
        <f ca="1"/>
        <v>2.8426598510802128</v>
      </c>
      <c r="E1829">
        <f ca="1"/>
        <v>3.415569369555715</v>
      </c>
      <c r="G1829">
        <f ca="1"/>
        <v>19.778625440833949</v>
      </c>
    </row>
    <row r="1830" spans="3:7">
      <c r="C1830">
        <f ca="1"/>
        <v>-0.55409999687408917</v>
      </c>
      <c r="D1830">
        <f ca="1"/>
        <v>-1.7171715994938295</v>
      </c>
      <c r="E1830">
        <f ca="1"/>
        <v>2.7922728058543287</v>
      </c>
      <c r="G1830">
        <f ca="1"/>
        <v>11.052492530957668</v>
      </c>
    </row>
    <row r="1831" spans="3:7">
      <c r="C1831">
        <f ca="1"/>
        <v>-1.0500590979625555</v>
      </c>
      <c r="D1831">
        <f ca="1"/>
        <v>0.64763021396043152</v>
      </c>
      <c r="E1831">
        <f ca="1"/>
        <v>-2.4028947762961339</v>
      </c>
      <c r="G1831">
        <f ca="1"/>
        <v>7.2959523091996168</v>
      </c>
    </row>
    <row r="1832" spans="3:7">
      <c r="C1832">
        <f ca="1"/>
        <v>1.4953009358558835</v>
      </c>
      <c r="D1832">
        <f ca="1"/>
        <v>9.0641334621673716E-2</v>
      </c>
      <c r="E1832">
        <f ca="1"/>
        <v>-0.67370300683691509</v>
      </c>
      <c r="G1832">
        <f ca="1"/>
        <v>2.6980164817345798</v>
      </c>
    </row>
    <row r="1833" spans="3:7">
      <c r="C1833">
        <f ca="1"/>
        <v>-1.2873556276891949</v>
      </c>
      <c r="D1833">
        <f ca="1"/>
        <v>-4.6170119713674629E-2</v>
      </c>
      <c r="E1833">
        <f ca="1"/>
        <v>-1.6482894790272242</v>
      </c>
      <c r="G1833">
        <f ca="1"/>
        <v>4.3762743987692545</v>
      </c>
    </row>
    <row r="1834" spans="3:7">
      <c r="C1834">
        <f ca="1"/>
        <v>-0.83632269493169464</v>
      </c>
      <c r="D1834">
        <f ca="1"/>
        <v>-0.50252635363409115</v>
      </c>
      <c r="E1834">
        <f ca="1"/>
        <v>0.19964579364380619</v>
      </c>
      <c r="G1834">
        <f ca="1"/>
        <v>0.99182682907425324</v>
      </c>
    </row>
    <row r="1835" spans="3:7">
      <c r="C1835">
        <f ca="1"/>
        <v>-1.3371792203520929</v>
      </c>
      <c r="D1835">
        <f ca="1"/>
        <v>0.62378383039528307</v>
      </c>
      <c r="E1835">
        <f ca="1"/>
        <v>-1.0258968017976378</v>
      </c>
      <c r="G1835">
        <f ca="1"/>
        <v>3.2296187823426639</v>
      </c>
    </row>
    <row r="1836" spans="3:7">
      <c r="C1836">
        <f ca="1"/>
        <v>-0.79235404113103858</v>
      </c>
      <c r="D1836">
        <f ca="1"/>
        <v>-0.81844793310062203</v>
      </c>
      <c r="E1836">
        <f ca="1"/>
        <v>-0.28954910087739788</v>
      </c>
      <c r="G1836">
        <f ca="1"/>
        <v>1.3815206275122776</v>
      </c>
    </row>
    <row r="1837" spans="3:7">
      <c r="C1837">
        <f ca="1"/>
        <v>0.407030219096155</v>
      </c>
      <c r="D1837">
        <f ca="1"/>
        <v>1.0687529785013097</v>
      </c>
      <c r="E1837">
        <f ca="1"/>
        <v>-0.28609996821494338</v>
      </c>
      <c r="G1837">
        <f ca="1"/>
        <v>1.3897597201254765</v>
      </c>
    </row>
    <row r="1838" spans="3:7">
      <c r="C1838">
        <f ca="1"/>
        <v>1.121113261088569</v>
      </c>
      <c r="D1838">
        <f ca="1"/>
        <v>0.60575325783660539</v>
      </c>
      <c r="E1838">
        <f ca="1"/>
        <v>0.27142611912542425</v>
      </c>
      <c r="G1838">
        <f ca="1"/>
        <v>1.6975040917117958</v>
      </c>
    </row>
    <row r="1839" spans="3:7">
      <c r="C1839">
        <f ca="1"/>
        <v>0.50470990394926629</v>
      </c>
      <c r="D1839">
        <f ca="1"/>
        <v>0.73348940558202347</v>
      </c>
      <c r="E1839">
        <f ca="1"/>
        <v>-0.31538157363324887</v>
      </c>
      <c r="G1839">
        <f ca="1"/>
        <v>0.89220433223293205</v>
      </c>
    </row>
    <row r="1840" spans="3:7">
      <c r="C1840">
        <f ca="1"/>
        <v>-8.9677022300506851E-2</v>
      </c>
      <c r="D1840">
        <f ca="1"/>
        <v>-1.2191042058211217</v>
      </c>
      <c r="E1840">
        <f ca="1"/>
        <v>0.48160752409620977</v>
      </c>
      <c r="G1840">
        <f ca="1"/>
        <v>1.7262028402455147</v>
      </c>
    </row>
    <row r="1841" spans="3:7">
      <c r="C1841">
        <f ca="1"/>
        <v>0.68651032303812487</v>
      </c>
      <c r="D1841">
        <f ca="1"/>
        <v>0.54238620758811518</v>
      </c>
      <c r="E1841">
        <f ca="1"/>
        <v>0.55084553928146018</v>
      </c>
      <c r="G1841">
        <f ca="1"/>
        <v>1.0689100299660113</v>
      </c>
    </row>
    <row r="1842" spans="3:7">
      <c r="C1842">
        <f ca="1"/>
        <v>-1.6383498515755677</v>
      </c>
      <c r="D1842">
        <f ca="1"/>
        <v>-0.25230079779385439</v>
      </c>
      <c r="E1842">
        <f ca="1"/>
        <v>-0.83844090895486822</v>
      </c>
      <c r="G1842">
        <f ca="1"/>
        <v>3.4508290865341653</v>
      </c>
    </row>
    <row r="1843" spans="3:7">
      <c r="C1843">
        <f ca="1"/>
        <v>-2.9645453870846966E-2</v>
      </c>
      <c r="D1843">
        <f ca="1"/>
        <v>0.84913689538826487</v>
      </c>
      <c r="E1843">
        <f ca="1"/>
        <v>1.2703365563920581</v>
      </c>
      <c r="G1843">
        <f ca="1"/>
        <v>2.3356672865508621</v>
      </c>
    </row>
    <row r="1844" spans="3:7">
      <c r="C1844">
        <f ca="1"/>
        <v>2.343287760380723</v>
      </c>
      <c r="D1844">
        <f ca="1"/>
        <v>0.9395132300781639</v>
      </c>
      <c r="E1844">
        <f ca="1"/>
        <v>0.91716524253067266</v>
      </c>
      <c r="G1844">
        <f ca="1"/>
        <v>7.2148747195483569</v>
      </c>
    </row>
    <row r="1845" spans="3:7">
      <c r="C1845">
        <f ca="1"/>
        <v>-0.81726111303396654</v>
      </c>
      <c r="D1845">
        <f ca="1"/>
        <v>1.7117808817742335</v>
      </c>
      <c r="E1845">
        <f ca="1"/>
        <v>-0.85166596984909115</v>
      </c>
      <c r="G1845">
        <f ca="1"/>
        <v>4.3234444382842838</v>
      </c>
    </row>
    <row r="1846" spans="3:7">
      <c r="C1846">
        <f ca="1"/>
        <v>0.9087300724524594</v>
      </c>
      <c r="D1846">
        <f ca="1"/>
        <v>0.46779465503896261</v>
      </c>
      <c r="E1846">
        <f ca="1"/>
        <v>-0.51963162878850866</v>
      </c>
      <c r="G1846">
        <f ca="1"/>
        <v>1.3146392134998726</v>
      </c>
    </row>
    <row r="1847" spans="3:7">
      <c r="C1847">
        <f ca="1"/>
        <v>0.10201769451325091</v>
      </c>
      <c r="D1847">
        <f ca="1"/>
        <v>-0.8248414898730364</v>
      </c>
      <c r="E1847">
        <f ca="1"/>
        <v>-0.37030376456836217</v>
      </c>
      <c r="G1847">
        <f ca="1"/>
        <v>0.82789597146327032</v>
      </c>
    </row>
    <row r="1848" spans="3:7">
      <c r="C1848">
        <f ca="1"/>
        <v>-0.53384116529477554</v>
      </c>
      <c r="D1848">
        <f ca="1"/>
        <v>1.864352177898599</v>
      </c>
      <c r="E1848">
        <f ca="1"/>
        <v>2.023496515172905</v>
      </c>
      <c r="G1848">
        <f ca="1"/>
        <v>7.8553335799154231</v>
      </c>
    </row>
    <row r="1849" spans="3:7">
      <c r="C1849">
        <f ca="1"/>
        <v>-1.9973199284256806</v>
      </c>
      <c r="D1849">
        <f ca="1"/>
        <v>-1.8869765888423291</v>
      </c>
      <c r="E1849">
        <f ca="1"/>
        <v>-1.8212918894026084</v>
      </c>
      <c r="G1849">
        <f ca="1"/>
        <v>10.867071689729121</v>
      </c>
    </row>
    <row r="1850" spans="3:7">
      <c r="C1850">
        <f ca="1"/>
        <v>1.694514165508364</v>
      </c>
      <c r="D1850">
        <f ca="1"/>
        <v>1.4790248153596885</v>
      </c>
      <c r="E1850">
        <f ca="1"/>
        <v>-0.73032780666137198</v>
      </c>
      <c r="G1850">
        <f ca="1"/>
        <v>5.5922713667410786</v>
      </c>
    </row>
    <row r="1851" spans="3:7">
      <c r="C1851">
        <f ca="1"/>
        <v>-1.4516816623041111</v>
      </c>
      <c r="D1851">
        <f ca="1"/>
        <v>-0.18867871483009707</v>
      </c>
      <c r="E1851">
        <f ca="1"/>
        <v>-0.36134704710469945</v>
      </c>
      <c r="G1851">
        <f ca="1"/>
        <v>2.2735509945512504</v>
      </c>
    </row>
    <row r="1852" spans="3:7">
      <c r="C1852">
        <f ca="1"/>
        <v>0.9204562753583303</v>
      </c>
      <c r="D1852">
        <f ca="1"/>
        <v>0.31095943479360916</v>
      </c>
      <c r="E1852">
        <f ca="1"/>
        <v>0.691782467768844</v>
      </c>
      <c r="G1852">
        <f ca="1"/>
        <v>1.422498507646043</v>
      </c>
    </row>
    <row r="1853" spans="3:7">
      <c r="C1853">
        <f ca="1"/>
        <v>-1.1022642860359577</v>
      </c>
      <c r="D1853">
        <f ca="1"/>
        <v>-0.92082142622086216</v>
      </c>
      <c r="E1853">
        <f ca="1"/>
        <v>1.2278955504829043</v>
      </c>
      <c r="G1853">
        <f ca="1"/>
        <v>3.5706261381534969</v>
      </c>
    </row>
    <row r="1854" spans="3:7">
      <c r="C1854">
        <f ca="1"/>
        <v>-0.78838135896151351</v>
      </c>
      <c r="D1854">
        <f ca="1"/>
        <v>1.7570276777518696</v>
      </c>
      <c r="E1854">
        <f ca="1"/>
        <v>-0.30080598764263156</v>
      </c>
      <c r="G1854">
        <f ca="1"/>
        <v>3.7991756697457899</v>
      </c>
    </row>
    <row r="1855" spans="3:7">
      <c r="C1855">
        <f ca="1"/>
        <v>-0.31110453345704575</v>
      </c>
      <c r="D1855">
        <f ca="1"/>
        <v>5.0069699506169366E-2</v>
      </c>
      <c r="E1855">
        <f ca="1"/>
        <v>-1.0572931222552878E-2</v>
      </c>
      <c r="G1855">
        <f ca="1"/>
        <v>9.9404792420801039E-2</v>
      </c>
    </row>
    <row r="1856" spans="3:7">
      <c r="C1856">
        <f ca="1"/>
        <v>3.0711996049294257</v>
      </c>
      <c r="D1856">
        <f ca="1"/>
        <v>-0.52074207735687383</v>
      </c>
      <c r="E1856">
        <f ca="1"/>
        <v>0.36679371257343452</v>
      </c>
      <c r="G1856">
        <f ca="1"/>
        <v>9.8379769520320153</v>
      </c>
    </row>
    <row r="1857" spans="3:7">
      <c r="C1857">
        <f ca="1"/>
        <v>0.60838338018862759</v>
      </c>
      <c r="D1857">
        <f ca="1"/>
        <v>2.1346375910707938</v>
      </c>
      <c r="E1857">
        <f ca="1"/>
        <v>-1.2599809596325253</v>
      </c>
      <c r="G1857">
        <f ca="1"/>
        <v>6.5143600011387601</v>
      </c>
    </row>
    <row r="1858" spans="3:7">
      <c r="C1858">
        <f ca="1"/>
        <v>-1.2778348847112346</v>
      </c>
      <c r="D1858">
        <f ca="1"/>
        <v>0.20253976943238763</v>
      </c>
      <c r="E1858">
        <f ca="1"/>
        <v>1.0519593565480234</v>
      </c>
      <c r="G1858">
        <f ca="1"/>
        <v>2.7805028386156305</v>
      </c>
    </row>
    <row r="1859" spans="3:7">
      <c r="C1859">
        <f ca="1"/>
        <v>0.23200702062620052</v>
      </c>
      <c r="D1859">
        <f ca="1"/>
        <v>-0.25714248155397607</v>
      </c>
      <c r="E1859">
        <f ca="1"/>
        <v>-4.4150432143568227E-3</v>
      </c>
      <c r="G1859">
        <f ca="1"/>
        <v>0.11996900604616779</v>
      </c>
    </row>
    <row r="1860" spans="3:7">
      <c r="C1860">
        <f ca="1"/>
        <v>0.76145300386011949</v>
      </c>
      <c r="D1860">
        <f ca="1"/>
        <v>-1.2657364349868001</v>
      </c>
      <c r="E1860">
        <f ca="1"/>
        <v>0.74225533120747911</v>
      </c>
      <c r="G1860">
        <f ca="1"/>
        <v>2.7328423766466177</v>
      </c>
    </row>
    <row r="1861" spans="3:7">
      <c r="C1861">
        <f ca="1"/>
        <v>-1.0764199948966329</v>
      </c>
      <c r="D1861">
        <f ca="1"/>
        <v>-2.6216520799701963</v>
      </c>
      <c r="E1861">
        <f ca="1"/>
        <v>0.53739459908967468</v>
      </c>
      <c r="G1861">
        <f ca="1"/>
        <v>8.3205325889560768</v>
      </c>
    </row>
    <row r="1862" spans="3:7">
      <c r="C1862">
        <f ca="1"/>
        <v>0.24652176569430473</v>
      </c>
      <c r="D1862">
        <f ca="1"/>
        <v>-0.28474089191527502</v>
      </c>
      <c r="E1862">
        <f ca="1"/>
        <v>1.8070327200723475</v>
      </c>
      <c r="G1862">
        <f ca="1"/>
        <v>3.4072176079018113</v>
      </c>
    </row>
    <row r="1863" spans="3:7">
      <c r="C1863">
        <f ca="1"/>
        <v>-0.75425799525208914</v>
      </c>
      <c r="D1863">
        <f ca="1"/>
        <v>-0.15984659657992509</v>
      </c>
      <c r="E1863">
        <f ca="1"/>
        <v>-6.1485786280383981E-2</v>
      </c>
      <c r="G1863">
        <f ca="1"/>
        <v>0.59823655975440293</v>
      </c>
    </row>
    <row r="1864" spans="3:7">
      <c r="C1864">
        <f ca="1"/>
        <v>-0.76195390643841665</v>
      </c>
      <c r="D1864">
        <f ca="1"/>
        <v>0.61109575833540086</v>
      </c>
      <c r="E1864">
        <f ca="1"/>
        <v>-0.43267176980631178</v>
      </c>
      <c r="G1864">
        <f ca="1"/>
        <v>1.1412166417796081</v>
      </c>
    </row>
    <row r="1865" spans="3:7">
      <c r="C1865">
        <f ca="1"/>
        <v>5.1907968468923343E-2</v>
      </c>
      <c r="D1865">
        <f ca="1"/>
        <v>-3.1410987554835805</v>
      </c>
      <c r="E1865">
        <f ca="1"/>
        <v>0.69489852237635152</v>
      </c>
      <c r="G1865">
        <f ca="1"/>
        <v>10.352079785291906</v>
      </c>
    </row>
    <row r="1866" spans="3:7">
      <c r="C1866">
        <f ca="1"/>
        <v>0.83261592543585017</v>
      </c>
      <c r="D1866">
        <f ca="1"/>
        <v>0.20267472926585087</v>
      </c>
      <c r="E1866">
        <f ca="1"/>
        <v>-0.81321211230109314</v>
      </c>
      <c r="G1866">
        <f ca="1"/>
        <v>1.3956402647655888</v>
      </c>
    </row>
    <row r="1867" spans="3:7">
      <c r="C1867">
        <f ca="1"/>
        <v>0.72596922614709247</v>
      </c>
      <c r="D1867">
        <f ca="1"/>
        <v>1.0046238611915395</v>
      </c>
      <c r="E1867">
        <f ca="1"/>
        <v>-0.66622395149015401</v>
      </c>
      <c r="G1867">
        <f ca="1"/>
        <v>1.9801547733271609</v>
      </c>
    </row>
    <row r="1868" spans="3:7">
      <c r="C1868">
        <f ca="1"/>
        <v>-1.0826244764539092</v>
      </c>
      <c r="D1868">
        <f ca="1"/>
        <v>0.89754835533838673</v>
      </c>
      <c r="E1868">
        <f ca="1"/>
        <v>-0.30398124651619957</v>
      </c>
      <c r="G1868">
        <f ca="1"/>
        <v>2.0700734054212866</v>
      </c>
    </row>
    <row r="1869" spans="3:7">
      <c r="C1869">
        <f ca="1"/>
        <v>-1.1479112291112559</v>
      </c>
      <c r="D1869">
        <f ca="1"/>
        <v>1.5343826980046116</v>
      </c>
      <c r="E1869">
        <f ca="1"/>
        <v>-0.22315389483368578</v>
      </c>
      <c r="G1869">
        <f ca="1"/>
        <v>3.7218281146350689</v>
      </c>
    </row>
    <row r="1870" spans="3:7">
      <c r="C1870">
        <f ca="1"/>
        <v>-2.3964254582792628</v>
      </c>
      <c r="D1870">
        <f ca="1"/>
        <v>0.1420907699902797</v>
      </c>
      <c r="E1870">
        <f ca="1"/>
        <v>-1.1361876300590565</v>
      </c>
      <c r="G1870">
        <f ca="1"/>
        <v>7.0539670947046211</v>
      </c>
    </row>
    <row r="1871" spans="3:7">
      <c r="C1871">
        <f ca="1"/>
        <v>1.2642071615347996</v>
      </c>
      <c r="D1871">
        <f ca="1"/>
        <v>0.51533677619426099</v>
      </c>
      <c r="E1871">
        <f ca="1"/>
        <v>0.30844293964872799</v>
      </c>
      <c r="G1871">
        <f ca="1"/>
        <v>1.9589287871933176</v>
      </c>
    </row>
    <row r="1872" spans="3:7">
      <c r="C1872">
        <f ca="1"/>
        <v>-1.348477860807048</v>
      </c>
      <c r="D1872">
        <f ca="1"/>
        <v>0.56338625568016898</v>
      </c>
      <c r="E1872">
        <f ca="1"/>
        <v>1.4325833698459838</v>
      </c>
      <c r="G1872">
        <f ca="1"/>
        <v>4.1880917257353474</v>
      </c>
    </row>
    <row r="1873" spans="3:7">
      <c r="C1873">
        <f ca="1"/>
        <v>1.46238490657509</v>
      </c>
      <c r="D1873">
        <f ca="1"/>
        <v>-0.89954117554766622</v>
      </c>
      <c r="E1873">
        <f ca="1"/>
        <v>1.1448159516365166</v>
      </c>
      <c r="G1873">
        <f ca="1"/>
        <v>4.2583475046057355</v>
      </c>
    </row>
    <row r="1874" spans="3:7">
      <c r="C1874">
        <f ca="1"/>
        <v>-2.0947801643181543</v>
      </c>
      <c r="D1874">
        <f ca="1"/>
        <v>-1.4315602326084573</v>
      </c>
      <c r="E1874">
        <f ca="1"/>
        <v>0.52702089072575498</v>
      </c>
      <c r="G1874">
        <f ca="1"/>
        <v>6.7152196556681414</v>
      </c>
    </row>
    <row r="1875" spans="3:7">
      <c r="C1875">
        <f ca="1"/>
        <v>-0.58420473986421584</v>
      </c>
      <c r="D1875">
        <f ca="1"/>
        <v>-0.87922808766663207</v>
      </c>
      <c r="E1875">
        <f ca="1"/>
        <v>-2.2546857521747912</v>
      </c>
      <c r="G1875">
        <f ca="1"/>
        <v>6.1979450492817421</v>
      </c>
    </row>
    <row r="1876" spans="3:7">
      <c r="C1876">
        <f ca="1"/>
        <v>-1.65388621128492</v>
      </c>
      <c r="D1876">
        <f ca="1"/>
        <v>1.1518739888475624</v>
      </c>
      <c r="E1876">
        <f ca="1"/>
        <v>-0.4985787582964139</v>
      </c>
      <c r="G1876">
        <f ca="1"/>
        <v>4.3107340642863754</v>
      </c>
    </row>
    <row r="1877" spans="3:7">
      <c r="C1877">
        <f ca="1"/>
        <v>-0.45431137121722676</v>
      </c>
      <c r="D1877">
        <f ca="1"/>
        <v>0.6935351844999379</v>
      </c>
      <c r="E1877">
        <f ca="1"/>
        <v>-0.38759705466395961</v>
      </c>
      <c r="G1877">
        <f ca="1"/>
        <v>0.83762135094081613</v>
      </c>
    </row>
    <row r="1878" spans="3:7">
      <c r="C1878">
        <f ca="1"/>
        <v>1.2288747484323765</v>
      </c>
      <c r="D1878">
        <f ca="1"/>
        <v>-0.38581244283219446</v>
      </c>
      <c r="E1878">
        <f ca="1"/>
        <v>1.5101084462326841</v>
      </c>
      <c r="G1878">
        <f ca="1"/>
        <v>3.9394119077621736</v>
      </c>
    </row>
    <row r="1879" spans="3:7">
      <c r="C1879">
        <f ca="1"/>
        <v>-0.15074619537499037</v>
      </c>
      <c r="D1879">
        <f ca="1"/>
        <v>-1.4002439443284527</v>
      </c>
      <c r="E1879">
        <f ca="1"/>
        <v>0.11727250224835589</v>
      </c>
      <c r="G1879">
        <f ca="1"/>
        <v>1.9971603588321283</v>
      </c>
    </row>
    <row r="1880" spans="3:7">
      <c r="C1880">
        <f ca="1"/>
        <v>-0.23292057827777671</v>
      </c>
      <c r="D1880">
        <f ca="1"/>
        <v>-1.6062352094878298E-3</v>
      </c>
      <c r="E1880">
        <f ca="1"/>
        <v>0.17624201852038784</v>
      </c>
      <c r="G1880">
        <f ca="1"/>
        <v>8.5315824868942847E-2</v>
      </c>
    </row>
    <row r="1881" spans="3:7">
      <c r="C1881">
        <f ca="1"/>
        <v>0.38847898224961575</v>
      </c>
      <c r="D1881">
        <f ca="1"/>
        <v>1.3408136829540547</v>
      </c>
      <c r="E1881">
        <f ca="1"/>
        <v>0.85367329044420071</v>
      </c>
      <c r="G1881">
        <f ca="1"/>
        <v>2.6774553388643421</v>
      </c>
    </row>
    <row r="1882" spans="3:7">
      <c r="C1882">
        <f ca="1"/>
        <v>0.91818261152812797</v>
      </c>
      <c r="D1882">
        <f ca="1"/>
        <v>-0.61576046699842812</v>
      </c>
      <c r="E1882">
        <f ca="1"/>
        <v>-0.73352265518918025</v>
      </c>
      <c r="G1882">
        <f ca="1"/>
        <v>1.7602757465065206</v>
      </c>
    </row>
    <row r="1883" spans="3:7">
      <c r="C1883">
        <f ca="1"/>
        <v>1.3772643772642066</v>
      </c>
      <c r="D1883">
        <f ca="1"/>
        <v>0.27495345553772355</v>
      </c>
      <c r="E1883">
        <f ca="1"/>
        <v>-0.1587970658077146</v>
      </c>
      <c r="G1883">
        <f ca="1"/>
        <v>1.9976730757022372</v>
      </c>
    </row>
    <row r="1884" spans="3:7">
      <c r="C1884">
        <f ca="1"/>
        <v>4.7401787068792056E-2</v>
      </c>
      <c r="D1884">
        <f ca="1"/>
        <v>1.1961298369254374</v>
      </c>
      <c r="E1884">
        <f ca="1"/>
        <v>1.309868981589386</v>
      </c>
      <c r="G1884">
        <f ca="1"/>
        <v>3.1487302651306042</v>
      </c>
    </row>
    <row r="1885" spans="3:7">
      <c r="C1885">
        <f ca="1"/>
        <v>-1.1801439599820334</v>
      </c>
      <c r="D1885">
        <f ca="1"/>
        <v>1.5342606412993764</v>
      </c>
      <c r="E1885">
        <f ca="1"/>
        <v>-0.12141136416742661</v>
      </c>
      <c r="G1885">
        <f ca="1"/>
        <v>3.7614362010714451</v>
      </c>
    </row>
    <row r="1886" spans="3:7">
      <c r="C1886">
        <f ca="1"/>
        <v>1.6605049020867693</v>
      </c>
      <c r="D1886">
        <f ca="1"/>
        <v>8.434571179603069E-2</v>
      </c>
      <c r="E1886">
        <f ca="1"/>
        <v>0.70901685451601559</v>
      </c>
      <c r="G1886">
        <f ca="1"/>
        <v>3.2670956289403552</v>
      </c>
    </row>
    <row r="1887" spans="3:7">
      <c r="C1887">
        <f ca="1"/>
        <v>-0.59858250046420824</v>
      </c>
      <c r="D1887">
        <f ca="1"/>
        <v>0.98725989715432605</v>
      </c>
      <c r="E1887">
        <f ca="1"/>
        <v>0.66290809467471734</v>
      </c>
      <c r="G1887">
        <f ca="1"/>
        <v>1.7724302563764183</v>
      </c>
    </row>
    <row r="1888" spans="3:7">
      <c r="C1888">
        <f ca="1"/>
        <v>-0.82806544682452343</v>
      </c>
      <c r="D1888">
        <f ca="1"/>
        <v>0.41860313448595815</v>
      </c>
      <c r="E1888">
        <f ca="1"/>
        <v>-0.40522337814140108</v>
      </c>
      <c r="G1888">
        <f ca="1"/>
        <v>1.0251269546184958</v>
      </c>
    </row>
    <row r="1889" spans="3:7">
      <c r="C1889">
        <f ca="1"/>
        <v>-1.1826965972621895</v>
      </c>
      <c r="D1889">
        <f ca="1"/>
        <v>-1.3458267372102763</v>
      </c>
      <c r="E1889">
        <f ca="1"/>
        <v>1.0448452761067357</v>
      </c>
      <c r="G1889">
        <f ca="1"/>
        <v>4.3017224987681804</v>
      </c>
    </row>
    <row r="1890" spans="3:7">
      <c r="C1890">
        <f ca="1"/>
        <v>1.0629099053109505</v>
      </c>
      <c r="D1890">
        <f ca="1"/>
        <v>-0.43211133721793588</v>
      </c>
      <c r="E1890">
        <f ca="1"/>
        <v>0.46959588102273087</v>
      </c>
      <c r="G1890">
        <f ca="1"/>
        <v>1.5370179660339212</v>
      </c>
    </row>
    <row r="1891" spans="3:7">
      <c r="C1891">
        <f ca="1"/>
        <v>1.3514308591479305</v>
      </c>
      <c r="D1891">
        <f ca="1"/>
        <v>-0.86106425433719191</v>
      </c>
      <c r="E1891">
        <f ca="1"/>
        <v>-0.97616253395051467</v>
      </c>
      <c r="G1891">
        <f ca="1"/>
        <v>3.5206903098432676</v>
      </c>
    </row>
    <row r="1892" spans="3:7">
      <c r="C1892">
        <f ca="1"/>
        <v>0.11162976235753092</v>
      </c>
      <c r="D1892">
        <f ca="1"/>
        <v>0.30352915424232574</v>
      </c>
      <c r="E1892">
        <f ca="1"/>
        <v>0.98714460058606412</v>
      </c>
      <c r="G1892">
        <f ca="1"/>
        <v>1.0790456137852804</v>
      </c>
    </row>
    <row r="1893" spans="3:7">
      <c r="C1893">
        <f ca="1"/>
        <v>-1.17574916962</v>
      </c>
      <c r="D1893">
        <f ca="1"/>
        <v>1.4581309745145081</v>
      </c>
      <c r="E1893">
        <f ca="1"/>
        <v>-1.5105614799462375</v>
      </c>
      <c r="G1893">
        <f ca="1"/>
        <v>5.790328033398116</v>
      </c>
    </row>
    <row r="1894" spans="3:7">
      <c r="C1894">
        <f ca="1"/>
        <v>-0.24688008662686428</v>
      </c>
      <c r="D1894">
        <f ca="1"/>
        <v>-1.1620065230991843</v>
      </c>
      <c r="E1894">
        <f ca="1"/>
        <v>-1.9190403769554611</v>
      </c>
      <c r="G1894">
        <f ca="1"/>
        <v>5.093924905283302</v>
      </c>
    </row>
    <row r="1895" spans="3:7">
      <c r="C1895">
        <f ca="1"/>
        <v>-2.1175790019323761</v>
      </c>
      <c r="D1895">
        <f ca="1"/>
        <v>0.93727536374499554</v>
      </c>
      <c r="E1895">
        <f ca="1"/>
        <v>-1.3082765144506594</v>
      </c>
      <c r="G1895">
        <f ca="1"/>
        <v>7.0742133751713983</v>
      </c>
    </row>
    <row r="1896" spans="3:7">
      <c r="C1896">
        <f ca="1"/>
        <v>3.4710703206624588E-2</v>
      </c>
      <c r="D1896">
        <f ca="1"/>
        <v>0.11791010782409758</v>
      </c>
      <c r="E1896">
        <f ca="1"/>
        <v>0.34127504421089944</v>
      </c>
      <c r="G1896">
        <f ca="1"/>
        <v>0.13157628224534007</v>
      </c>
    </row>
    <row r="1897" spans="3:7">
      <c r="C1897">
        <f ca="1"/>
        <v>0.47240398994330324</v>
      </c>
      <c r="D1897">
        <f ca="1"/>
        <v>-1.2460819292488146</v>
      </c>
      <c r="E1897">
        <f ca="1"/>
        <v>0.3457222290622009</v>
      </c>
      <c r="G1897">
        <f ca="1"/>
        <v>1.8954095637825372</v>
      </c>
    </row>
    <row r="1898" spans="3:7">
      <c r="C1898">
        <f ca="1"/>
        <v>-0.87667224049145787</v>
      </c>
      <c r="D1898">
        <f ca="1"/>
        <v>-3.0553110427910819</v>
      </c>
      <c r="E1898">
        <f ca="1"/>
        <v>-0.5295106900882065</v>
      </c>
      <c r="G1898">
        <f ca="1"/>
        <v>10.383861356367129</v>
      </c>
    </row>
    <row r="1899" spans="3:7">
      <c r="C1899">
        <f ca="1"/>
        <v>-0.26860704106168909</v>
      </c>
      <c r="D1899">
        <f ca="1"/>
        <v>-0.8656322623328464</v>
      </c>
      <c r="E1899">
        <f ca="1"/>
        <v>-0.85869843861632267</v>
      </c>
      <c r="G1899">
        <f ca="1"/>
        <v>1.5588319645815081</v>
      </c>
    </row>
    <row r="1900" spans="3:7">
      <c r="C1900">
        <f ca="1"/>
        <v>-0.43888513031428572</v>
      </c>
      <c r="D1900">
        <f ca="1"/>
        <v>-0.82150113945550551</v>
      </c>
      <c r="E1900">
        <f ca="1"/>
        <v>0.9566407262718567</v>
      </c>
      <c r="G1900">
        <f ca="1"/>
        <v>1.7826457588996267</v>
      </c>
    </row>
    <row r="1901" spans="3:7">
      <c r="C1901">
        <f ca="1"/>
        <v>1.0271534476771402</v>
      </c>
      <c r="D1901">
        <f ca="1"/>
        <v>-2.3101964201974194</v>
      </c>
      <c r="E1901">
        <f ca="1"/>
        <v>-0.68391468838418878</v>
      </c>
      <c r="G1901">
        <f ca="1"/>
        <v>6.8597910059556497</v>
      </c>
    </row>
    <row r="1902" spans="3:7">
      <c r="C1902">
        <f ca="1"/>
        <v>-0.48554929230276533</v>
      </c>
      <c r="D1902">
        <f ca="1"/>
        <v>-0.28023938769309203</v>
      </c>
      <c r="E1902">
        <f ca="1"/>
        <v>-0.42654925995846305</v>
      </c>
      <c r="G1902">
        <f ca="1"/>
        <v>0.4962365008414279</v>
      </c>
    </row>
    <row r="1903" spans="3:7">
      <c r="C1903">
        <f ca="1"/>
        <v>0.32497913037519488</v>
      </c>
      <c r="D1903">
        <f ca="1"/>
        <v>1.1408570632021489</v>
      </c>
      <c r="E1903">
        <f ca="1"/>
        <v>1.4478935848055263</v>
      </c>
      <c r="G1903">
        <f ca="1"/>
        <v>3.5035621067586478</v>
      </c>
    </row>
    <row r="1904" spans="3:7">
      <c r="C1904">
        <f ca="1"/>
        <v>0.76804739975537806</v>
      </c>
      <c r="D1904">
        <f ca="1"/>
        <v>1.7914210065161924</v>
      </c>
      <c r="E1904">
        <f ca="1"/>
        <v>6.0246592681686556E-2</v>
      </c>
      <c r="G1904">
        <f ca="1"/>
        <v>3.8027156827882385</v>
      </c>
    </row>
    <row r="1905" spans="3:7">
      <c r="C1905">
        <f ca="1"/>
        <v>1.7101597531257107</v>
      </c>
      <c r="D1905">
        <f ca="1"/>
        <v>-0.46834753270738505</v>
      </c>
      <c r="E1905">
        <f ca="1"/>
        <v>0.36622338755656392</v>
      </c>
      <c r="G1905">
        <f ca="1"/>
        <v>3.2781153621974921</v>
      </c>
    </row>
    <row r="1906" spans="3:7">
      <c r="C1906">
        <f ca="1"/>
        <v>-0.27381554524487428</v>
      </c>
      <c r="D1906">
        <f ca="1"/>
        <v>-1.3637565107881928</v>
      </c>
      <c r="E1906">
        <f ca="1"/>
        <v>-0.45763040537349564</v>
      </c>
      <c r="G1906">
        <f ca="1"/>
        <v>2.1442323614572438</v>
      </c>
    </row>
    <row r="1907" spans="3:7">
      <c r="C1907">
        <f ca="1"/>
        <v>-2.1131964225540663</v>
      </c>
      <c r="D1907">
        <f ca="1"/>
        <v>0.43026992210515858</v>
      </c>
      <c r="E1907">
        <f ca="1"/>
        <v>0.12859169260630779</v>
      </c>
      <c r="G1907">
        <f ca="1"/>
        <v>4.6672671495710381</v>
      </c>
    </row>
    <row r="1908" spans="3:7">
      <c r="C1908">
        <f ca="1"/>
        <v>2.7533123661937248E-2</v>
      </c>
      <c r="D1908">
        <f ca="1"/>
        <v>0.65794035165203535</v>
      </c>
      <c r="E1908">
        <f ca="1"/>
        <v>-6.0885913106107109E-2</v>
      </c>
      <c r="G1908">
        <f ca="1"/>
        <v>0.43735067364535191</v>
      </c>
    </row>
    <row r="1909" spans="3:7">
      <c r="C1909">
        <f ca="1"/>
        <v>0.75051051732639928</v>
      </c>
      <c r="D1909">
        <f ca="1"/>
        <v>0.6120739834204536</v>
      </c>
      <c r="E1909">
        <f ca="1"/>
        <v>1.2950868443384427</v>
      </c>
      <c r="G1909">
        <f ca="1"/>
        <v>2.6151505321762269</v>
      </c>
    </row>
    <row r="1910" spans="3:7">
      <c r="C1910">
        <f ca="1"/>
        <v>-0.32307851941752602</v>
      </c>
      <c r="D1910">
        <f ca="1"/>
        <v>0.11279020729147772</v>
      </c>
      <c r="E1910">
        <f ca="1"/>
        <v>-1.0558227721116853</v>
      </c>
      <c r="G1910">
        <f ca="1"/>
        <v>1.2318630866794789</v>
      </c>
    </row>
    <row r="1911" spans="3:7">
      <c r="C1911">
        <f ca="1"/>
        <v>-0.20535030108316615</v>
      </c>
      <c r="D1911">
        <f ca="1"/>
        <v>0.53505352713851728</v>
      </c>
      <c r="E1911">
        <f ca="1"/>
        <v>-1.7525346262655921</v>
      </c>
      <c r="G1911">
        <f ca="1"/>
        <v>3.3998286393181938</v>
      </c>
    </row>
    <row r="1912" spans="3:7">
      <c r="C1912">
        <f ca="1"/>
        <v>1.5988035791532822</v>
      </c>
      <c r="D1912">
        <f ca="1"/>
        <v>1.7657976810937257</v>
      </c>
      <c r="E1912">
        <f ca="1"/>
        <v>-0.86142245725602229</v>
      </c>
      <c r="G1912">
        <f ca="1"/>
        <v>6.4162629851343276</v>
      </c>
    </row>
    <row r="1913" spans="3:7">
      <c r="C1913">
        <f ca="1"/>
        <v>0.32922924972266188</v>
      </c>
      <c r="D1913">
        <f ca="1"/>
        <v>0.1849572407698567</v>
      </c>
      <c r="E1913">
        <f ca="1"/>
        <v>1.8123154753316806</v>
      </c>
      <c r="G1913">
        <f ca="1"/>
        <v>3.4270884619128408</v>
      </c>
    </row>
    <row r="1914" spans="3:7">
      <c r="C1914">
        <f ca="1"/>
        <v>0.498764152720654</v>
      </c>
      <c r="D1914">
        <f ca="1"/>
        <v>0.23490350355542064</v>
      </c>
      <c r="E1914">
        <f ca="1"/>
        <v>0.95989013604293438</v>
      </c>
      <c r="G1914">
        <f ca="1"/>
        <v>1.2253344092942864</v>
      </c>
    </row>
    <row r="1915" spans="3:7">
      <c r="C1915">
        <f ca="1"/>
        <v>1.0763777335083373</v>
      </c>
      <c r="D1915">
        <f ca="1"/>
        <v>-1.0980515780763165</v>
      </c>
      <c r="E1915">
        <f ca="1"/>
        <v>0.25978053556592495</v>
      </c>
      <c r="G1915">
        <f ca="1"/>
        <v>2.4317922199673534</v>
      </c>
    </row>
    <row r="1916" spans="3:7">
      <c r="C1916">
        <f ca="1"/>
        <v>1.2867644642289922</v>
      </c>
      <c r="D1916">
        <f ca="1"/>
        <v>2.322305483492709</v>
      </c>
      <c r="E1916">
        <f ca="1"/>
        <v>-0.69007496871503826</v>
      </c>
      <c r="G1916">
        <f ca="1"/>
        <v>7.5250690075098916</v>
      </c>
    </row>
    <row r="1917" spans="3:7">
      <c r="C1917">
        <f ca="1"/>
        <v>-0.478198730476941</v>
      </c>
      <c r="D1917">
        <f ca="1"/>
        <v>1.8703212723191314</v>
      </c>
      <c r="E1917">
        <f ca="1"/>
        <v>8.5934438269493263E-2</v>
      </c>
      <c r="G1917">
        <f ca="1"/>
        <v>3.7341604151999062</v>
      </c>
    </row>
    <row r="1918" spans="3:7">
      <c r="C1918">
        <f ca="1"/>
        <v>-0.48873934990377771</v>
      </c>
      <c r="D1918">
        <f ca="1"/>
        <v>1.9711995529784769</v>
      </c>
      <c r="E1918">
        <f ca="1"/>
        <v>-0.72662584146103726</v>
      </c>
      <c r="G1918">
        <f ca="1"/>
        <v>4.6524789432858755</v>
      </c>
    </row>
    <row r="1919" spans="3:7">
      <c r="C1919">
        <f ca="1"/>
        <v>0.35111043041671491</v>
      </c>
      <c r="D1919">
        <f ca="1"/>
        <v>-0.28176748876173768</v>
      </c>
      <c r="E1919">
        <f ca="1"/>
        <v>-0.90530165853288713</v>
      </c>
      <c r="G1919">
        <f ca="1"/>
        <v>1.0222425450129029</v>
      </c>
    </row>
    <row r="1920" spans="3:7">
      <c r="C1920">
        <f ca="1"/>
        <v>1.7142577680805986</v>
      </c>
      <c r="D1920">
        <f ca="1"/>
        <v>-0.18525019833025941</v>
      </c>
      <c r="E1920">
        <f ca="1"/>
        <v>-1.4165409717882</v>
      </c>
      <c r="G1920">
        <f ca="1"/>
        <v>4.9795856561607339</v>
      </c>
    </row>
    <row r="1921" spans="3:7">
      <c r="C1921">
        <f ca="1"/>
        <v>0.80400213587591474</v>
      </c>
      <c r="D1921">
        <f ca="1"/>
        <v>2.5383860730749888</v>
      </c>
      <c r="E1921">
        <f ca="1"/>
        <v>-0.1353375764654679</v>
      </c>
      <c r="G1921">
        <f ca="1"/>
        <v>7.1081395500776408</v>
      </c>
    </row>
    <row r="1922" spans="3:7">
      <c r="C1922">
        <f ca="1"/>
        <v>0.74243647873967999</v>
      </c>
      <c r="D1922">
        <f ca="1"/>
        <v>0.71599263554987014</v>
      </c>
      <c r="E1922">
        <f ca="1"/>
        <v>1.0407808409850809</v>
      </c>
      <c r="G1922">
        <f ca="1"/>
        <v>2.1470821380866369</v>
      </c>
    </row>
    <row r="1923" spans="3:7">
      <c r="C1923">
        <f ca="1"/>
        <v>-1.8447036552873273</v>
      </c>
      <c r="D1923">
        <f ca="1"/>
        <v>1.0791788613783362</v>
      </c>
      <c r="E1923">
        <f ca="1"/>
        <v>-0.48425325345972314</v>
      </c>
      <c r="G1923">
        <f ca="1"/>
        <v>4.8020598041625959</v>
      </c>
    </row>
    <row r="1924" spans="3:7">
      <c r="C1924">
        <f ca="1"/>
        <v>-0.26617555571302759</v>
      </c>
      <c r="D1924">
        <f ca="1"/>
        <v>1.1616511373038461</v>
      </c>
      <c r="E1924">
        <f ca="1"/>
        <v>1.3353160030744489</v>
      </c>
      <c r="G1924">
        <f ca="1"/>
        <v>3.2033516193251796</v>
      </c>
    </row>
    <row r="1925" spans="3:7">
      <c r="C1925">
        <f ca="1"/>
        <v>-1.3083585138205076</v>
      </c>
      <c r="D1925">
        <f ca="1"/>
        <v>-1.2900671655671303</v>
      </c>
      <c r="E1925">
        <f ca="1"/>
        <v>-0.55795246809799615</v>
      </c>
      <c r="G1925">
        <f ca="1"/>
        <v>3.6873862490176625</v>
      </c>
    </row>
    <row r="1926" spans="3:7">
      <c r="C1926">
        <f ca="1"/>
        <v>0.2905843687306997</v>
      </c>
      <c r="D1926">
        <f ca="1"/>
        <v>1.1664133951416802</v>
      </c>
      <c r="E1926">
        <f ca="1"/>
        <v>-1.7097648528549896</v>
      </c>
      <c r="G1926">
        <f ca="1"/>
        <v>4.3682553357748048</v>
      </c>
    </row>
    <row r="1927" spans="3:7">
      <c r="C1927">
        <f ca="1"/>
        <v>0.43054453938494036</v>
      </c>
      <c r="D1927">
        <f ca="1"/>
        <v>-1.4055997322157077</v>
      </c>
      <c r="E1927">
        <f ca="1"/>
        <v>-2.2246296032591353</v>
      </c>
      <c r="G1927">
        <f ca="1"/>
        <v>7.1100560792959575</v>
      </c>
    </row>
    <row r="1928" spans="3:7">
      <c r="C1928">
        <f ca="1"/>
        <v>-0.43836144562297685</v>
      </c>
      <c r="D1928">
        <f ca="1"/>
        <v>1.3285160131219251E-3</v>
      </c>
      <c r="E1928">
        <f ca="1"/>
        <v>-0.32617461539348486</v>
      </c>
      <c r="G1928">
        <f ca="1"/>
        <v>0.29855240169055097</v>
      </c>
    </row>
    <row r="1929" spans="3:7">
      <c r="C1929">
        <f ca="1"/>
        <v>0.42079742630111694</v>
      </c>
      <c r="D1929">
        <f ca="1"/>
        <v>0.49367919492143592</v>
      </c>
      <c r="E1929">
        <f ca="1"/>
        <v>0.45052248917687093</v>
      </c>
      <c r="G1929">
        <f ca="1"/>
        <v>0.6237601347340449</v>
      </c>
    </row>
    <row r="1930" spans="3:7">
      <c r="C1930">
        <f ca="1"/>
        <v>1.2143806563028481</v>
      </c>
      <c r="D1930">
        <f ca="1"/>
        <v>0.18497527865397254</v>
      </c>
      <c r="E1930">
        <f ca="1"/>
        <v>1.0841636788524915</v>
      </c>
      <c r="G1930">
        <f ca="1"/>
        <v>2.6843471146586193</v>
      </c>
    </row>
    <row r="1931" spans="3:7">
      <c r="C1931">
        <f ca="1"/>
        <v>0.71982343151443062</v>
      </c>
      <c r="D1931">
        <f ca="1"/>
        <v>1.0048673506952293</v>
      </c>
      <c r="E1931">
        <f ca="1"/>
        <v>-1.405560654584983</v>
      </c>
      <c r="G1931">
        <f ca="1"/>
        <v>3.5035049187678249</v>
      </c>
    </row>
    <row r="1932" spans="3:7">
      <c r="C1932">
        <f ca="1"/>
        <v>-0.22710595866944916</v>
      </c>
      <c r="D1932">
        <f ca="1"/>
        <v>0.73423613585368785</v>
      </c>
      <c r="E1932">
        <f ca="1"/>
        <v>1.1190580698820423</v>
      </c>
      <c r="G1932">
        <f ca="1"/>
        <v>1.8429707834246467</v>
      </c>
    </row>
    <row r="1933" spans="3:7">
      <c r="C1933">
        <f ca="1"/>
        <v>-0.51789965006293281</v>
      </c>
      <c r="D1933">
        <f ca="1"/>
        <v>0.95408338369852197</v>
      </c>
      <c r="E1933">
        <f ca="1"/>
        <v>-1.3516555290078669</v>
      </c>
      <c r="G1933">
        <f ca="1"/>
        <v>3.0054678196824658</v>
      </c>
    </row>
    <row r="1934" spans="3:7">
      <c r="C1934">
        <f ca="1"/>
        <v>1.8177859780203804</v>
      </c>
      <c r="D1934">
        <f ca="1"/>
        <v>0.71805511656262089</v>
      </c>
      <c r="E1934">
        <f ca="1"/>
        <v>1.9986208266908116</v>
      </c>
      <c r="G1934">
        <f ca="1"/>
        <v>7.8144342211915339</v>
      </c>
    </row>
    <row r="1935" spans="3:7">
      <c r="C1935">
        <f ca="1"/>
        <v>0.46078214285354718</v>
      </c>
      <c r="D1935">
        <f ca="1"/>
        <v>0.43649787257122025</v>
      </c>
      <c r="E1935">
        <f ca="1"/>
        <v>1.1538910887431344</v>
      </c>
      <c r="G1935">
        <f ca="1"/>
        <v>1.7343152206127241</v>
      </c>
    </row>
    <row r="1936" spans="3:7">
      <c r="C1936">
        <f ca="1"/>
        <v>0.78870199847932287</v>
      </c>
      <c r="D1936">
        <f ca="1"/>
        <v>-1.3737984286367613</v>
      </c>
      <c r="E1936">
        <f ca="1"/>
        <v>0.2927976489521511</v>
      </c>
      <c r="G1936">
        <f ca="1"/>
        <v>2.5951034281620191</v>
      </c>
    </row>
    <row r="1937" spans="3:7">
      <c r="C1937">
        <f ca="1"/>
        <v>-0.51848973173941715</v>
      </c>
      <c r="D1937">
        <f ca="1"/>
        <v>1.1004970787769852</v>
      </c>
      <c r="E1937">
        <f ca="1"/>
        <v>-0.98283702172632137</v>
      </c>
      <c r="G1937">
        <f ca="1"/>
        <v>2.4458940335917561</v>
      </c>
    </row>
    <row r="1938" spans="3:7">
      <c r="C1938">
        <f ca="1"/>
        <v>-0.65693993813383056</v>
      </c>
      <c r="D1938">
        <f ca="1"/>
        <v>0.40790258151785058</v>
      </c>
      <c r="E1938">
        <f ca="1"/>
        <v>1.459728252808201</v>
      </c>
      <c r="G1938">
        <f ca="1"/>
        <v>2.7287611703706904</v>
      </c>
    </row>
    <row r="1939" spans="3:7">
      <c r="C1939">
        <f ca="1"/>
        <v>-0.10922021101279608</v>
      </c>
      <c r="D1939">
        <f ca="1"/>
        <v>0.1949846879425845</v>
      </c>
      <c r="E1939">
        <f ca="1"/>
        <v>-3.4607181103284659E-2</v>
      </c>
      <c r="G1939">
        <f ca="1"/>
        <v>5.1145740009662308E-2</v>
      </c>
    </row>
    <row r="1940" spans="3:7">
      <c r="C1940">
        <f ca="1"/>
        <v>-0.36158940336558409</v>
      </c>
      <c r="D1940">
        <f ca="1"/>
        <v>0.85458505869662316</v>
      </c>
      <c r="E1940">
        <f ca="1"/>
        <v>0.21371163008705835</v>
      </c>
      <c r="G1940">
        <f ca="1"/>
        <v>0.90673518000825759</v>
      </c>
    </row>
    <row r="1941" spans="3:7">
      <c r="C1941">
        <f ca="1"/>
        <v>-1.3884045872766526</v>
      </c>
      <c r="D1941">
        <f ca="1"/>
        <v>-2.1021841993790003</v>
      </c>
      <c r="E1941">
        <f ca="1"/>
        <v>0.28611951526837004</v>
      </c>
      <c r="G1941">
        <f ca="1"/>
        <v>6.4287100831069877</v>
      </c>
    </row>
    <row r="1942" spans="3:7">
      <c r="C1942">
        <f ca="1"/>
        <v>-1.7509764457298276E-2</v>
      </c>
      <c r="D1942">
        <f ca="1"/>
        <v>0.24232154066462092</v>
      </c>
      <c r="E1942">
        <f ca="1"/>
        <v>-0.79745526943255463</v>
      </c>
      <c r="G1942">
        <f ca="1"/>
        <v>0.69496122766717383</v>
      </c>
    </row>
    <row r="1943" spans="3:7">
      <c r="C1943">
        <f ca="1"/>
        <v>0.2144983428697779</v>
      </c>
      <c r="D1943">
        <f ca="1"/>
        <v>0.3388536841790008</v>
      </c>
      <c r="E1943">
        <f ca="1"/>
        <v>1.4530378814356519</v>
      </c>
      <c r="G1943">
        <f ca="1"/>
        <v>2.2721504432625705</v>
      </c>
    </row>
    <row r="1944" spans="3:7">
      <c r="C1944">
        <f ca="1"/>
        <v>0.56011496728516208</v>
      </c>
      <c r="D1944">
        <f ca="1"/>
        <v>1.2920571851450726</v>
      </c>
      <c r="E1944">
        <f ca="1"/>
        <v>-0.27909239171689965</v>
      </c>
      <c r="G1944">
        <f ca="1"/>
        <v>2.061033109376126</v>
      </c>
    </row>
    <row r="1945" spans="3:7">
      <c r="C1945">
        <f ca="1"/>
        <v>-0.73124088662776576</v>
      </c>
      <c r="D1945">
        <f ca="1"/>
        <v>0.34676397995764885</v>
      </c>
      <c r="E1945">
        <f ca="1"/>
        <v>-0.87598458982556593</v>
      </c>
      <c r="G1945">
        <f ca="1"/>
        <v>1.4223074936840947</v>
      </c>
    </row>
    <row r="1946" spans="3:7">
      <c r="C1946">
        <f ca="1"/>
        <v>9.7786863481184524E-2</v>
      </c>
      <c r="D1946">
        <f ca="1"/>
        <v>0.73302167881683322</v>
      </c>
      <c r="E1946">
        <f ca="1"/>
        <v>8.5270939628314724E-2</v>
      </c>
      <c r="G1946">
        <f ca="1"/>
        <v>0.55415418543003203</v>
      </c>
    </row>
    <row r="1947" spans="3:7">
      <c r="C1947">
        <f ca="1"/>
        <v>-1.9355326963524788</v>
      </c>
      <c r="D1947">
        <f ca="1"/>
        <v>-0.79254416833677088</v>
      </c>
      <c r="E1947">
        <f ca="1"/>
        <v>-0.13273740128271419</v>
      </c>
      <c r="G1947">
        <f ca="1"/>
        <v>4.3920322951134096</v>
      </c>
    </row>
    <row r="1948" spans="3:7">
      <c r="C1948">
        <f ca="1"/>
        <v>0.8674761742928534</v>
      </c>
      <c r="D1948">
        <f ca="1"/>
        <v>2.2377313077286849</v>
      </c>
      <c r="E1948">
        <f ca="1"/>
        <v>-0.51135331952960217</v>
      </c>
      <c r="G1948">
        <f ca="1"/>
        <v>6.0214385359488389</v>
      </c>
    </row>
    <row r="1949" spans="3:7">
      <c r="C1949">
        <f ca="1"/>
        <v>1.4192553904499754</v>
      </c>
      <c r="D1949">
        <f ca="1"/>
        <v>1.9192186128189994</v>
      </c>
      <c r="E1949">
        <f ca="1"/>
        <v>0.55621293959562257</v>
      </c>
      <c r="G1949">
        <f ca="1"/>
        <v>6.0070587812858003</v>
      </c>
    </row>
    <row r="1950" spans="3:7">
      <c r="C1950">
        <f ca="1"/>
        <v>0.5373083112439655</v>
      </c>
      <c r="D1950">
        <f ca="1"/>
        <v>0.87896450304260976</v>
      </c>
      <c r="E1950">
        <f ca="1"/>
        <v>0.23960925490389151</v>
      </c>
      <c r="G1950">
        <f ca="1"/>
        <v>1.1186914139763822</v>
      </c>
    </row>
    <row r="1951" spans="3:7">
      <c r="C1951">
        <f ca="1"/>
        <v>-0.4461763134425466</v>
      </c>
      <c r="D1951">
        <f ca="1"/>
        <v>0.83596290826925856</v>
      </c>
      <c r="E1951">
        <f ca="1"/>
        <v>-0.5565170045760669</v>
      </c>
      <c r="G1951">
        <f ca="1"/>
        <v>1.2076184630614963</v>
      </c>
    </row>
    <row r="1952" spans="3:7">
      <c r="C1952">
        <f ca="1"/>
        <v>-2.5782672516811318</v>
      </c>
      <c r="D1952">
        <f ca="1"/>
        <v>0.86442567192930131</v>
      </c>
      <c r="E1952">
        <f ca="1"/>
        <v>0.78817554020683023</v>
      </c>
      <c r="G1952">
        <f ca="1"/>
        <v>8.0159144455621298</v>
      </c>
    </row>
    <row r="1953" spans="3:7">
      <c r="C1953">
        <f ca="1"/>
        <v>0.15382766138085918</v>
      </c>
      <c r="D1953">
        <f ca="1"/>
        <v>-2.5442690927255658</v>
      </c>
      <c r="E1953">
        <f ca="1"/>
        <v>0.28946754792740187</v>
      </c>
      <c r="G1953">
        <f ca="1"/>
        <v>6.5807596269075805</v>
      </c>
    </row>
    <row r="1954" spans="3:7">
      <c r="C1954">
        <f ca="1"/>
        <v>-1.7639534344508765</v>
      </c>
      <c r="D1954">
        <f ca="1"/>
        <v>1.7801498557181805</v>
      </c>
      <c r="E1954">
        <f ca="1"/>
        <v>-0.75078578177778443</v>
      </c>
      <c r="G1954">
        <f ca="1"/>
        <v>6.8441445178441809</v>
      </c>
    </row>
    <row r="1955" spans="3:7">
      <c r="C1955">
        <f ca="1"/>
        <v>0.97278010066800935</v>
      </c>
      <c r="D1955">
        <f ca="1"/>
        <v>-0.2383469032817325</v>
      </c>
      <c r="E1955">
        <f ca="1"/>
        <v>-1.2202983191007517</v>
      </c>
      <c r="G1955">
        <f ca="1"/>
        <v>2.4922383581597742</v>
      </c>
    </row>
    <row r="1956" spans="3:7">
      <c r="C1956">
        <f ca="1"/>
        <v>0.85687239322788955</v>
      </c>
      <c r="D1956">
        <f ca="1"/>
        <v>-0.27237524583204331</v>
      </c>
      <c r="E1956">
        <f ca="1"/>
        <v>-9.3702754384626455E-2</v>
      </c>
      <c r="G1956">
        <f ca="1"/>
        <v>0.81719877899742266</v>
      </c>
    </row>
    <row r="1957" spans="3:7">
      <c r="C1957">
        <f ca="1"/>
        <v>1.036149060542161</v>
      </c>
      <c r="D1957">
        <f ca="1"/>
        <v>0.98156877179103952</v>
      </c>
      <c r="E1957">
        <f ca="1"/>
        <v>0.26207253697357946</v>
      </c>
      <c r="G1957">
        <f ca="1"/>
        <v>2.1057641440535408</v>
      </c>
    </row>
    <row r="1958" spans="3:7">
      <c r="C1958">
        <f ca="1"/>
        <v>0.11565679650669111</v>
      </c>
      <c r="D1958">
        <f ca="1"/>
        <v>-0.96226327161996961</v>
      </c>
      <c r="E1958">
        <f ca="1"/>
        <v>-1.0394175288202199</v>
      </c>
      <c r="G1958">
        <f ca="1"/>
        <v>2.0197158977056899</v>
      </c>
    </row>
    <row r="1959" spans="3:7">
      <c r="C1959">
        <f ca="1"/>
        <v>0.12936149225364382</v>
      </c>
      <c r="D1959">
        <f ca="1"/>
        <v>-0.28806860297664161</v>
      </c>
      <c r="E1959">
        <f ca="1"/>
        <v>1.0718754057176665</v>
      </c>
      <c r="G1959">
        <f ca="1"/>
        <v>1.2486348010814157</v>
      </c>
    </row>
    <row r="1960" spans="3:7">
      <c r="C1960">
        <f ca="1"/>
        <v>1.1318124054818406</v>
      </c>
      <c r="D1960">
        <f ca="1"/>
        <v>0.26710007959726367</v>
      </c>
      <c r="E1960">
        <f ca="1"/>
        <v>-1.3437485216686125</v>
      </c>
      <c r="G1960">
        <f ca="1"/>
        <v>3.1580018632100364</v>
      </c>
    </row>
    <row r="1961" spans="3:7">
      <c r="C1961">
        <f ca="1"/>
        <v>-0.41958939696729064</v>
      </c>
      <c r="D1961">
        <f ca="1"/>
        <v>0.97467560661048813</v>
      </c>
      <c r="E1961">
        <f ca="1"/>
        <v>8.3060088020602361E-3</v>
      </c>
      <c r="G1961">
        <f ca="1"/>
        <v>1.1261167899511175</v>
      </c>
    </row>
    <row r="1962" spans="3:7">
      <c r="C1962">
        <f ca="1"/>
        <v>-0.93391567031133538</v>
      </c>
      <c r="D1962">
        <f ca="1"/>
        <v>0.35295442602776705</v>
      </c>
      <c r="E1962">
        <f ca="1"/>
        <v>0.4901858610903172</v>
      </c>
      <c r="G1962">
        <f ca="1"/>
        <v>1.2370574845185172</v>
      </c>
    </row>
    <row r="1963" spans="3:7">
      <c r="C1963">
        <f ca="1"/>
        <v>1.775953304338681</v>
      </c>
      <c r="D1963">
        <f ca="1"/>
        <v>1.273914136860169</v>
      </c>
      <c r="E1963">
        <f ca="1"/>
        <v>-0.22315876527701706</v>
      </c>
      <c r="G1963">
        <f ca="1"/>
        <v>4.8266672018036321</v>
      </c>
    </row>
    <row r="1964" spans="3:7">
      <c r="C1964">
        <f ca="1"/>
        <v>-0.23123154324349807</v>
      </c>
      <c r="D1964">
        <f ca="1"/>
        <v>0.42081569100821575</v>
      </c>
      <c r="E1964">
        <f ca="1"/>
        <v>1.6077537257186501</v>
      </c>
      <c r="G1964">
        <f ca="1"/>
        <v>2.815425914951692</v>
      </c>
    </row>
    <row r="1965" spans="3:7">
      <c r="C1965">
        <f ca="1"/>
        <v>-1.3125832002769702</v>
      </c>
      <c r="D1965">
        <f ca="1"/>
        <v>0.10461844633597366</v>
      </c>
      <c r="E1965">
        <f ca="1"/>
        <v>0.2284079160325071</v>
      </c>
      <c r="G1965">
        <f ca="1"/>
        <v>1.7859898530693987</v>
      </c>
    </row>
    <row r="1966" spans="3:7">
      <c r="C1966">
        <f ca="1"/>
        <v>0.77603134713078215</v>
      </c>
      <c r="D1966">
        <f ca="1"/>
        <v>-0.16598274633240043</v>
      </c>
      <c r="E1966">
        <f ca="1"/>
        <v>-1.2856086349176883</v>
      </c>
      <c r="G1966">
        <f ca="1"/>
        <v>2.2825644859845844</v>
      </c>
    </row>
    <row r="1967" spans="3:7">
      <c r="C1967">
        <f ca="1"/>
        <v>-1.5795741654816808</v>
      </c>
      <c r="D1967">
        <f ca="1"/>
        <v>-0.93121746187892029</v>
      </c>
      <c r="E1967">
        <f ca="1"/>
        <v>-0.40781469967449502</v>
      </c>
      <c r="G1967">
        <f ca="1"/>
        <v>3.5285333348359651</v>
      </c>
    </row>
    <row r="1968" spans="3:7">
      <c r="C1968">
        <f ca="1"/>
        <v>1.4158144879478014</v>
      </c>
      <c r="D1968">
        <f ca="1"/>
        <v>-1.1157119227283829</v>
      </c>
      <c r="E1968">
        <f ca="1"/>
        <v>-0.88190797729126247</v>
      </c>
      <c r="G1968">
        <f ca="1"/>
        <v>4.0271054392111258</v>
      </c>
    </row>
    <row r="1969" spans="3:7">
      <c r="C1969">
        <f ca="1"/>
        <v>0.34064834372989794</v>
      </c>
      <c r="D1969">
        <f ca="1"/>
        <v>0.2451273811567235</v>
      </c>
      <c r="E1969">
        <f ca="1"/>
        <v>-2.0429512159853731</v>
      </c>
      <c r="G1969">
        <f ca="1"/>
        <v>4.3497783979747915</v>
      </c>
    </row>
    <row r="1970" spans="3:7">
      <c r="C1970">
        <f ca="1"/>
        <v>1.2243277389319287</v>
      </c>
      <c r="D1970">
        <f ca="1"/>
        <v>0.36467569718250187</v>
      </c>
      <c r="E1970">
        <f ca="1"/>
        <v>-0.52771003033228792</v>
      </c>
      <c r="G1970">
        <f ca="1"/>
        <v>1.9104446525470169</v>
      </c>
    </row>
    <row r="1971" spans="3:7">
      <c r="C1971">
        <f ca="1"/>
        <v>0.74735876119727662</v>
      </c>
      <c r="D1971">
        <f ca="1"/>
        <v>-6.7250533677235255E-2</v>
      </c>
      <c r="E1971">
        <f ca="1"/>
        <v>1.3684725667250759</v>
      </c>
      <c r="G1971">
        <f ca="1"/>
        <v>2.4357849180973181</v>
      </c>
    </row>
    <row r="1972" spans="3:7">
      <c r="C1972">
        <f ca="1"/>
        <v>-2.250308441971324</v>
      </c>
      <c r="D1972">
        <f ca="1"/>
        <v>-0.54562181027630874</v>
      </c>
      <c r="E1972">
        <f ca="1"/>
        <v>1.5145966396337376</v>
      </c>
      <c r="G1972">
        <f ca="1"/>
        <v>7.6555942246464141</v>
      </c>
    </row>
    <row r="1973" spans="3:7">
      <c r="C1973">
        <f ca="1"/>
        <v>-1.2697479955984154</v>
      </c>
      <c r="D1973">
        <f ca="1"/>
        <v>0.41473425401651692</v>
      </c>
      <c r="E1973">
        <f ca="1"/>
        <v>0.64652534897287506</v>
      </c>
      <c r="G1973">
        <f ca="1"/>
        <v>2.2022595006453285</v>
      </c>
    </row>
    <row r="1974" spans="3:7">
      <c r="C1974">
        <f ca="1"/>
        <v>-0.29606084762259</v>
      </c>
      <c r="D1974">
        <f ca="1"/>
        <v>-1.498011925863864</v>
      </c>
      <c r="E1974">
        <f ca="1"/>
        <v>-0.70271915158731912</v>
      </c>
      <c r="G1974">
        <f ca="1"/>
        <v>2.8255059615329707</v>
      </c>
    </row>
    <row r="1975" spans="3:7">
      <c r="C1975">
        <f ca="1"/>
        <v>-0.44713314510940538</v>
      </c>
      <c r="D1975">
        <f ca="1"/>
        <v>-1.1614646428922759</v>
      </c>
      <c r="E1975">
        <f ca="1"/>
        <v>1.1881143038201074</v>
      </c>
      <c r="G1975">
        <f ca="1"/>
        <v>2.9605437650862489</v>
      </c>
    </row>
    <row r="1976" spans="3:7">
      <c r="C1976">
        <f ca="1"/>
        <v>-0.40469405900105748</v>
      </c>
      <c r="D1976">
        <f ca="1"/>
        <v>0.69439104110733196</v>
      </c>
      <c r="E1976">
        <f ca="1"/>
        <v>-1.8279142280926166</v>
      </c>
      <c r="G1976">
        <f ca="1"/>
        <v>3.9872266246243022</v>
      </c>
    </row>
    <row r="1977" spans="3:7">
      <c r="C1977">
        <f ca="1"/>
        <v>-0.97576502870807813</v>
      </c>
      <c r="D1977">
        <f ca="1"/>
        <v>0.62494061318759142</v>
      </c>
      <c r="E1977">
        <f ca="1"/>
        <v>-8.2201537111643908E-2</v>
      </c>
      <c r="G1977">
        <f ca="1"/>
        <v>1.3494252539644762</v>
      </c>
    </row>
    <row r="1978" spans="3:7">
      <c r="C1978">
        <f ca="1"/>
        <v>0.4357121492915848</v>
      </c>
      <c r="D1978">
        <f ca="1"/>
        <v>-0.37550858173956991</v>
      </c>
      <c r="E1978">
        <f ca="1"/>
        <v>-0.55133298907073591</v>
      </c>
      <c r="G1978">
        <f ca="1"/>
        <v>0.63481983683802778</v>
      </c>
    </row>
    <row r="1979" spans="3:7">
      <c r="C1979">
        <f ca="1"/>
        <v>0.55152182310671283</v>
      </c>
      <c r="D1979">
        <f ca="1"/>
        <v>-0.62568263916312528</v>
      </c>
      <c r="E1979">
        <f ca="1"/>
        <v>-2.9397212265445814E-2</v>
      </c>
      <c r="G1979">
        <f ca="1"/>
        <v>0.69651928240206562</v>
      </c>
    </row>
    <row r="1980" spans="3:7">
      <c r="C1980">
        <f ca="1"/>
        <v>0.98275472793045338</v>
      </c>
      <c r="D1980">
        <f ca="1"/>
        <v>0.71673142534167711</v>
      </c>
      <c r="E1980">
        <f ca="1"/>
        <v>-1.6997379175804732</v>
      </c>
      <c r="G1980">
        <f ca="1"/>
        <v>4.368619779802775</v>
      </c>
    </row>
    <row r="1981" spans="3:7">
      <c r="C1981">
        <f ca="1"/>
        <v>0.17523378882215801</v>
      </c>
      <c r="D1981">
        <f ca="1"/>
        <v>-0.62683631041485233</v>
      </c>
      <c r="E1981">
        <f ca="1"/>
        <v>1.8288656855989935</v>
      </c>
      <c r="G1981">
        <f ca="1"/>
        <v>3.7683803367609503</v>
      </c>
    </row>
    <row r="1982" spans="3:7">
      <c r="C1982">
        <f ca="1"/>
        <v>0.30599890995323042</v>
      </c>
      <c r="D1982">
        <f ca="1"/>
        <v>-0.38758663936311455</v>
      </c>
      <c r="E1982">
        <f ca="1"/>
        <v>1.2299526336409015</v>
      </c>
      <c r="G1982">
        <f ca="1"/>
        <v>1.756642216905548</v>
      </c>
    </row>
    <row r="1983" spans="3:7">
      <c r="C1983">
        <f ca="1"/>
        <v>-1.7278278807640743</v>
      </c>
      <c r="D1983">
        <f ca="1"/>
        <v>1.1387152741241158</v>
      </c>
      <c r="E1983">
        <f ca="1"/>
        <v>-4.2980808029121631E-2</v>
      </c>
      <c r="G1983">
        <f ca="1"/>
        <v>4.2839090109280678</v>
      </c>
    </row>
    <row r="1984" spans="3:7">
      <c r="C1984">
        <f ca="1"/>
        <v>0.90991178160234476</v>
      </c>
      <c r="D1984">
        <f ca="1"/>
        <v>-2.9742550893045075E-2</v>
      </c>
      <c r="E1984">
        <f ca="1"/>
        <v>-0.68628834215131962</v>
      </c>
      <c r="G1984">
        <f ca="1"/>
        <v>1.2998157582051852</v>
      </c>
    </row>
    <row r="1985" spans="3:7">
      <c r="C1985">
        <f ca="1"/>
        <v>-0.93655771905986474</v>
      </c>
      <c r="D1985">
        <f ca="1"/>
        <v>-0.39294123787734125</v>
      </c>
      <c r="E1985">
        <f ca="1"/>
        <v>-0.11071050910720588</v>
      </c>
      <c r="G1985">
        <f ca="1"/>
        <v>1.0437999943819705</v>
      </c>
    </row>
    <row r="1986" spans="3:7">
      <c r="C1986">
        <f ca="1"/>
        <v>-2.2126179965748181</v>
      </c>
      <c r="D1986">
        <f ca="1"/>
        <v>1.5012525770588814</v>
      </c>
      <c r="E1986">
        <f ca="1"/>
        <v>-0.48444080393065814</v>
      </c>
      <c r="G1986">
        <f ca="1"/>
        <v>7.3841205914056758</v>
      </c>
    </row>
    <row r="1987" spans="3:7">
      <c r="C1987">
        <f ca="1"/>
        <v>-0.49073909147995048</v>
      </c>
      <c r="D1987">
        <f ca="1"/>
        <v>-0.31876131249947282</v>
      </c>
      <c r="E1987">
        <f ca="1"/>
        <v>-0.88314931250975937</v>
      </c>
      <c r="G1987">
        <f ca="1"/>
        <v>1.1223863384394144</v>
      </c>
    </row>
    <row r="1988" spans="3:7">
      <c r="C1988">
        <f ca="1"/>
        <v>0.8037567194505798</v>
      </c>
      <c r="D1988">
        <f ca="1"/>
        <v>-0.44053482675324573</v>
      </c>
      <c r="E1988">
        <f ca="1"/>
        <v>-4.3325388676136771E-2</v>
      </c>
      <c r="G1988">
        <f ca="1"/>
        <v>0.84197288694840866</v>
      </c>
    </row>
    <row r="1989" spans="3:7">
      <c r="C1989">
        <f ca="1"/>
        <v>0.85792125081804205</v>
      </c>
      <c r="D1989">
        <f ca="1"/>
        <v>0.62598790126991866</v>
      </c>
      <c r="E1989">
        <f ca="1"/>
        <v>-0.50674006128100346</v>
      </c>
      <c r="G1989">
        <f ca="1"/>
        <v>1.3846752148485864</v>
      </c>
    </row>
    <row r="1990" spans="3:7">
      <c r="C1990">
        <f ca="1"/>
        <v>0.31843542096608091</v>
      </c>
      <c r="D1990">
        <f ca="1"/>
        <v>-0.97829424602838788</v>
      </c>
      <c r="E1990">
        <f ca="1"/>
        <v>-4.2399008206929364E-2</v>
      </c>
      <c r="G1990">
        <f ca="1"/>
        <v>1.0602584250350284</v>
      </c>
    </row>
    <row r="1991" spans="3:7">
      <c r="C1991">
        <f ca="1"/>
        <v>-0.17197252256393902</v>
      </c>
      <c r="D1991">
        <f ca="1"/>
        <v>1.147328898942465</v>
      </c>
      <c r="E1991">
        <f ca="1"/>
        <v>-0.90422261119731218</v>
      </c>
      <c r="G1991">
        <f ca="1"/>
        <v>2.1635566814660194</v>
      </c>
    </row>
    <row r="1992" spans="3:7">
      <c r="C1992">
        <f ca="1"/>
        <v>-0.17783042833443502</v>
      </c>
      <c r="D1992">
        <f ca="1"/>
        <v>-0.21050433482904421</v>
      </c>
      <c r="E1992">
        <f ca="1"/>
        <v>1.0075962798858429</v>
      </c>
      <c r="G1992">
        <f ca="1"/>
        <v>1.0911859994632167</v>
      </c>
    </row>
    <row r="1993" spans="3:7">
      <c r="C1993">
        <f ca="1"/>
        <v>-0.27373935259715582</v>
      </c>
      <c r="D1993">
        <f ca="1"/>
        <v>0.52755063105011879</v>
      </c>
      <c r="E1993">
        <f ca="1"/>
        <v>-0.24302242787277678</v>
      </c>
      <c r="G1993">
        <f ca="1"/>
        <v>0.41230280193086755</v>
      </c>
    </row>
    <row r="1994" spans="3:7">
      <c r="C1994">
        <f ca="1"/>
        <v>0.44079338575382848</v>
      </c>
      <c r="D1994">
        <f ca="1"/>
        <v>1.1208507886703725</v>
      </c>
      <c r="E1994">
        <f ca="1"/>
        <v>2.7478241654353441</v>
      </c>
      <c r="G1994">
        <f ca="1"/>
        <v>9.001142943537765</v>
      </c>
    </row>
    <row r="1995" spans="3:7">
      <c r="C1995">
        <f ca="1"/>
        <v>9.7127379337819314E-2</v>
      </c>
      <c r="D1995">
        <f ca="1"/>
        <v>0.80349822495549605</v>
      </c>
      <c r="E1995">
        <f ca="1"/>
        <v>1.6988594704059177</v>
      </c>
      <c r="G1995">
        <f ca="1"/>
        <v>3.5411666255115408</v>
      </c>
    </row>
    <row r="1996" spans="3:7">
      <c r="C1996">
        <f ca="1"/>
        <v>0.48361452890071377</v>
      </c>
      <c r="D1996">
        <f ca="1"/>
        <v>1.5263179761958929</v>
      </c>
      <c r="E1996">
        <f ca="1"/>
        <v>-0.80162791503890984</v>
      </c>
      <c r="G1996">
        <f ca="1"/>
        <v>3.2061368911922155</v>
      </c>
    </row>
    <row r="1997" spans="3:7">
      <c r="C1997">
        <f ca="1"/>
        <v>1.5768739078907459</v>
      </c>
      <c r="D1997">
        <f ca="1"/>
        <v>-1.2811803576246632</v>
      </c>
      <c r="E1997">
        <f ca="1"/>
        <v>-0.35655297989251661</v>
      </c>
      <c r="G1997">
        <f ca="1"/>
        <v>4.2550844576201259</v>
      </c>
    </row>
    <row r="1998" spans="3:7">
      <c r="C1998">
        <f ca="1"/>
        <v>-1.346344426580002</v>
      </c>
      <c r="D1998">
        <f ca="1"/>
        <v>1.7798057109667609</v>
      </c>
      <c r="E1998">
        <f ca="1"/>
        <v>1.0164640727857783</v>
      </c>
      <c r="G1998">
        <f ca="1"/>
        <v>6.0135508950371834</v>
      </c>
    </row>
    <row r="1999" spans="3:7">
      <c r="C1999">
        <f ca="1"/>
        <v>-0.75243916146342016</v>
      </c>
      <c r="D1999">
        <f ca="1"/>
        <v>-0.39899680678659633</v>
      </c>
      <c r="E1999">
        <f ca="1"/>
        <v>-0.10796317239359908</v>
      </c>
      <c r="G1999">
        <f ca="1"/>
        <v>0.73701919012296546</v>
      </c>
    </row>
    <row r="2000" spans="3:7">
      <c r="C2000">
        <f ca="1"/>
        <v>-0.71702216160797971</v>
      </c>
      <c r="D2000">
        <f ca="1"/>
        <v>-0.14251543110105927</v>
      </c>
      <c r="E2000">
        <f ca="1"/>
        <v>-0.48563380840996101</v>
      </c>
      <c r="G2000">
        <f ca="1"/>
        <v>0.77027162420966322</v>
      </c>
    </row>
    <row r="2001" spans="3:7">
      <c r="C2001">
        <f ca="1"/>
        <v>0.19594805268901219</v>
      </c>
      <c r="D2001">
        <f ca="1"/>
        <v>1.9793025826448554</v>
      </c>
      <c r="E2001">
        <f ca="1"/>
        <v>-1.4938732302376874</v>
      </c>
      <c r="G2001">
        <f ca="1"/>
        <v>6.1876915810379929</v>
      </c>
    </row>
    <row r="2002" spans="3:7">
      <c r="C2002">
        <f ca="1"/>
        <v>-1.1232766787572019</v>
      </c>
      <c r="D2002">
        <f ca="1"/>
        <v>7.225559548936028E-2</v>
      </c>
      <c r="E2002">
        <f ca="1"/>
        <v>0.16412058663716275</v>
      </c>
      <c r="G2002">
        <f ca="1"/>
        <v>1.2939069350774588</v>
      </c>
    </row>
    <row r="2003" spans="3:7">
      <c r="C2003">
        <f ca="1"/>
        <v>-1.6004420709447935</v>
      </c>
      <c r="D2003">
        <f ca="1"/>
        <v>-0.48816459051101796</v>
      </c>
      <c r="E2003">
        <f ca="1"/>
        <v>2.0755103191000699</v>
      </c>
      <c r="G2003">
        <f ca="1"/>
        <v>7.1074625745697233</v>
      </c>
    </row>
    <row r="2004" spans="3:7">
      <c r="C2004">
        <f ca="1"/>
        <v>-9.0735931502211667E-2</v>
      </c>
      <c r="D2004">
        <f ca="1"/>
        <v>0.3454008132744274</v>
      </c>
      <c r="E2004">
        <f ca="1"/>
        <v>-8.5385858062608497E-2</v>
      </c>
      <c r="G2004">
        <f ca="1"/>
        <v>0.13482547583329785</v>
      </c>
    </row>
    <row r="2005" spans="3:7">
      <c r="C2005">
        <f ca="1"/>
        <v>1.2641399488544824</v>
      </c>
      <c r="D2005">
        <f ca="1"/>
        <v>-0.41991110217514915</v>
      </c>
      <c r="E2005">
        <f ca="1"/>
        <v>1.6868081721543455</v>
      </c>
      <c r="G2005">
        <f ca="1"/>
        <v>4.6196969536664465</v>
      </c>
    </row>
    <row r="2006" spans="3:7">
      <c r="C2006">
        <f ca="1"/>
        <v>0.24116028139236811</v>
      </c>
      <c r="D2006">
        <f ca="1"/>
        <v>1.8845395508808056</v>
      </c>
      <c r="E2006">
        <f ca="1"/>
        <v>0.60804923469903627</v>
      </c>
      <c r="G2006">
        <f ca="1"/>
        <v>3.9793714719733582</v>
      </c>
    </row>
    <row r="2007" spans="3:7">
      <c r="C2007">
        <f ca="1"/>
        <v>-4.1076826653340483E-2</v>
      </c>
      <c r="D2007">
        <f ca="1"/>
        <v>1.3883015978396349</v>
      </c>
      <c r="E2007">
        <f ca="1"/>
        <v>1.7563023347540425</v>
      </c>
      <c r="G2007">
        <f ca="1"/>
        <v>5.0136665233144928</v>
      </c>
    </row>
    <row r="2008" spans="3:7">
      <c r="C2008">
        <f ca="1"/>
        <v>-0.68452934875860083</v>
      </c>
      <c r="D2008">
        <f ca="1"/>
        <v>5.4266327873317512E-2</v>
      </c>
      <c r="E2008">
        <f ca="1"/>
        <v>-1.3911982114441983</v>
      </c>
      <c r="G2008">
        <f ca="1"/>
        <v>2.4069577271782649</v>
      </c>
    </row>
    <row r="2009" spans="3:7">
      <c r="C2009">
        <f ca="1"/>
        <v>-0.80234050576273797</v>
      </c>
      <c r="D2009">
        <f ca="1"/>
        <v>0.30747382436932669</v>
      </c>
      <c r="E2009">
        <f ca="1"/>
        <v>-1.3523981964264202</v>
      </c>
      <c r="G2009">
        <f ca="1"/>
        <v>2.5672713215573397</v>
      </c>
    </row>
    <row r="2010" spans="3:7">
      <c r="C2010">
        <f ca="1"/>
        <v>1.8428336178223632</v>
      </c>
      <c r="D2010">
        <f ca="1"/>
        <v>9.7438218691000653E-2</v>
      </c>
      <c r="E2010">
        <f ca="1"/>
        <v>0.54668426934657643</v>
      </c>
      <c r="G2010">
        <f ca="1"/>
        <v>3.7043936397889357</v>
      </c>
    </row>
    <row r="2011" spans="3:7">
      <c r="C2011">
        <f ca="1"/>
        <v>-1.217481334834819</v>
      </c>
      <c r="D2011">
        <f ca="1"/>
        <v>1.7742262684930059</v>
      </c>
      <c r="E2011">
        <f ca="1"/>
        <v>0.82563857355708781</v>
      </c>
      <c r="G2011">
        <f ca="1"/>
        <v>5.3118187066271707</v>
      </c>
    </row>
    <row r="2012" spans="3:7">
      <c r="C2012">
        <f ca="1"/>
        <v>0.76727818415553306</v>
      </c>
      <c r="D2012">
        <f ca="1"/>
        <v>2.634526052627454E-2</v>
      </c>
      <c r="E2012">
        <f ca="1"/>
        <v>-0.53603271873194447</v>
      </c>
      <c r="G2012">
        <f ca="1"/>
        <v>0.8767409601843692</v>
      </c>
    </row>
    <row r="2013" spans="3:7">
      <c r="C2013">
        <f ca="1"/>
        <v>-0.59993392480210894</v>
      </c>
      <c r="D2013">
        <f ca="1"/>
        <v>0.38746999298990004</v>
      </c>
      <c r="E2013">
        <f ca="1"/>
        <v>2.6411495064848627E-2</v>
      </c>
      <c r="G2013">
        <f ca="1"/>
        <v>0.51075127666761622</v>
      </c>
    </row>
    <row r="2014" spans="3:7">
      <c r="C2014">
        <f ca="1"/>
        <v>0.31539357635570203</v>
      </c>
      <c r="D2014">
        <f ca="1"/>
        <v>-1.0893244670241682</v>
      </c>
      <c r="E2014">
        <f ca="1"/>
        <v>-0.27876947862974166</v>
      </c>
      <c r="G2014">
        <f ca="1"/>
        <v>1.3638133246794262</v>
      </c>
    </row>
    <row r="2015" spans="3:7">
      <c r="C2015">
        <f ca="1"/>
        <v>1.1943067579889206</v>
      </c>
      <c r="D2015">
        <f ca="1"/>
        <v>-0.54349199946636706</v>
      </c>
      <c r="E2015">
        <f ca="1"/>
        <v>-1.4104143697058869</v>
      </c>
      <c r="G2015">
        <f ca="1"/>
        <v>3.7110208799348099</v>
      </c>
    </row>
    <row r="2016" spans="3:7">
      <c r="C2016">
        <f ca="1"/>
        <v>-0.42495525466097356</v>
      </c>
      <c r="D2016">
        <f ca="1"/>
        <v>-0.90338723324144643</v>
      </c>
      <c r="E2016">
        <f ca="1"/>
        <v>-1.6947345933842985</v>
      </c>
      <c r="G2016">
        <f ca="1"/>
        <v>3.8688208036610523</v>
      </c>
    </row>
    <row r="2017" spans="3:7">
      <c r="C2017">
        <f ca="1"/>
        <v>-0.19786731790383799</v>
      </c>
      <c r="D2017">
        <f ca="1"/>
        <v>-0.20984460784577777</v>
      </c>
      <c r="E2017">
        <f ca="1"/>
        <v>0.22502104791676744</v>
      </c>
      <c r="G2017">
        <f ca="1"/>
        <v>0.1338207069419669</v>
      </c>
    </row>
    <row r="2018" spans="3:7">
      <c r="C2018">
        <f ca="1"/>
        <v>-0.86474250780048745</v>
      </c>
      <c r="D2018">
        <f ca="1"/>
        <v>0.57131029786754717</v>
      </c>
      <c r="E2018">
        <f ca="1"/>
        <v>0.35108974980180174</v>
      </c>
      <c r="G2018">
        <f ca="1"/>
        <v>1.1974390736624732</v>
      </c>
    </row>
    <row r="2019" spans="3:7">
      <c r="C2019">
        <f ca="1"/>
        <v>-1.2650108520830583</v>
      </c>
      <c r="D2019">
        <f ca="1"/>
        <v>0.47251411126003412</v>
      </c>
      <c r="E2019">
        <f ca="1"/>
        <v>-0.74652541579458642</v>
      </c>
      <c r="G2019">
        <f ca="1"/>
        <v>2.3808222376550452</v>
      </c>
    </row>
    <row r="2020" spans="3:7">
      <c r="C2020">
        <f ca="1"/>
        <v>-0.80900488500112466</v>
      </c>
      <c r="D2020">
        <f ca="1"/>
        <v>5.5361291404366474E-3</v>
      </c>
      <c r="E2020">
        <f ca="1"/>
        <v>0.1158618793099061</v>
      </c>
      <c r="G2020">
        <f ca="1"/>
        <v>0.66794352775876575</v>
      </c>
    </row>
    <row r="2021" spans="3:7">
      <c r="C2021">
        <f ca="1"/>
        <v>0.10871167675404578</v>
      </c>
      <c r="D2021">
        <f ca="1"/>
        <v>0.17649459333786027</v>
      </c>
      <c r="E2021">
        <f ca="1"/>
        <v>0.61727372614416698</v>
      </c>
      <c r="G2021">
        <f ca="1"/>
        <v>0.42399542312807686</v>
      </c>
    </row>
    <row r="2022" spans="3:7">
      <c r="C2022">
        <f ca="1"/>
        <v>-0.77950259373256769</v>
      </c>
      <c r="D2022">
        <f ca="1"/>
        <v>0.90989093588477821</v>
      </c>
      <c r="E2022">
        <f ca="1"/>
        <v>-0.57113225863499995</v>
      </c>
      <c r="G2022">
        <f ca="1"/>
        <v>1.7617178656945947</v>
      </c>
    </row>
    <row r="2023" spans="3:7">
      <c r="C2023">
        <f ca="1"/>
        <v>-1.2454806553227109</v>
      </c>
      <c r="D2023">
        <f ca="1"/>
        <v>0.49215588299130886</v>
      </c>
      <c r="E2023">
        <f ca="1"/>
        <v>1.4118524003202495</v>
      </c>
      <c r="G2023">
        <f ca="1"/>
        <v>3.7867666762360943</v>
      </c>
    </row>
    <row r="2024" spans="3:7">
      <c r="C2024">
        <f ca="1"/>
        <v>-3.2358173778568852E-2</v>
      </c>
      <c r="D2024">
        <f ca="1"/>
        <v>1.3834240550229937</v>
      </c>
      <c r="E2024">
        <f ca="1"/>
        <v>1.3208111944008449</v>
      </c>
      <c r="G2024">
        <f ca="1"/>
        <v>3.6594513786811338</v>
      </c>
    </row>
    <row r="2025" spans="3:7">
      <c r="C2025">
        <f ca="1"/>
        <v>0.53059657095182966</v>
      </c>
      <c r="D2025">
        <f ca="1"/>
        <v>-1.618909904088081</v>
      </c>
      <c r="E2025">
        <f ca="1"/>
        <v>0.48212422737572569</v>
      </c>
      <c r="G2025">
        <f ca="1"/>
        <v>3.1348457692829599</v>
      </c>
    </row>
    <row r="2026" spans="3:7">
      <c r="C2026">
        <f ca="1"/>
        <v>1.4071018600526395</v>
      </c>
      <c r="D2026">
        <f ca="1"/>
        <v>0.5889404071993718</v>
      </c>
      <c r="E2026">
        <f ca="1"/>
        <v>0.88129772792202377</v>
      </c>
      <c r="G2026">
        <f ca="1"/>
        <v>3.1034721330362811</v>
      </c>
    </row>
    <row r="2027" spans="3:7">
      <c r="C2027">
        <f ca="1"/>
        <v>0.97837277507326526</v>
      </c>
      <c r="D2027">
        <f ca="1"/>
        <v>-1.0494594782359083</v>
      </c>
      <c r="E2027">
        <f ca="1"/>
        <v>1.3911008848232167</v>
      </c>
      <c r="G2027">
        <f ca="1"/>
        <v>3.9937401552196832</v>
      </c>
    </row>
    <row r="2028" spans="3:7">
      <c r="C2028">
        <f ca="1"/>
        <v>-0.83863760637965157</v>
      </c>
      <c r="D2028">
        <f ca="1"/>
        <v>-1.1934421619976125</v>
      </c>
      <c r="E2028">
        <f ca="1"/>
        <v>6.0027778122131392E-2</v>
      </c>
      <c r="G2028">
        <f ca="1"/>
        <v>2.1312205630140073</v>
      </c>
    </row>
    <row r="2029" spans="3:7">
      <c r="C2029">
        <f ca="1"/>
        <v>-0.52188832787298722</v>
      </c>
      <c r="D2029">
        <f ca="1"/>
        <v>0.53550364849449972</v>
      </c>
      <c r="E2029">
        <f ca="1"/>
        <v>-0.35536611874096896</v>
      </c>
      <c r="G2029">
        <f ca="1"/>
        <v>0.68541666267000378</v>
      </c>
    </row>
    <row r="2030" spans="3:7">
      <c r="C2030">
        <f ca="1"/>
        <v>-0.10950088031322393</v>
      </c>
      <c r="D2030">
        <f ca="1"/>
        <v>2.0015692474865658</v>
      </c>
      <c r="E2030">
        <f ca="1"/>
        <v>-0.45654740079290929</v>
      </c>
      <c r="G2030">
        <f ca="1"/>
        <v>4.22670542444407</v>
      </c>
    </row>
    <row r="2031" spans="3:7">
      <c r="C2031">
        <f ca="1"/>
        <v>-1.969000687009304</v>
      </c>
      <c r="D2031">
        <f ca="1"/>
        <v>-1.0148824064524857</v>
      </c>
      <c r="E2031">
        <f ca="1"/>
        <v>0.53027277768072523</v>
      </c>
      <c r="G2031">
        <f ca="1"/>
        <v>5.1881392231191308</v>
      </c>
    </row>
    <row r="2032" spans="3:7">
      <c r="C2032">
        <f ca="1"/>
        <v>-0.16565419473252288</v>
      </c>
      <c r="D2032">
        <f ca="1"/>
        <v>0.66806191594620978</v>
      </c>
      <c r="E2032">
        <f ca="1"/>
        <v>-1.8723598724914436</v>
      </c>
      <c r="G2032">
        <f ca="1"/>
        <v>3.9794795278863764</v>
      </c>
    </row>
    <row r="2033" spans="3:7">
      <c r="C2033">
        <f ca="1"/>
        <v>0.790045536615814</v>
      </c>
      <c r="D2033">
        <f ca="1"/>
        <v>-0.58460325875594232</v>
      </c>
      <c r="E2033">
        <f ca="1"/>
        <v>-5.7384142285458337E-2</v>
      </c>
      <c r="G2033">
        <f ca="1"/>
        <v>0.9692258598604746</v>
      </c>
    </row>
    <row r="2034" spans="3:7">
      <c r="C2034">
        <f ca="1"/>
        <v>-0.37410438900245829</v>
      </c>
      <c r="D2034">
        <f ca="1"/>
        <v>-0.81202679155285618</v>
      </c>
      <c r="E2034">
        <f ca="1"/>
        <v>-1.5322609728117682</v>
      </c>
      <c r="G2034">
        <f ca="1"/>
        <v>3.1471652928725948</v>
      </c>
    </row>
    <row r="2035" spans="3:7">
      <c r="C2035">
        <f ca="1"/>
        <v>0.15758427872758768</v>
      </c>
      <c r="D2035">
        <f ca="1"/>
        <v>-0.25047488338614826</v>
      </c>
      <c r="E2035">
        <f ca="1"/>
        <v>0.36683422118447961</v>
      </c>
      <c r="G2035">
        <f ca="1"/>
        <v>0.22213781794142232</v>
      </c>
    </row>
    <row r="2036" spans="3:7">
      <c r="C2036">
        <f ca="1"/>
        <v>1.1231729429889985</v>
      </c>
      <c r="D2036">
        <f ca="1"/>
        <v>0.30006100403805508</v>
      </c>
      <c r="E2036">
        <f ca="1"/>
        <v>0.55565050254504289</v>
      </c>
      <c r="G2036">
        <f ca="1"/>
        <v>1.6603015469854523</v>
      </c>
    </row>
    <row r="2037" spans="3:7">
      <c r="C2037">
        <f ca="1"/>
        <v>-0.26069910528414408</v>
      </c>
      <c r="D2037">
        <f ca="1"/>
        <v>0.88290454455136791</v>
      </c>
      <c r="E2037">
        <f ca="1"/>
        <v>-0.60529504488364216</v>
      </c>
      <c r="G2037">
        <f ca="1"/>
        <v>1.2138665496461021</v>
      </c>
    </row>
    <row r="2038" spans="3:7">
      <c r="C2038">
        <f ca="1"/>
        <v>0.1370989496926823</v>
      </c>
      <c r="D2038">
        <f ca="1"/>
        <v>0.6578438749092872</v>
      </c>
      <c r="E2038">
        <f ca="1"/>
        <v>-0.12603856149078824</v>
      </c>
      <c r="G2038">
        <f ca="1"/>
        <v>0.46744040474516974</v>
      </c>
    </row>
    <row r="2039" spans="3:7">
      <c r="C2039">
        <f ca="1"/>
        <v>0.93517604551831601</v>
      </c>
      <c r="D2039">
        <f ca="1"/>
        <v>0.77144208472796438</v>
      </c>
      <c r="E2039">
        <f ca="1"/>
        <v>-0.20672417918763852</v>
      </c>
      <c r="G2039">
        <f ca="1"/>
        <v>1.5124120124615059</v>
      </c>
    </row>
    <row r="2040" spans="3:7">
      <c r="C2040">
        <f ca="1"/>
        <v>-0.95502931183149542</v>
      </c>
      <c r="D2040">
        <f ca="1"/>
        <v>-0.88025730879869035</v>
      </c>
      <c r="E2040">
        <f ca="1"/>
        <v>0.37727404249297963</v>
      </c>
      <c r="G2040">
        <f ca="1"/>
        <v>1.8292696192898474</v>
      </c>
    </row>
    <row r="2041" spans="3:7">
      <c r="C2041">
        <f ca="1"/>
        <v>-1.3128719656837105</v>
      </c>
      <c r="D2041">
        <f ca="1"/>
        <v>0.90353560581745884</v>
      </c>
      <c r="E2041">
        <f ca="1"/>
        <v>1.7960379582783126</v>
      </c>
      <c r="G2041">
        <f ca="1"/>
        <v>5.7657617368346621</v>
      </c>
    </row>
    <row r="2042" spans="3:7">
      <c r="C2042">
        <f ca="1"/>
        <v>-1.380700430147737</v>
      </c>
      <c r="D2042">
        <f ca="1"/>
        <v>1.7009991796106312</v>
      </c>
      <c r="E2042">
        <f ca="1"/>
        <v>0.10135147065884836</v>
      </c>
      <c r="G2042">
        <f ca="1"/>
        <v>4.8100040074508978</v>
      </c>
    </row>
    <row r="2043" spans="3:7">
      <c r="C2043">
        <f ca="1"/>
        <v>1.1146171323130496</v>
      </c>
      <c r="D2043">
        <f ca="1"/>
        <v>-6.9979247082628038E-2</v>
      </c>
      <c r="E2043">
        <f ca="1"/>
        <v>1.6653509113236318</v>
      </c>
      <c r="G2043">
        <f ca="1"/>
        <v>4.0206621045144688</v>
      </c>
    </row>
    <row r="2044" spans="3:7">
      <c r="C2044">
        <f ca="1"/>
        <v>-0.31801480720998038</v>
      </c>
      <c r="D2044">
        <f ca="1"/>
        <v>1.0061169059477448</v>
      </c>
      <c r="E2044">
        <f ca="1"/>
        <v>1.0668438300934568</v>
      </c>
      <c r="G2044">
        <f ca="1"/>
        <v>2.2515604038471411</v>
      </c>
    </row>
    <row r="2045" spans="3:7">
      <c r="C2045">
        <f ca="1"/>
        <v>-0.51328183695966434</v>
      </c>
      <c r="D2045">
        <f ca="1"/>
        <v>1.4289063822617853</v>
      </c>
      <c r="E2045">
        <f ca="1"/>
        <v>1.0792126478408381</v>
      </c>
      <c r="G2045">
        <f ca="1"/>
        <v>3.4699316326807836</v>
      </c>
    </row>
    <row r="2046" spans="3:7">
      <c r="C2046">
        <f ca="1"/>
        <v>-1.4474809521181027</v>
      </c>
      <c r="D2046">
        <f ca="1"/>
        <v>-1.2800875083754222</v>
      </c>
      <c r="E2046">
        <f ca="1"/>
        <v>1.0085733412583986</v>
      </c>
      <c r="G2046">
        <f ca="1"/>
        <v>4.7510453205406549</v>
      </c>
    </row>
    <row r="2047" spans="3:7">
      <c r="C2047">
        <f ca="1"/>
        <v>-1.0978682220264433</v>
      </c>
      <c r="D2047">
        <f ca="1"/>
        <v>0.49664748063339337</v>
      </c>
      <c r="E2047">
        <f ca="1"/>
        <v>0.95611560028362197</v>
      </c>
      <c r="G2047">
        <f ca="1"/>
        <v>2.3661303940607112</v>
      </c>
    </row>
    <row r="2048" spans="3:7">
      <c r="C2048">
        <f ca="1"/>
        <v>-0.99821196415914382</v>
      </c>
      <c r="D2048">
        <f ca="1"/>
        <v>-0.38137891759028053</v>
      </c>
      <c r="E2048">
        <f ca="1"/>
        <v>1.2428613299451103</v>
      </c>
      <c r="G2048">
        <f ca="1"/>
        <v>2.6865812896457184</v>
      </c>
    </row>
    <row r="2049" spans="3:7">
      <c r="C2049">
        <f ca="1"/>
        <v>0.25286651437140789</v>
      </c>
      <c r="D2049">
        <f ca="1"/>
        <v>-5.2981461438865882E-2</v>
      </c>
      <c r="E2049">
        <f ca="1"/>
        <v>-6.9319483050312158E-2</v>
      </c>
      <c r="G2049">
        <f ca="1"/>
        <v>7.1553700076905979E-2</v>
      </c>
    </row>
    <row r="2050" spans="3:7">
      <c r="C2050">
        <f ca="1"/>
        <v>-5.8357878637643502E-2</v>
      </c>
      <c r="D2050">
        <f ca="1"/>
        <v>0.35174973649252939</v>
      </c>
      <c r="E2050">
        <f ca="1"/>
        <v>1.2314420026084798</v>
      </c>
      <c r="G2050">
        <f ca="1"/>
        <v>1.6435829249100331</v>
      </c>
    </row>
    <row r="2051" spans="3:7">
      <c r="C2051">
        <f ca="1"/>
        <v>2.1011855752770638</v>
      </c>
      <c r="D2051">
        <f ca="1"/>
        <v>-6.6181485738492515E-2</v>
      </c>
      <c r="E2051">
        <f ca="1"/>
        <v>1.3892106493832899</v>
      </c>
      <c r="G2051">
        <f ca="1"/>
        <v>6.3492670391669019</v>
      </c>
    </row>
    <row r="2052" spans="3:7">
      <c r="C2052">
        <f ca="1"/>
        <v>-1.3139990333420828</v>
      </c>
      <c r="D2052">
        <f ca="1"/>
        <v>1.4473119723240913</v>
      </c>
      <c r="E2052">
        <f ca="1"/>
        <v>-0.19139532891547947</v>
      </c>
      <c r="G2052">
        <f ca="1"/>
        <v>3.8579375767872435</v>
      </c>
    </row>
    <row r="2053" spans="3:7">
      <c r="C2053">
        <f ca="1"/>
        <v>0.84317733596877431</v>
      </c>
      <c r="D2053">
        <f ca="1"/>
        <v>-0.23298796921360915</v>
      </c>
      <c r="E2053">
        <f ca="1"/>
        <v>-1.212708063707078</v>
      </c>
      <c r="G2053">
        <f ca="1"/>
        <v>2.2358922614698513</v>
      </c>
    </row>
    <row r="2054" spans="3:7">
      <c r="C2054">
        <f ca="1"/>
        <v>-2.14458059034457</v>
      </c>
      <c r="D2054">
        <f ca="1"/>
        <v>0.3469634888063568</v>
      </c>
      <c r="E2054">
        <f ca="1"/>
        <v>-0.28517212433041661</v>
      </c>
      <c r="G2054">
        <f ca="1"/>
        <v>4.8009327115424663</v>
      </c>
    </row>
    <row r="2055" spans="3:7">
      <c r="C2055">
        <f ca="1"/>
        <v>-0.38793597575282102</v>
      </c>
      <c r="D2055">
        <f ca="1"/>
        <v>-0.26761503398553077</v>
      </c>
      <c r="E2055">
        <f ca="1"/>
        <v>0.64497636102120925</v>
      </c>
      <c r="G2055">
        <f ca="1"/>
        <v>0.63810663397453138</v>
      </c>
    </row>
    <row r="2056" spans="3:7">
      <c r="C2056">
        <f ca="1"/>
        <v>0.43639276706182356</v>
      </c>
      <c r="D2056">
        <f ca="1"/>
        <v>-0.6727719886352741</v>
      </c>
      <c r="E2056">
        <f ca="1"/>
        <v>-0.94332787372487581</v>
      </c>
      <c r="G2056">
        <f ca="1"/>
        <v>1.5329282731824316</v>
      </c>
    </row>
    <row r="2057" spans="3:7">
      <c r="C2057">
        <f ca="1"/>
        <v>1.4139032762838977</v>
      </c>
      <c r="D2057">
        <f ca="1"/>
        <v>1.5263768067867827</v>
      </c>
      <c r="E2057">
        <f ca="1"/>
        <v>-1.2495327878444029</v>
      </c>
      <c r="G2057">
        <f ca="1"/>
        <v>5.8902808188811608</v>
      </c>
    </row>
    <row r="2058" spans="3:7">
      <c r="C2058">
        <f ca="1"/>
        <v>8.8917715305465606E-2</v>
      </c>
      <c r="D2058">
        <f ca="1"/>
        <v>-0.33094357596797414</v>
      </c>
      <c r="E2058">
        <f ca="1"/>
        <v>-1.7147249181603716</v>
      </c>
      <c r="G2058">
        <f ca="1"/>
        <v>3.0577115555297074</v>
      </c>
    </row>
    <row r="2059" spans="3:7">
      <c r="C2059">
        <f ca="1"/>
        <v>-2.1838944212524467</v>
      </c>
      <c r="D2059">
        <f ca="1"/>
        <v>-0.70665235208033661</v>
      </c>
      <c r="E2059">
        <f ca="1"/>
        <v>0.17892595818644308</v>
      </c>
      <c r="G2059">
        <f ca="1"/>
        <v>5.3007668883911681</v>
      </c>
    </row>
    <row r="2060" spans="3:7">
      <c r="C2060">
        <f ca="1"/>
        <v>-7.3213892663073474E-2</v>
      </c>
      <c r="D2060">
        <f ca="1"/>
        <v>0.72800137080380467</v>
      </c>
      <c r="E2060">
        <f ca="1"/>
        <v>-0.44382203326071834</v>
      </c>
      <c r="G2060">
        <f ca="1"/>
        <v>0.73232426717877697</v>
      </c>
    </row>
    <row r="2061" spans="3:7">
      <c r="C2061">
        <f ca="1"/>
        <v>2.0182634935346364</v>
      </c>
      <c r="D2061">
        <f ca="1"/>
        <v>1.4103085518327614</v>
      </c>
      <c r="E2061">
        <f ca="1"/>
        <v>0.34439623375079181</v>
      </c>
      <c r="G2061">
        <f ca="1"/>
        <v>6.1809665065289856</v>
      </c>
    </row>
    <row r="2062" spans="3:7">
      <c r="C2062">
        <f ca="1"/>
        <v>-2.4985884086400141</v>
      </c>
      <c r="D2062">
        <f ca="1"/>
        <v>1.8620494333497366</v>
      </c>
      <c r="E2062">
        <f ca="1"/>
        <v>-2.1237476750665176</v>
      </c>
      <c r="G2062">
        <f ca="1"/>
        <v>14.220476315378752</v>
      </c>
    </row>
    <row r="2063" spans="3:7">
      <c r="C2063">
        <f ca="1"/>
        <v>-0.86388174490062564</v>
      </c>
      <c r="D2063">
        <f ca="1"/>
        <v>-0.27965984697456553</v>
      </c>
      <c r="E2063">
        <f ca="1"/>
        <v>-1.1132355366157283</v>
      </c>
      <c r="G2063">
        <f ca="1"/>
        <v>2.0637946591664953</v>
      </c>
    </row>
    <row r="2064" spans="3:7">
      <c r="C2064">
        <f ca="1"/>
        <v>2.6335725262714758</v>
      </c>
      <c r="D2064">
        <f ca="1"/>
        <v>1.5970033749091912</v>
      </c>
      <c r="E2064">
        <f ca="1"/>
        <v>1.227844173337145</v>
      </c>
      <c r="G2064">
        <f ca="1"/>
        <v>10.993725344601247</v>
      </c>
    </row>
    <row r="2065" spans="3:7">
      <c r="C2065">
        <f ca="1"/>
        <v>0.67571856608760794</v>
      </c>
      <c r="D2065">
        <f ca="1"/>
        <v>-1.3654654621211371</v>
      </c>
      <c r="E2065">
        <f ca="1"/>
        <v>1.0407989194443918</v>
      </c>
      <c r="G2065">
        <f ca="1"/>
        <v>3.4043538995177971</v>
      </c>
    </row>
    <row r="2066" spans="3:7">
      <c r="C2066">
        <f ca="1"/>
        <v>1.3838608752627364</v>
      </c>
      <c r="D2066">
        <f ca="1"/>
        <v>2.6430810040114173E-3</v>
      </c>
      <c r="E2066">
        <f ca="1"/>
        <v>0.36098363123433092</v>
      </c>
      <c r="G2066">
        <f ca="1"/>
        <v>2.0453870899792639</v>
      </c>
    </row>
    <row r="2067" spans="3:7">
      <c r="C2067">
        <f ca="1"/>
        <v>0.43273920976299401</v>
      </c>
      <c r="D2067">
        <f ca="1"/>
        <v>0.3937443535504051</v>
      </c>
      <c r="E2067">
        <f ca="1"/>
        <v>0.94228658815638278</v>
      </c>
      <c r="G2067">
        <f ca="1"/>
        <v>1.2302018538385235</v>
      </c>
    </row>
    <row r="2068" spans="3:7">
      <c r="C2068">
        <f ca="1"/>
        <v>-0.49003470507324492</v>
      </c>
      <c r="D2068">
        <f ca="1"/>
        <v>0.33381340464176595</v>
      </c>
      <c r="E2068">
        <f ca="1"/>
        <v>-0.36002987291280147</v>
      </c>
      <c r="G2068">
        <f ca="1"/>
        <v>0.48118691068435748</v>
      </c>
    </row>
    <row r="2069" spans="3:7">
      <c r="C2069">
        <f ca="1"/>
        <v>1.8783496504170405</v>
      </c>
      <c r="D2069">
        <f ca="1"/>
        <v>-0.25782785870731756</v>
      </c>
      <c r="E2069">
        <f ca="1"/>
        <v>-0.73225377040147432</v>
      </c>
      <c r="G2069">
        <f ca="1"/>
        <v>4.1308681982145936</v>
      </c>
    </row>
    <row r="2070" spans="3:7">
      <c r="C2070">
        <f ca="1"/>
        <v>0.4506640770504336</v>
      </c>
      <c r="D2070">
        <f ca="1"/>
        <v>0.85029806347214909</v>
      </c>
      <c r="E2070">
        <f ca="1"/>
        <v>-1.4062921648966349</v>
      </c>
      <c r="G2070">
        <f ca="1"/>
        <v>2.9037625601378703</v>
      </c>
    </row>
    <row r="2071" spans="3:7">
      <c r="C2071">
        <f ca="1"/>
        <v>0.37739124527922735</v>
      </c>
      <c r="D2071">
        <f ca="1"/>
        <v>8.4829682630396294E-2</v>
      </c>
      <c r="E2071">
        <f ca="1"/>
        <v>0.23723180572827646</v>
      </c>
      <c r="G2071">
        <f ca="1"/>
        <v>0.20589915671767839</v>
      </c>
    </row>
    <row r="2072" spans="3:7">
      <c r="C2072">
        <f ca="1"/>
        <v>1.8009921315059427</v>
      </c>
      <c r="D2072">
        <f ca="1"/>
        <v>0.1761831346294116</v>
      </c>
      <c r="E2072">
        <f ca="1"/>
        <v>-0.56705451994292155</v>
      </c>
      <c r="G2072">
        <f ca="1"/>
        <v>3.5961639832618619</v>
      </c>
    </row>
    <row r="2073" spans="3:7">
      <c r="C2073">
        <f ca="1"/>
        <v>0.71405049097092332</v>
      </c>
      <c r="D2073">
        <f ca="1"/>
        <v>0.11562777913769226</v>
      </c>
      <c r="E2073">
        <f ca="1"/>
        <v>0.34121878070675721</v>
      </c>
      <c r="G2073">
        <f ca="1"/>
        <v>0.63966814327113775</v>
      </c>
    </row>
    <row r="2074" spans="3:7">
      <c r="C2074">
        <f ca="1"/>
        <v>1.2924499916854644</v>
      </c>
      <c r="D2074">
        <f ca="1"/>
        <v>-0.90978217490932012</v>
      </c>
      <c r="E2074">
        <f ca="1"/>
        <v>-1.2533742549607323</v>
      </c>
      <c r="G2074">
        <f ca="1"/>
        <v>4.0690776097888604</v>
      </c>
    </row>
    <row r="2075" spans="3:7">
      <c r="C2075">
        <f ca="1"/>
        <v>1.8728587196279438</v>
      </c>
      <c r="D2075">
        <f ca="1"/>
        <v>-0.43957029210181298</v>
      </c>
      <c r="E2075">
        <f ca="1"/>
        <v>-1.3599369746718106</v>
      </c>
      <c r="G2075">
        <f ca="1"/>
        <v>5.5502504004644111</v>
      </c>
    </row>
    <row r="2076" spans="3:7">
      <c r="C2076">
        <f ca="1"/>
        <v>8.4511311624250712E-2</v>
      </c>
      <c r="D2076">
        <f ca="1"/>
        <v>3.8224179252107811E-2</v>
      </c>
      <c r="E2076">
        <f ca="1"/>
        <v>0.12632561575253165</v>
      </c>
      <c r="G2076">
        <f ca="1"/>
        <v>2.4561410867204755E-2</v>
      </c>
    </row>
    <row r="2077" spans="3:7">
      <c r="C2077">
        <f ca="1"/>
        <v>1.0938910480743573</v>
      </c>
      <c r="D2077">
        <f ca="1"/>
        <v>-0.38231068558964759</v>
      </c>
      <c r="E2077">
        <f ca="1"/>
        <v>-1.3883169984024575</v>
      </c>
      <c r="G2077">
        <f ca="1"/>
        <v>3.2701831734264513</v>
      </c>
    </row>
    <row r="2078" spans="3:7">
      <c r="C2078">
        <f ca="1"/>
        <v>0.72113899181779106</v>
      </c>
      <c r="D2078">
        <f ca="1"/>
        <v>2.8249059038050126E-2</v>
      </c>
      <c r="E2078">
        <f ca="1"/>
        <v>-5.6950749878100192E-2</v>
      </c>
      <c r="G2078">
        <f ca="1"/>
        <v>0.52408284276819328</v>
      </c>
    </row>
    <row r="2079" spans="3:7">
      <c r="C2079">
        <f ca="1"/>
        <v>1.5510003121548499</v>
      </c>
      <c r="D2079">
        <f ca="1"/>
        <v>-0.53923091214562258</v>
      </c>
      <c r="E2079">
        <f ca="1"/>
        <v>0.59420738238605764</v>
      </c>
      <c r="G2079">
        <f ca="1"/>
        <v>3.0494543581999323</v>
      </c>
    </row>
    <row r="2080" spans="3:7">
      <c r="C2080">
        <f ca="1"/>
        <v>-0.36178974837933725</v>
      </c>
      <c r="D2080">
        <f ca="1"/>
        <v>1.1019154470577432</v>
      </c>
      <c r="E2080">
        <f ca="1"/>
        <v>-1.3136881734146897</v>
      </c>
      <c r="G2080">
        <f ca="1"/>
        <v>3.0708860914664742</v>
      </c>
    </row>
    <row r="2081" spans="3:7">
      <c r="C2081">
        <f ca="1"/>
        <v>0.68832299625936066</v>
      </c>
      <c r="D2081">
        <f ca="1"/>
        <v>0.36667301707626865</v>
      </c>
      <c r="E2081">
        <f ca="1"/>
        <v>1.5967620855276625</v>
      </c>
      <c r="G2081">
        <f ca="1"/>
        <v>3.1578868064099277</v>
      </c>
    </row>
    <row r="2082" spans="3:7">
      <c r="C2082">
        <f ca="1"/>
        <v>1.7586769605445314</v>
      </c>
      <c r="D2082">
        <f ca="1"/>
        <v>-0.53465729457496247</v>
      </c>
      <c r="E2082">
        <f ca="1"/>
        <v>-1.2113877522292749</v>
      </c>
      <c r="G2082">
        <f ca="1"/>
        <v>4.8462633604434648</v>
      </c>
    </row>
    <row r="2083" spans="3:7">
      <c r="C2083">
        <f ca="1"/>
        <v>1.3710864873550495</v>
      </c>
      <c r="D2083">
        <f ca="1"/>
        <v>0.12763690123749133</v>
      </c>
      <c r="E2083">
        <f ca="1"/>
        <v>-2.0599080517429922</v>
      </c>
      <c r="G2083">
        <f ca="1"/>
        <v>6.1393905160007272</v>
      </c>
    </row>
    <row r="2084" spans="3:7">
      <c r="C2084">
        <f ca="1"/>
        <v>-0.33234060280240085</v>
      </c>
      <c r="D2084">
        <f ca="1"/>
        <v>-1.1607889119013721</v>
      </c>
      <c r="E2084">
        <f ca="1"/>
        <v>0.4540472972546975</v>
      </c>
      <c r="G2084">
        <f ca="1"/>
        <v>1.6640401224085302</v>
      </c>
    </row>
    <row r="2085" spans="3:7">
      <c r="C2085">
        <f ca="1"/>
        <v>-0.22666705008316387</v>
      </c>
      <c r="D2085">
        <f ca="1"/>
        <v>-0.49925351734311546</v>
      </c>
      <c r="E2085">
        <f ca="1"/>
        <v>-1.5472887849490455</v>
      </c>
      <c r="G2085">
        <f ca="1"/>
        <v>2.6947346102019698</v>
      </c>
    </row>
    <row r="2086" spans="3:7">
      <c r="C2086">
        <f ca="1"/>
        <v>-1.3391989616166247</v>
      </c>
      <c r="D2086">
        <f ca="1"/>
        <v>0.36817778994235634</v>
      </c>
      <c r="E2086">
        <f ca="1"/>
        <v>-8.1279625160107824E-2</v>
      </c>
      <c r="G2086">
        <f ca="1"/>
        <v>1.9356151212680512</v>
      </c>
    </row>
    <row r="2087" spans="3:7">
      <c r="C2087">
        <f ca="1"/>
        <v>0.36188620406937222</v>
      </c>
      <c r="D2087">
        <f ca="1"/>
        <v>-0.69213604871102619</v>
      </c>
      <c r="E2087">
        <f ca="1"/>
        <v>0.1762869134632056</v>
      </c>
      <c r="G2087">
        <f ca="1"/>
        <v>0.64109101047943506</v>
      </c>
    </row>
    <row r="2088" spans="3:7">
      <c r="C2088">
        <f ca="1"/>
        <v>-0.81919240449959907</v>
      </c>
      <c r="D2088">
        <f ca="1"/>
        <v>-0.47177029152648919</v>
      </c>
      <c r="E2088">
        <f ca="1"/>
        <v>0.65684776892332597</v>
      </c>
      <c r="G2088">
        <f ca="1"/>
        <v>1.3250923950963744</v>
      </c>
    </row>
    <row r="2089" spans="3:7">
      <c r="C2089">
        <f ca="1"/>
        <v>-0.38961187603182834</v>
      </c>
      <c r="D2089">
        <f ca="1"/>
        <v>-0.23357475742547537</v>
      </c>
      <c r="E2089">
        <f ca="1"/>
        <v>-0.44944539573348097</v>
      </c>
      <c r="G2089">
        <f ca="1"/>
        <v>0.40835574499743577</v>
      </c>
    </row>
    <row r="2090" spans="3:7">
      <c r="C2090">
        <f ca="1"/>
        <v>1.4787495251641232</v>
      </c>
      <c r="D2090">
        <f ca="1"/>
        <v>-2.2874556433890323</v>
      </c>
      <c r="E2090">
        <f ca="1"/>
        <v>-1.7686957614399554</v>
      </c>
      <c r="G2090">
        <f ca="1"/>
        <v>10.547438175181115</v>
      </c>
    </row>
    <row r="2091" spans="3:7">
      <c r="C2091">
        <f ca="1"/>
        <v>-1.619626041047147</v>
      </c>
      <c r="D2091">
        <f ca="1"/>
        <v>0.18541467360343414</v>
      </c>
      <c r="E2091">
        <f ca="1"/>
        <v>-0.18270779595345482</v>
      </c>
      <c r="G2091">
        <f ca="1"/>
        <v>2.6909492527276924</v>
      </c>
    </row>
    <row r="2092" spans="3:7">
      <c r="C2092">
        <f ca="1"/>
        <v>-0.45102818818923501</v>
      </c>
      <c r="D2092">
        <f ca="1"/>
        <v>-0.76357130317357091</v>
      </c>
      <c r="E2092">
        <f ca="1"/>
        <v>-1.0464645239511907</v>
      </c>
      <c r="G2092">
        <f ca="1"/>
        <v>1.8815555614598416</v>
      </c>
    </row>
    <row r="2093" spans="3:7">
      <c r="C2093">
        <f ca="1"/>
        <v>3.6644287641227509</v>
      </c>
      <c r="D2093">
        <f ca="1"/>
        <v>-4.9201402283620944E-2</v>
      </c>
      <c r="E2093">
        <f ca="1"/>
        <v>1.0480625083122694</v>
      </c>
      <c r="G2093">
        <f ca="1"/>
        <v>14.528893966646672</v>
      </c>
    </row>
    <row r="2094" spans="3:7">
      <c r="C2094">
        <f ca="1"/>
        <v>1.3957321007713814</v>
      </c>
      <c r="D2094">
        <f ca="1"/>
        <v>0.73026068367604846</v>
      </c>
      <c r="E2094">
        <f ca="1"/>
        <v>-0.9070604443921374</v>
      </c>
      <c r="G2094">
        <f ca="1"/>
        <v>3.3041074130275652</v>
      </c>
    </row>
    <row r="2095" spans="3:7">
      <c r="C2095">
        <f ca="1"/>
        <v>1.279707386437821</v>
      </c>
      <c r="D2095">
        <f ca="1"/>
        <v>-1.7849081329326415</v>
      </c>
      <c r="E2095">
        <f ca="1"/>
        <v>-1.037543391195062</v>
      </c>
      <c r="G2095">
        <f ca="1"/>
        <v>5.9000443265251565</v>
      </c>
    </row>
    <row r="2096" spans="3:7">
      <c r="C2096">
        <f ca="1"/>
        <v>-0.40915091939617637</v>
      </c>
      <c r="D2096">
        <f ca="1"/>
        <v>0.65914740949955419</v>
      </c>
      <c r="E2096">
        <f ca="1"/>
        <v>2.2326849405362754</v>
      </c>
      <c r="G2096">
        <f ca="1"/>
        <v>5.5867618259901812</v>
      </c>
    </row>
    <row r="2097" spans="3:7">
      <c r="C2097">
        <f ca="1"/>
        <v>-1.5257710123009862</v>
      </c>
      <c r="D2097">
        <f ca="1"/>
        <v>-0.10018267870873893</v>
      </c>
      <c r="E2097">
        <f ca="1"/>
        <v>-0.34487538279492158</v>
      </c>
      <c r="G2097">
        <f ca="1"/>
        <v>2.4569527807491784</v>
      </c>
    </row>
    <row r="2098" spans="3:7">
      <c r="C2098">
        <f ca="1"/>
        <v>-0.44930761723287915</v>
      </c>
      <c r="D2098">
        <f ca="1"/>
        <v>-0.13434299682410117</v>
      </c>
      <c r="E2098">
        <f ca="1"/>
        <v>-1.5026732741892301</v>
      </c>
      <c r="G2098">
        <f ca="1"/>
        <v>2.4779523446617491</v>
      </c>
    </row>
    <row r="2099" spans="3:7">
      <c r="C2099">
        <f ca="1"/>
        <v>-0.26857002679753489</v>
      </c>
      <c r="D2099">
        <f ca="1"/>
        <v>1.8548462586954719</v>
      </c>
      <c r="E2099">
        <f ca="1"/>
        <v>1.1248292703816642</v>
      </c>
      <c r="G2099">
        <f ca="1"/>
        <v>4.7778253901979655</v>
      </c>
    </row>
    <row r="2100" spans="3:7">
      <c r="C2100">
        <f ca="1"/>
        <v>-0.62101129737072358</v>
      </c>
      <c r="D2100">
        <f ca="1"/>
        <v>-1.7141479612282713</v>
      </c>
      <c r="E2100">
        <f ca="1"/>
        <v>-1.3259862032213143</v>
      </c>
      <c r="G2100">
        <f ca="1"/>
        <v>5.0821976755783851</v>
      </c>
    </row>
    <row r="2101" spans="3:7">
      <c r="C2101">
        <f ca="1"/>
        <v>-0.62579889012496903</v>
      </c>
      <c r="D2101">
        <f ca="1"/>
        <v>0.37462688424302693</v>
      </c>
      <c r="E2101">
        <f ca="1"/>
        <v>0.33229602965624055</v>
      </c>
      <c r="G2101">
        <f ca="1"/>
        <v>0.6423902046045824</v>
      </c>
    </row>
    <row r="2102" spans="3:7">
      <c r="C2102">
        <f ca="1"/>
        <v>0.47188863321963465</v>
      </c>
      <c r="D2102">
        <f ca="1"/>
        <v>-1.6727446605427891</v>
      </c>
      <c r="E2102">
        <f ca="1"/>
        <v>0.42088490988948307</v>
      </c>
      <c r="G2102">
        <f ca="1"/>
        <v>3.1978976889089843</v>
      </c>
    </row>
    <row r="2103" spans="3:7">
      <c r="C2103">
        <f ca="1"/>
        <v>0.64529744276347456</v>
      </c>
      <c r="D2103">
        <f ca="1"/>
        <v>0.2887842337836089</v>
      </c>
      <c r="E2103">
        <f ca="1"/>
        <v>-0.10337062002488441</v>
      </c>
      <c r="G2103">
        <f ca="1"/>
        <v>0.51049060840339477</v>
      </c>
    </row>
    <row r="2104" spans="3:7">
      <c r="C2104">
        <f ca="1"/>
        <v>0.61230826423934814</v>
      </c>
      <c r="D2104">
        <f ca="1"/>
        <v>-0.46942787171404354</v>
      </c>
      <c r="E2104">
        <f ca="1"/>
        <v>-1.6420393714498143</v>
      </c>
      <c r="G2104">
        <f ca="1"/>
        <v>3.2915772345890812</v>
      </c>
    </row>
    <row r="2105" spans="3:7">
      <c r="C2105">
        <f ca="1"/>
        <v>-0.42621545848478931</v>
      </c>
      <c r="D2105">
        <f ca="1"/>
        <v>0.16294577309394637</v>
      </c>
      <c r="E2105">
        <f ca="1"/>
        <v>-0.58268323768805441</v>
      </c>
      <c r="G2105">
        <f ca="1"/>
        <v>0.54773069750321668</v>
      </c>
    </row>
    <row r="2106" spans="3:7">
      <c r="C2106">
        <f ca="1"/>
        <v>-0.50895835601587847</v>
      </c>
      <c r="D2106">
        <f ca="1"/>
        <v>0.9955769539900241</v>
      </c>
      <c r="E2106">
        <f ca="1"/>
        <v>1.0516240835815447</v>
      </c>
      <c r="G2106">
        <f ca="1"/>
        <v>2.3561252926431639</v>
      </c>
    </row>
    <row r="2107" spans="3:7">
      <c r="C2107">
        <f ca="1"/>
        <v>0.95348044902501905</v>
      </c>
      <c r="D2107">
        <f ca="1"/>
        <v>-0.92006195746993036</v>
      </c>
      <c r="E2107">
        <f ca="1"/>
        <v>1.144441124606868</v>
      </c>
      <c r="G2107">
        <f ca="1"/>
        <v>3.0653844599477846</v>
      </c>
    </row>
    <row r="2108" spans="3:7">
      <c r="C2108">
        <f ca="1"/>
        <v>0.59807930402192189</v>
      </c>
      <c r="D2108">
        <f ca="1"/>
        <v>0.37037919807160952</v>
      </c>
      <c r="E2108">
        <f ca="1"/>
        <v>-1.398883646033517</v>
      </c>
      <c r="G2108">
        <f ca="1"/>
        <v>2.4517550594035411</v>
      </c>
    </row>
    <row r="2109" spans="3:7">
      <c r="C2109">
        <f ca="1"/>
        <v>-1.4016120845905151</v>
      </c>
      <c r="D2109">
        <f ca="1"/>
        <v>0.68971832230049568</v>
      </c>
      <c r="E2109">
        <f ca="1"/>
        <v>-1.1639000722004214</v>
      </c>
      <c r="G2109">
        <f ca="1"/>
        <v>3.7948911778553258</v>
      </c>
    </row>
    <row r="2110" spans="3:7">
      <c r="C2110">
        <f ca="1"/>
        <v>-0.71404205646604313</v>
      </c>
      <c r="D2110">
        <f ca="1"/>
        <v>0.57943292040468697</v>
      </c>
      <c r="E2110">
        <f ca="1"/>
        <v>-0.89699091952563537</v>
      </c>
      <c r="G2110">
        <f ca="1"/>
        <v>1.650191277362405</v>
      </c>
    </row>
    <row r="2111" spans="3:7">
      <c r="C2111">
        <f ca="1"/>
        <v>1.0970626671461361</v>
      </c>
      <c r="D2111">
        <f ca="1"/>
        <v>-0.4064114483942019</v>
      </c>
      <c r="E2111">
        <f ca="1"/>
        <v>-0.67272543052360456</v>
      </c>
      <c r="G2111">
        <f ca="1"/>
        <v>1.821276265904836</v>
      </c>
    </row>
    <row r="2112" spans="3:7">
      <c r="C2112">
        <f ca="1"/>
        <v>0.48532463024026518</v>
      </c>
      <c r="D2112">
        <f ca="1"/>
        <v>-0.92129126151455643</v>
      </c>
      <c r="E2112">
        <f ca="1"/>
        <v>-0.38272652261601886</v>
      </c>
      <c r="G2112">
        <f ca="1"/>
        <v>1.230797176374683</v>
      </c>
    </row>
    <row r="2113" spans="3:7">
      <c r="C2113">
        <f ca="1"/>
        <v>-1.246249237772687</v>
      </c>
      <c r="D2113">
        <f ca="1"/>
        <v>0.48762456904697621</v>
      </c>
      <c r="E2113">
        <f ca="1"/>
        <v>5.791647312114076E-2</v>
      </c>
      <c r="G2113">
        <f ca="1"/>
        <v>1.7942692008460444</v>
      </c>
    </row>
    <row r="2114" spans="3:7">
      <c r="C2114">
        <f ca="1"/>
        <v>0.33451371260796969</v>
      </c>
      <c r="D2114">
        <f ca="1"/>
        <v>0.2841578517004284</v>
      </c>
      <c r="E2114">
        <f ca="1"/>
        <v>1.0870339723134599</v>
      </c>
      <c r="G2114">
        <f ca="1"/>
        <v>1.3742879655693501</v>
      </c>
    </row>
    <row r="2115" spans="3:7">
      <c r="C2115">
        <f ca="1"/>
        <v>-1.0174023524018674</v>
      </c>
      <c r="D2115">
        <f ca="1"/>
        <v>-1.9569209265039598</v>
      </c>
      <c r="E2115">
        <f ca="1"/>
        <v>0.81562527714766697</v>
      </c>
      <c r="G2115">
        <f ca="1"/>
        <v>5.5298916519841788</v>
      </c>
    </row>
    <row r="2116" spans="3:7">
      <c r="C2116">
        <f ca="1"/>
        <v>-0.34185822365034596</v>
      </c>
      <c r="D2116">
        <f ca="1"/>
        <v>-0.87168268556887674</v>
      </c>
      <c r="E2116">
        <f ca="1"/>
        <v>-0.31437450887265428</v>
      </c>
      <c r="G2116">
        <f ca="1"/>
        <v>0.97552908122686177</v>
      </c>
    </row>
    <row r="2117" spans="3:7">
      <c r="C2117">
        <f ca="1"/>
        <v>-0.40810675172948085</v>
      </c>
      <c r="D2117">
        <f ca="1"/>
        <v>-7.3395004757014816E-4</v>
      </c>
      <c r="E2117">
        <f ca="1"/>
        <v>0.41760241751574145</v>
      </c>
      <c r="G2117">
        <f ca="1"/>
        <v>0.3409434386048521</v>
      </c>
    </row>
    <row r="2118" spans="3:7">
      <c r="C2118">
        <f ca="1"/>
        <v>2.1781818769845462</v>
      </c>
      <c r="D2118">
        <f ca="1"/>
        <v>-0.45508983748686638</v>
      </c>
      <c r="E2118">
        <f ca="1"/>
        <v>-0.15613385725971515</v>
      </c>
      <c r="G2118">
        <f ca="1"/>
        <v>4.9759608307905401</v>
      </c>
    </row>
    <row r="2119" spans="3:7">
      <c r="C2119">
        <f ca="1"/>
        <v>-1.0681072479004405</v>
      </c>
      <c r="D2119">
        <f ca="1"/>
        <v>0.35816727036718321</v>
      </c>
      <c r="E2119">
        <f ca="1"/>
        <v>-5.9732585611024965E-2</v>
      </c>
      <c r="G2119">
        <f ca="1"/>
        <v>1.2727048683635105</v>
      </c>
    </row>
    <row r="2120" spans="3:7">
      <c r="C2120">
        <f ca="1"/>
        <v>-7.8971824589454467E-2</v>
      </c>
      <c r="D2120">
        <f ca="1"/>
        <v>0.74329147795367845</v>
      </c>
      <c r="E2120">
        <f ca="1"/>
        <v>-0.12695041242587737</v>
      </c>
      <c r="G2120">
        <f ca="1"/>
        <v>0.57483517749265145</v>
      </c>
    </row>
    <row r="2121" spans="3:7">
      <c r="C2121">
        <f ca="1"/>
        <v>-0.17676413782869285</v>
      </c>
      <c r="D2121">
        <f ca="1"/>
        <v>1.4354520902191976</v>
      </c>
      <c r="E2121">
        <f ca="1"/>
        <v>-0.16676592883808697</v>
      </c>
      <c r="G2121">
        <f ca="1"/>
        <v>2.1195791387582146</v>
      </c>
    </row>
    <row r="2122" spans="3:7">
      <c r="C2122">
        <f ca="1"/>
        <v>-0.82687980800764893</v>
      </c>
      <c r="D2122">
        <f ca="1"/>
        <v>0.81136218419988526</v>
      </c>
      <c r="E2122">
        <f ca="1"/>
        <v>-1.395215048550692</v>
      </c>
      <c r="G2122">
        <f ca="1"/>
        <v>3.2886638425426851</v>
      </c>
    </row>
    <row r="2123" spans="3:7">
      <c r="C2123">
        <f ca="1"/>
        <v>0.11742428675549774</v>
      </c>
      <c r="D2123">
        <f ca="1"/>
        <v>-1.6669280549633794</v>
      </c>
      <c r="E2123">
        <f ca="1"/>
        <v>-4.5793258146538202E-2</v>
      </c>
      <c r="G2123">
        <f ca="1"/>
        <v>2.7945346260357082</v>
      </c>
    </row>
    <row r="2124" spans="3:7">
      <c r="C2124">
        <f ca="1"/>
        <v>0.54277170329760782</v>
      </c>
      <c r="D2124">
        <f ca="1"/>
        <v>-2.0399925980667919</v>
      </c>
      <c r="E2124">
        <f ca="1"/>
        <v>-0.49578784661816833</v>
      </c>
      <c r="G2124">
        <f ca="1"/>
        <v>4.701976510922167</v>
      </c>
    </row>
    <row r="2125" spans="3:7">
      <c r="C2125">
        <f ca="1"/>
        <v>0.35822566064478878</v>
      </c>
      <c r="D2125">
        <f ca="1"/>
        <v>2.4833455165269673</v>
      </c>
      <c r="E2125">
        <f ca="1"/>
        <v>0.68146835820905327</v>
      </c>
      <c r="G2125">
        <f ca="1"/>
        <v>6.7597297016391282</v>
      </c>
    </row>
    <row r="2126" spans="3:7">
      <c r="C2126">
        <f ca="1"/>
        <v>-2.6923510096458139</v>
      </c>
      <c r="D2126">
        <f ca="1"/>
        <v>-1.6698371278524931</v>
      </c>
      <c r="E2126">
        <f ca="1"/>
        <v>1.3091991365398525</v>
      </c>
      <c r="G2126">
        <f ca="1"/>
        <v>11.751112371812193</v>
      </c>
    </row>
    <row r="2127" spans="3:7">
      <c r="C2127">
        <f ca="1"/>
        <v>0.17228651758259844</v>
      </c>
      <c r="D2127">
        <f ca="1"/>
        <v>-0.66648156986523832</v>
      </c>
      <c r="E2127">
        <f ca="1"/>
        <v>-1.0363640026465477</v>
      </c>
      <c r="G2127">
        <f ca="1"/>
        <v>1.547930673092345</v>
      </c>
    </row>
    <row r="2128" spans="3:7">
      <c r="C2128">
        <f ca="1"/>
        <v>1.6834204682576086</v>
      </c>
      <c r="D2128">
        <f ca="1"/>
        <v>0.58460051942120372</v>
      </c>
      <c r="E2128">
        <f ca="1"/>
        <v>-0.83672545078792182</v>
      </c>
      <c r="G2128">
        <f ca="1"/>
        <v>3.8757717202524589</v>
      </c>
    </row>
    <row r="2129" spans="3:7">
      <c r="C2129">
        <f ca="1"/>
        <v>-0.13766313020148674</v>
      </c>
      <c r="D2129">
        <f ca="1"/>
        <v>0.26647805994548479</v>
      </c>
      <c r="E2129">
        <f ca="1"/>
        <v>-0.84881888022045204</v>
      </c>
      <c r="G2129">
        <f ca="1"/>
        <v>0.81045518526788296</v>
      </c>
    </row>
    <row r="2130" spans="3:7">
      <c r="C2130">
        <f ca="1"/>
        <v>2.2917946382740984</v>
      </c>
      <c r="D2130">
        <f ca="1"/>
        <v>-1.0683079547231618</v>
      </c>
      <c r="E2130">
        <f ca="1"/>
        <v>-0.59533039567435764</v>
      </c>
      <c r="G2130">
        <f ca="1"/>
        <v>6.7480228301604779</v>
      </c>
    </row>
    <row r="2131" spans="3:7">
      <c r="C2131">
        <f ca="1"/>
        <v>0.36665508193305651</v>
      </c>
      <c r="D2131">
        <f ca="1"/>
        <v>-0.40288186199863696</v>
      </c>
      <c r="E2131">
        <f ca="1"/>
        <v>-1.1607153062093905</v>
      </c>
      <c r="G2131">
        <f ca="1"/>
        <v>1.6440097659035842</v>
      </c>
    </row>
    <row r="2132" spans="3:7">
      <c r="C2132">
        <f ca="1"/>
        <v>1.2383930900731632</v>
      </c>
      <c r="D2132">
        <f ca="1"/>
        <v>-2.1350400583394711</v>
      </c>
      <c r="E2132">
        <f ca="1"/>
        <v>1.9039840716059744</v>
      </c>
      <c r="G2132">
        <f ca="1"/>
        <v>9.717168841184435</v>
      </c>
    </row>
    <row r="2133" spans="3:7">
      <c r="C2133">
        <f ca="1"/>
        <v>0.6632326898858486</v>
      </c>
      <c r="D2133">
        <f ca="1"/>
        <v>-0.46168482269173222</v>
      </c>
      <c r="E2133">
        <f ca="1"/>
        <v>1.3661683429701368</v>
      </c>
      <c r="G2133">
        <f ca="1"/>
        <v>2.519446417770884</v>
      </c>
    </row>
    <row r="2134" spans="3:7">
      <c r="C2134">
        <f ca="1"/>
        <v>0.4860090935186982</v>
      </c>
      <c r="D2134">
        <f ca="1"/>
        <v>-0.42889773249118018</v>
      </c>
      <c r="E2134">
        <f ca="1"/>
        <v>-1.2544484833805849</v>
      </c>
      <c r="G2134">
        <f ca="1"/>
        <v>1.9937991013747922</v>
      </c>
    </row>
    <row r="2135" spans="3:7">
      <c r="C2135">
        <f ca="1"/>
        <v>0.18118230042674247</v>
      </c>
      <c r="D2135">
        <f ca="1"/>
        <v>-1.2150282526091816</v>
      </c>
      <c r="E2135">
        <f ca="1"/>
        <v>-1.8217514437690829</v>
      </c>
      <c r="G2135">
        <f ca="1"/>
        <v>4.8278990035011855</v>
      </c>
    </row>
    <row r="2136" spans="3:7">
      <c r="C2136">
        <f ca="1"/>
        <v>-0.26569151060234297</v>
      </c>
      <c r="D2136">
        <f ca="1"/>
        <v>0.79074939943975175</v>
      </c>
      <c r="E2136">
        <f ca="1"/>
        <v>-1.3886321502876999</v>
      </c>
      <c r="G2136">
        <f ca="1"/>
        <v>2.6241758403331241</v>
      </c>
    </row>
    <row r="2137" spans="3:7">
      <c r="C2137">
        <f ca="1"/>
        <v>1.2429049918599935</v>
      </c>
      <c r="D2137">
        <f ca="1"/>
        <v>2.1260318188573617</v>
      </c>
      <c r="E2137">
        <f ca="1"/>
        <v>-0.80656218831687287</v>
      </c>
      <c r="G2137">
        <f ca="1"/>
        <v>6.7153666772069354</v>
      </c>
    </row>
    <row r="2138" spans="3:7">
      <c r="C2138">
        <f ca="1"/>
        <v>-0.61439417533471208</v>
      </c>
      <c r="D2138">
        <f ca="1"/>
        <v>-1.1045449138279098</v>
      </c>
      <c r="E2138">
        <f ca="1"/>
        <v>-1.9630701263768351</v>
      </c>
      <c r="G2138">
        <f ca="1"/>
        <v>5.4511439904214889</v>
      </c>
    </row>
    <row r="2139" spans="3:7">
      <c r="C2139">
        <f ca="1"/>
        <v>1.0702522804399592</v>
      </c>
      <c r="D2139">
        <f ca="1"/>
        <v>0.66856515700916519</v>
      </c>
      <c r="E2139">
        <f ca="1"/>
        <v>1.1345638243990264</v>
      </c>
      <c r="G2139">
        <f ca="1"/>
        <v>2.8796543845885676</v>
      </c>
    </row>
    <row r="2140" spans="3:7">
      <c r="C2140">
        <f ca="1"/>
        <v>-0.38567021022696391</v>
      </c>
      <c r="D2140">
        <f ca="1"/>
        <v>1.0249898604934993</v>
      </c>
      <c r="E2140">
        <f ca="1"/>
        <v>-1.1162354145086884</v>
      </c>
      <c r="G2140">
        <f ca="1"/>
        <v>2.4453272257743768</v>
      </c>
    </row>
    <row r="2141" spans="3:7">
      <c r="C2141">
        <f ca="1"/>
        <v>8.9639826268064368E-2</v>
      </c>
      <c r="D2141">
        <f ca="1"/>
        <v>-0.90906513572784431</v>
      </c>
      <c r="E2141">
        <f ca="1"/>
        <v>-0.82927155555941723</v>
      </c>
      <c r="G2141">
        <f ca="1"/>
        <v>1.5221260323091883</v>
      </c>
    </row>
    <row r="2142" spans="3:7">
      <c r="C2142">
        <f ca="1"/>
        <v>-0.15837105828722575</v>
      </c>
      <c r="D2142">
        <f ca="1"/>
        <v>-0.69515745633385606</v>
      </c>
      <c r="E2142">
        <f ca="1"/>
        <v>-0.9375720167053796</v>
      </c>
      <c r="G2142">
        <f ca="1"/>
        <v>1.3873665677085656</v>
      </c>
    </row>
    <row r="2143" spans="3:7">
      <c r="C2143">
        <f ca="1"/>
        <v>0.66803180889573432</v>
      </c>
      <c r="D2143">
        <f ca="1"/>
        <v>0.17105474088819683</v>
      </c>
      <c r="E2143">
        <f ca="1"/>
        <v>1.293124231177655</v>
      </c>
      <c r="G2143">
        <f ca="1"/>
        <v>2.1476964993356362</v>
      </c>
    </row>
    <row r="2144" spans="3:7">
      <c r="C2144">
        <f ca="1"/>
        <v>-0.56706351428392865</v>
      </c>
      <c r="D2144">
        <f ca="1"/>
        <v>-0.79069748900310133</v>
      </c>
      <c r="E2144">
        <f ca="1"/>
        <v>0.93861178629451636</v>
      </c>
      <c r="G2144">
        <f ca="1"/>
        <v>1.8277556337188319</v>
      </c>
    </row>
    <row r="2145" spans="3:7">
      <c r="C2145">
        <f ca="1"/>
        <v>-0.71744327844896616</v>
      </c>
      <c r="D2145">
        <f ca="1"/>
        <v>-1.3373464035642433</v>
      </c>
      <c r="E2145">
        <f ca="1"/>
        <v>0.23371093594489106</v>
      </c>
      <c r="G2145">
        <f ca="1"/>
        <v>2.3578410624980539</v>
      </c>
    </row>
    <row r="2146" spans="3:7">
      <c r="C2146">
        <f ca="1"/>
        <v>0.1788212877072517</v>
      </c>
      <c r="D2146">
        <f ca="1"/>
        <v>1.4466240010000047</v>
      </c>
      <c r="E2146">
        <f ca="1"/>
        <v>-0.16108714142877339</v>
      </c>
      <c r="G2146">
        <f ca="1"/>
        <v>2.1506471203402349</v>
      </c>
    </row>
    <row r="2147" spans="3:7">
      <c r="C2147">
        <f ca="1"/>
        <v>0.23529587441894734</v>
      </c>
      <c r="D2147">
        <f ca="1"/>
        <v>-1.3217758588560702</v>
      </c>
      <c r="E2147">
        <f ca="1"/>
        <v>-1.5238752333320074</v>
      </c>
      <c r="G2147">
        <f ca="1"/>
        <v>4.1246512963359585</v>
      </c>
    </row>
    <row r="2148" spans="3:7">
      <c r="C2148">
        <f ca="1"/>
        <v>0.7267187527942941</v>
      </c>
      <c r="D2148">
        <f ca="1"/>
        <v>0.67415121660012534</v>
      </c>
      <c r="E2148">
        <f ca="1"/>
        <v>0.92150850762974157</v>
      </c>
      <c r="G2148">
        <f ca="1"/>
        <v>1.831777938140317</v>
      </c>
    </row>
    <row r="2149" spans="3:7">
      <c r="C2149">
        <f ca="1"/>
        <v>-0.48550402348143151</v>
      </c>
      <c r="D2149">
        <f ca="1"/>
        <v>1.1091569685683096</v>
      </c>
      <c r="E2149">
        <f ca="1"/>
        <v>-0.6261798432531448</v>
      </c>
      <c r="G2149">
        <f ca="1"/>
        <v>1.8580445338368334</v>
      </c>
    </row>
    <row r="2150" spans="3:7">
      <c r="C2150">
        <f ca="1"/>
        <v>-0.95084342647322428</v>
      </c>
      <c r="D2150">
        <f ca="1"/>
        <v>0.20981062386957286</v>
      </c>
      <c r="E2150">
        <f ca="1"/>
        <v>-0.90572018883718763</v>
      </c>
      <c r="G2150">
        <f ca="1"/>
        <v>1.7684527800231522</v>
      </c>
    </row>
    <row r="2151" spans="3:7">
      <c r="C2151">
        <f ca="1"/>
        <v>-0.78927784994758909</v>
      </c>
      <c r="D2151">
        <f ca="1"/>
        <v>0.79411540919188983</v>
      </c>
      <c r="E2151">
        <f ca="1"/>
        <v>-0.81904075553828015</v>
      </c>
      <c r="G2151">
        <f ca="1"/>
        <v>1.9244065667666082</v>
      </c>
    </row>
    <row r="2152" spans="3:7">
      <c r="C2152">
        <f ca="1"/>
        <v>-0.14051108758450345</v>
      </c>
      <c r="D2152">
        <f ca="1"/>
        <v>0.42889180245151637</v>
      </c>
      <c r="E2152">
        <f ca="1"/>
        <v>0.16109388620613183</v>
      </c>
      <c r="G2152">
        <f ca="1"/>
        <v>0.2296427841172847</v>
      </c>
    </row>
    <row r="2153" spans="3:7">
      <c r="C2153">
        <f ca="1"/>
        <v>-1.7561140523620427</v>
      </c>
      <c r="D2153">
        <f ca="1"/>
        <v>7.8486164757310448E-2</v>
      </c>
      <c r="E2153">
        <f ca="1"/>
        <v>0.26042025182073758</v>
      </c>
      <c r="G2153">
        <f ca="1"/>
        <v>3.1579153505201232</v>
      </c>
    </row>
    <row r="2154" spans="3:7">
      <c r="C2154">
        <f ca="1"/>
        <v>2.3414424906057496</v>
      </c>
      <c r="D2154">
        <f ca="1"/>
        <v>-1.9524609821316676</v>
      </c>
      <c r="E2154">
        <f ca="1"/>
        <v>0.11824858051705474</v>
      </c>
      <c r="G2154">
        <f ca="1"/>
        <v>9.30843955035491</v>
      </c>
    </row>
    <row r="2155" spans="3:7">
      <c r="C2155">
        <f ca="1"/>
        <v>0.65099840659506591</v>
      </c>
      <c r="D2155">
        <f ca="1"/>
        <v>0.2276266168145562</v>
      </c>
      <c r="E2155">
        <f ca="1"/>
        <v>0.11614128123307976</v>
      </c>
      <c r="G2155">
        <f ca="1"/>
        <v>0.48910159927821689</v>
      </c>
    </row>
    <row r="2156" spans="3:7">
      <c r="C2156">
        <f ca="1"/>
        <v>-1.2590756874951927</v>
      </c>
      <c r="D2156">
        <f ca="1"/>
        <v>0.8238332498983133</v>
      </c>
      <c r="E2156">
        <f ca="1"/>
        <v>-0.10562844485695708</v>
      </c>
      <c r="G2156">
        <f ca="1"/>
        <v>2.2751301788424083</v>
      </c>
    </row>
    <row r="2157" spans="3:7">
      <c r="C2157">
        <f ca="1"/>
        <v>-1.008720787179481</v>
      </c>
      <c r="D2157">
        <f ca="1"/>
        <v>2.6666317434580198</v>
      </c>
      <c r="E2157">
        <f ca="1"/>
        <v>0.20982517970751793</v>
      </c>
      <c r="G2157">
        <f ca="1"/>
        <v>8.1724690877452417</v>
      </c>
    </row>
    <row r="2158" spans="3:7">
      <c r="C2158">
        <f ca="1"/>
        <v>0.49731789935719645</v>
      </c>
      <c r="D2158">
        <f ca="1"/>
        <v>0.47485701710769862</v>
      </c>
      <c r="E2158">
        <f ca="1"/>
        <v>-1.3512041624575473</v>
      </c>
      <c r="G2158">
        <f ca="1"/>
        <v>2.2985669683600776</v>
      </c>
    </row>
    <row r="2159" spans="3:7">
      <c r="C2159">
        <f ca="1"/>
        <v>-0.59806044801700797</v>
      </c>
      <c r="D2159">
        <f ca="1"/>
        <v>-7.868736085824693E-2</v>
      </c>
      <c r="E2159">
        <f ca="1"/>
        <v>0.57157190189025353</v>
      </c>
      <c r="G2159">
        <f ca="1"/>
        <v>0.6905624392715819</v>
      </c>
    </row>
    <row r="2160" spans="3:7">
      <c r="C2160">
        <f ca="1"/>
        <v>-0.27794551460247346</v>
      </c>
      <c r="D2160">
        <f ca="1"/>
        <v>-0.84690019053475663</v>
      </c>
      <c r="E2160">
        <f ca="1"/>
        <v>1.3496015208660477</v>
      </c>
      <c r="G2160">
        <f ca="1"/>
        <v>2.6159179069393899</v>
      </c>
    </row>
    <row r="2161" spans="3:7">
      <c r="C2161">
        <f ca="1"/>
        <v>-7.4984002552537066E-2</v>
      </c>
      <c r="D2161">
        <f ca="1"/>
        <v>-0.61839337178835252</v>
      </c>
      <c r="E2161">
        <f ca="1"/>
        <v>0.91452183448858626</v>
      </c>
      <c r="G2161">
        <f ca="1"/>
        <v>1.2243831486669357</v>
      </c>
    </row>
    <row r="2162" spans="3:7">
      <c r="C2162">
        <f ca="1"/>
        <v>0.97330480791807406</v>
      </c>
      <c r="D2162">
        <f ca="1"/>
        <v>1.0121742945062258</v>
      </c>
      <c r="E2162">
        <f ca="1"/>
        <v>0.95566777648981149</v>
      </c>
      <c r="G2162">
        <f ca="1"/>
        <v>2.8851199505965952</v>
      </c>
    </row>
    <row r="2163" spans="3:7">
      <c r="C2163">
        <f ca="1"/>
        <v>-0.33082261343423092</v>
      </c>
      <c r="D2163">
        <f ca="1"/>
        <v>0.77137167389584749</v>
      </c>
      <c r="E2163">
        <f ca="1"/>
        <v>1.7190369979860671</v>
      </c>
      <c r="G2163">
        <f ca="1"/>
        <v>3.6595460612932862</v>
      </c>
    </row>
    <row r="2164" spans="3:7">
      <c r="C2164">
        <f ca="1"/>
        <v>-2.8491672286634557</v>
      </c>
      <c r="D2164">
        <f ca="1"/>
        <v>0.76613293118164982</v>
      </c>
      <c r="E2164">
        <f ca="1"/>
        <v>0.33721846892570462</v>
      </c>
      <c r="G2164">
        <f ca="1"/>
        <v>8.8184298609153799</v>
      </c>
    </row>
    <row r="2165" spans="3:7">
      <c r="C2165">
        <f ca="1"/>
        <v>0.46137773891220718</v>
      </c>
      <c r="D2165">
        <f ca="1"/>
        <v>2.7501606787414548</v>
      </c>
      <c r="E2165">
        <f ca="1"/>
        <v>-1.218512994434366</v>
      </c>
      <c r="G2165">
        <f ca="1"/>
        <v>9.2610270944648043</v>
      </c>
    </row>
    <row r="2166" spans="3:7">
      <c r="C2166">
        <f ca="1"/>
        <v>0.34068615451287143</v>
      </c>
      <c r="D2166">
        <f ca="1"/>
        <v>-2.2285330799735732</v>
      </c>
      <c r="E2166">
        <f ca="1"/>
        <v>0.6009311784780329</v>
      </c>
      <c r="G2166">
        <f ca="1"/>
        <v>5.4435450256802662</v>
      </c>
    </row>
    <row r="2167" spans="3:7">
      <c r="C2167">
        <f ca="1"/>
        <v>-0.6614392622632822</v>
      </c>
      <c r="D2167">
        <f ca="1"/>
        <v>-1.4393545200808853</v>
      </c>
      <c r="E2167">
        <f ca="1"/>
        <v>-0.589785805292391</v>
      </c>
      <c r="G2167">
        <f ca="1"/>
        <v>2.8570906282650648</v>
      </c>
    </row>
    <row r="2168" spans="3:7">
      <c r="C2168">
        <f ca="1"/>
        <v>0.36611311822886611</v>
      </c>
      <c r="D2168">
        <f ca="1"/>
        <v>0.20055304011580874</v>
      </c>
      <c r="E2168">
        <f ca="1"/>
        <v>9.8459965090647833E-2</v>
      </c>
      <c r="G2168">
        <f ca="1"/>
        <v>0.18395470196460847</v>
      </c>
    </row>
    <row r="2169" spans="3:7">
      <c r="C2169">
        <f ca="1"/>
        <v>8.4906447076884731E-2</v>
      </c>
      <c r="D2169">
        <f ca="1"/>
        <v>0.28340072746458539</v>
      </c>
      <c r="E2169">
        <f ca="1"/>
        <v>0.12579331214162162</v>
      </c>
      <c r="G2169">
        <f ca="1"/>
        <v>0.10334903446223548</v>
      </c>
    </row>
    <row r="2170" spans="3:7">
      <c r="C2170">
        <f ca="1"/>
        <v>-1.383538096545043</v>
      </c>
      <c r="D2170">
        <f ca="1"/>
        <v>0.35951538858210919</v>
      </c>
      <c r="E2170">
        <f ca="1"/>
        <v>-4.1184860810897991E-2</v>
      </c>
      <c r="G2170">
        <f ca="1"/>
        <v>2.0451251719788388</v>
      </c>
    </row>
    <row r="2171" spans="3:7">
      <c r="C2171">
        <f ca="1"/>
        <v>1.0515244474103085</v>
      </c>
      <c r="D2171">
        <f ca="1"/>
        <v>-0.60590887037385499</v>
      </c>
      <c r="E2171">
        <f ca="1"/>
        <v>-0.76052543255558813</v>
      </c>
      <c r="G2171">
        <f ca="1"/>
        <v>2.0512281562631403</v>
      </c>
    </row>
    <row r="2172" spans="3:7">
      <c r="C2172">
        <f ca="1"/>
        <v>-1.4608292258341828</v>
      </c>
      <c r="D2172">
        <f ca="1"/>
        <v>2.4944488069597922E-2</v>
      </c>
      <c r="E2172">
        <f ca="1"/>
        <v>0.48076581875398444</v>
      </c>
      <c r="G2172">
        <f ca="1"/>
        <v>2.3657800270185412</v>
      </c>
    </row>
    <row r="2173" spans="3:7">
      <c r="C2173">
        <f ca="1"/>
        <v>0.24190046117719918</v>
      </c>
      <c r="D2173">
        <f ca="1"/>
        <v>-0.53174500177833095</v>
      </c>
      <c r="E2173">
        <f ca="1"/>
        <v>1.1468855750893598</v>
      </c>
      <c r="G2173">
        <f ca="1"/>
        <v>1.6566151023820304</v>
      </c>
    </row>
    <row r="2174" spans="3:7">
      <c r="C2174">
        <f ca="1"/>
        <v>-0.9136630937178587</v>
      </c>
      <c r="D2174">
        <f ca="1"/>
        <v>1.0518936309256599</v>
      </c>
      <c r="E2174">
        <f ca="1"/>
        <v>0.65072282220842637</v>
      </c>
      <c r="G2174">
        <f ca="1"/>
        <v>2.3647006509469564</v>
      </c>
    </row>
    <row r="2175" spans="3:7">
      <c r="C2175">
        <f ca="1"/>
        <v>0.73522921878386116</v>
      </c>
      <c r="D2175">
        <f ca="1"/>
        <v>1.2942331694346412</v>
      </c>
      <c r="E2175">
        <f ca="1"/>
        <v>-0.41224170444532032</v>
      </c>
      <c r="G2175">
        <f ca="1"/>
        <v>2.385544723902346</v>
      </c>
    </row>
    <row r="2176" spans="3:7">
      <c r="C2176">
        <f ca="1"/>
        <v>0.61086335876745557</v>
      </c>
      <c r="D2176">
        <f ca="1"/>
        <v>0.26083350932198451</v>
      </c>
      <c r="E2176">
        <f ca="1"/>
        <v>2.0978420968798197</v>
      </c>
      <c r="G2176">
        <f ca="1"/>
        <v>4.8421296261109976</v>
      </c>
    </row>
    <row r="2177" spans="3:7">
      <c r="C2177">
        <f ca="1"/>
        <v>-0.64458091752742819</v>
      </c>
      <c r="D2177">
        <f ca="1"/>
        <v>-0.7348967880418289</v>
      </c>
      <c r="E2177">
        <f ca="1"/>
        <v>9.6527894526955774E-2</v>
      </c>
      <c r="G2177">
        <f ca="1"/>
        <v>0.96487548273650514</v>
      </c>
    </row>
    <row r="2178" spans="3:7">
      <c r="C2178">
        <f ca="1"/>
        <v>-1.3128850425656153</v>
      </c>
      <c r="D2178">
        <f ca="1"/>
        <v>-1.2086407877691352</v>
      </c>
      <c r="E2178">
        <f ca="1"/>
        <v>0.90905862852645991</v>
      </c>
      <c r="G2178">
        <f ca="1"/>
        <v>4.010867278950121</v>
      </c>
    </row>
    <row r="2179" spans="3:7">
      <c r="C2179">
        <f ca="1"/>
        <v>-0.79558172336431032</v>
      </c>
      <c r="D2179">
        <f ca="1"/>
        <v>-1.0288538662435447</v>
      </c>
      <c r="E2179">
        <f ca="1"/>
        <v>0.46230939961281681</v>
      </c>
      <c r="G2179">
        <f ca="1"/>
        <v>1.905220537605979</v>
      </c>
    </row>
    <row r="2180" spans="3:7">
      <c r="C2180">
        <f ca="1"/>
        <v>-0.1600495660424279</v>
      </c>
      <c r="D2180">
        <f ca="1"/>
        <v>0.53110867677399054</v>
      </c>
      <c r="E2180">
        <f ca="1"/>
        <v>0.30814539313403472</v>
      </c>
      <c r="G2180">
        <f ca="1"/>
        <v>0.40264587344471747</v>
      </c>
    </row>
    <row r="2181" spans="3:7">
      <c r="C2181">
        <f ca="1"/>
        <v>-1.0631179827216259</v>
      </c>
      <c r="D2181">
        <f ca="1"/>
        <v>0.3372156496091811</v>
      </c>
      <c r="E2181">
        <f ca="1"/>
        <v>0.80481506556352711</v>
      </c>
      <c r="G2181">
        <f ca="1"/>
        <v>1.8916615292854657</v>
      </c>
    </row>
    <row r="2182" spans="3:7">
      <c r="C2182">
        <f ca="1"/>
        <v>-2.5881554782202576</v>
      </c>
      <c r="D2182">
        <f ca="1"/>
        <v>-0.3629957180118264</v>
      </c>
      <c r="E2182">
        <f ca="1"/>
        <v>-0.96833016236017355</v>
      </c>
      <c r="G2182">
        <f ca="1"/>
        <v>7.7679779740729318</v>
      </c>
    </row>
    <row r="2183" spans="3:7">
      <c r="C2183">
        <f ca="1"/>
        <v>-3.042186586088852E-2</v>
      </c>
      <c r="D2183">
        <f ca="1"/>
        <v>-0.78551764795580747</v>
      </c>
      <c r="E2183">
        <f ca="1"/>
        <v>1.0558025624680991</v>
      </c>
      <c r="G2183">
        <f ca="1"/>
        <v>1.7326825160866863</v>
      </c>
    </row>
    <row r="2184" spans="3:7">
      <c r="C2184">
        <f ca="1"/>
        <v>1.2140695671714421</v>
      </c>
      <c r="D2184">
        <f ca="1"/>
        <v>1.2194375948023453</v>
      </c>
      <c r="E2184">
        <f ca="1"/>
        <v>-0.83319962459891517</v>
      </c>
      <c r="G2184">
        <f ca="1"/>
        <v>3.6552145759809549</v>
      </c>
    </row>
    <row r="2185" spans="3:7">
      <c r="C2185">
        <f ca="1"/>
        <v>-0.56250856400870719</v>
      </c>
      <c r="D2185">
        <f ca="1"/>
        <v>-0.74457504551427189</v>
      </c>
      <c r="E2185">
        <f ca="1"/>
        <v>6.2898291562748154E-3</v>
      </c>
      <c r="G2185">
        <f ca="1"/>
        <v>0.87084744493653299</v>
      </c>
    </row>
    <row r="2186" spans="3:7">
      <c r="C2186">
        <f ca="1"/>
        <v>1.1236777507476616</v>
      </c>
      <c r="D2186">
        <f ca="1"/>
        <v>4.3035752206001731E-3</v>
      </c>
      <c r="E2186">
        <f ca="1"/>
        <v>-1.2267593990509522</v>
      </c>
      <c r="G2186">
        <f ca="1"/>
        <v>2.767608831444857</v>
      </c>
    </row>
    <row r="2187" spans="3:7">
      <c r="C2187">
        <f ca="1"/>
        <v>-0.3622998569498378</v>
      </c>
      <c r="D2187">
        <f ca="1"/>
        <v>1.6357017585109128</v>
      </c>
      <c r="E2187">
        <f ca="1"/>
        <v>0.69428589276943153</v>
      </c>
      <c r="G2187">
        <f ca="1"/>
        <v>3.288814330040212</v>
      </c>
    </row>
    <row r="2188" spans="3:7">
      <c r="C2188">
        <f ca="1"/>
        <v>0.40537771445353871</v>
      </c>
      <c r="D2188">
        <f ca="1"/>
        <v>1.1350451345082415</v>
      </c>
      <c r="E2188">
        <f ca="1"/>
        <v>3.6682532123738419E-2</v>
      </c>
      <c r="G2188">
        <f ca="1"/>
        <v>1.454004156909416</v>
      </c>
    </row>
    <row r="2189" spans="3:7">
      <c r="C2189">
        <f ca="1"/>
        <v>0.3196740638851211</v>
      </c>
      <c r="D2189">
        <f ca="1"/>
        <v>-0.50408218336712063</v>
      </c>
      <c r="E2189">
        <f ca="1"/>
        <v>-2.3708704357924173</v>
      </c>
      <c r="G2189">
        <f ca="1"/>
        <v>5.9773169780235182</v>
      </c>
    </row>
    <row r="2190" spans="3:7">
      <c r="C2190">
        <f ca="1"/>
        <v>-0.41993154124694027</v>
      </c>
      <c r="D2190">
        <f ca="1"/>
        <v>-0.18476467629915558</v>
      </c>
      <c r="E2190">
        <f ca="1"/>
        <v>-9.9958262444284476E-2</v>
      </c>
      <c r="G2190">
        <f ca="1"/>
        <v>0.22047213917284289</v>
      </c>
    </row>
    <row r="2191" spans="3:7">
      <c r="C2191">
        <f ca="1"/>
        <v>0.84473519403315334</v>
      </c>
      <c r="D2191">
        <f ca="1"/>
        <v>1.8023404344603089</v>
      </c>
      <c r="E2191">
        <f ca="1"/>
        <v>0.73631051488329435</v>
      </c>
      <c r="G2191">
        <f ca="1"/>
        <v>4.5041617640565068</v>
      </c>
    </row>
    <row r="2192" spans="3:7">
      <c r="C2192">
        <f ca="1"/>
        <v>-0.49736818263497135</v>
      </c>
      <c r="D2192">
        <f ca="1"/>
        <v>1.2418772044709008</v>
      </c>
      <c r="E2192">
        <f ca="1"/>
        <v>-0.54695083248449961</v>
      </c>
      <c r="G2192">
        <f ca="1"/>
        <v>2.088789313237561</v>
      </c>
    </row>
    <row r="2193" spans="3:7">
      <c r="C2193">
        <f ca="1"/>
        <v>-1.539231025481016</v>
      </c>
      <c r="D2193">
        <f ca="1"/>
        <v>-0.29484101862298007</v>
      </c>
      <c r="E2193">
        <f ca="1"/>
        <v>-1.5716373932985781</v>
      </c>
      <c r="G2193">
        <f ca="1"/>
        <v>4.9262074720803266</v>
      </c>
    </row>
    <row r="2194" spans="3:7">
      <c r="C2194">
        <f ca="1"/>
        <v>0.25407068545424505</v>
      </c>
      <c r="D2194">
        <f ca="1"/>
        <v>2.8495608920749717E-3</v>
      </c>
      <c r="E2194">
        <f ca="1"/>
        <v>-1.0758958264775886</v>
      </c>
      <c r="G2194">
        <f ca="1"/>
        <v>1.2221118626363612</v>
      </c>
    </row>
    <row r="2195" spans="3:7">
      <c r="C2195">
        <f ca="1"/>
        <v>1.3335966651290978</v>
      </c>
      <c r="D2195">
        <f ca="1"/>
        <v>-1.3548135293129542</v>
      </c>
      <c r="E2195">
        <f ca="1"/>
        <v>-0.91863985625138145</v>
      </c>
      <c r="G2195">
        <f ca="1"/>
        <v>4.4578989499464328</v>
      </c>
    </row>
    <row r="2196" spans="3:7">
      <c r="C2196">
        <f ca="1"/>
        <v>1.0117213002790952</v>
      </c>
      <c r="D2196">
        <f ca="1"/>
        <v>1.1176941544052441</v>
      </c>
      <c r="E2196">
        <f ca="1"/>
        <v>1.4388178735868917</v>
      </c>
      <c r="G2196">
        <f ca="1"/>
        <v>4.3430170855831811</v>
      </c>
    </row>
    <row r="2197" spans="3:7">
      <c r="C2197">
        <f ca="1"/>
        <v>1.3572387378468551</v>
      </c>
      <c r="D2197">
        <f ca="1"/>
        <v>-1.5685386567463746</v>
      </c>
      <c r="E2197">
        <f ca="1"/>
        <v>-1.4073751892079176</v>
      </c>
      <c r="G2197">
        <f ca="1"/>
        <v>6.2831154324178673</v>
      </c>
    </row>
    <row r="2198" spans="3:7">
      <c r="C2198">
        <f ca="1"/>
        <v>-0.38949787813669817</v>
      </c>
      <c r="D2198">
        <f ca="1"/>
        <v>0.30163930150654167</v>
      </c>
      <c r="E2198">
        <f ca="1"/>
        <v>-0.95475274119437792</v>
      </c>
      <c r="G2198">
        <f ca="1"/>
        <v>1.1542476621045235</v>
      </c>
    </row>
    <row r="2199" spans="3:7">
      <c r="C2199">
        <f ca="1"/>
        <v>0.21078420360852437</v>
      </c>
      <c r="D2199">
        <f ca="1"/>
        <v>-1.2849746233478272</v>
      </c>
      <c r="E2199">
        <f ca="1"/>
        <v>0.51662334395068221</v>
      </c>
      <c r="G2199">
        <f ca="1"/>
        <v>1.9624894426535551</v>
      </c>
    </row>
    <row r="2200" spans="3:7">
      <c r="C2200">
        <f ca="1"/>
        <v>-1.1438612256912517</v>
      </c>
      <c r="D2200">
        <f ca="1"/>
        <v>-0.92613024496639795</v>
      </c>
      <c r="E2200">
        <f ca="1"/>
        <v>-0.28475149580992365</v>
      </c>
      <c r="G2200">
        <f ca="1"/>
        <v>2.2472191486474022</v>
      </c>
    </row>
    <row r="2201" spans="3:7">
      <c r="C2201">
        <f ca="1"/>
        <v>-0.99117061773499548</v>
      </c>
      <c r="D2201">
        <f ca="1"/>
        <v>-0.43257205559278483</v>
      </c>
      <c r="E2201">
        <f ca="1"/>
        <v>0.74430968173157608</v>
      </c>
      <c r="G2201">
        <f ca="1"/>
        <v>1.7235346790602999</v>
      </c>
    </row>
    <row r="2202" spans="3:7">
      <c r="C2202">
        <f ca="1"/>
        <v>0.75207130140589551</v>
      </c>
      <c r="D2202">
        <f ca="1"/>
        <v>0.35302088620797262</v>
      </c>
      <c r="E2202">
        <f ca="1"/>
        <v>4.9428029616443991E-2</v>
      </c>
      <c r="G2202">
        <f ca="1"/>
        <v>0.69267811860918382</v>
      </c>
    </row>
    <row r="2203" spans="3:7">
      <c r="C2203">
        <f ca="1"/>
        <v>1.9024989726392909</v>
      </c>
      <c r="D2203">
        <f ca="1"/>
        <v>0.17908413707458395</v>
      </c>
      <c r="E2203">
        <f ca="1"/>
        <v>-0.24633542279999082</v>
      </c>
      <c r="G2203">
        <f ca="1"/>
        <v>3.7122546095713558</v>
      </c>
    </row>
    <row r="2204" spans="3:7">
      <c r="C2204">
        <f ca="1"/>
        <v>-5.1725316211242926E-2</v>
      </c>
      <c r="D2204">
        <f ca="1"/>
        <v>7.4773917681230442E-2</v>
      </c>
      <c r="E2204">
        <f ca="1"/>
        <v>-1.2385609388596732</v>
      </c>
      <c r="G2204">
        <f ca="1"/>
        <v>1.5422998463715076</v>
      </c>
    </row>
    <row r="2205" spans="3:7">
      <c r="C2205">
        <f ca="1"/>
        <v>1.4535994081528902</v>
      </c>
      <c r="D2205">
        <f ca="1"/>
        <v>0.52768646058949109</v>
      </c>
      <c r="E2205">
        <f ca="1"/>
        <v>-0.93855914598781065</v>
      </c>
      <c r="G2205">
        <f ca="1"/>
        <v>3.2722975105892655</v>
      </c>
    </row>
    <row r="2206" spans="3:7">
      <c r="C2206">
        <f ca="1"/>
        <v>-0.67491797401523912</v>
      </c>
      <c r="D2206">
        <f ca="1"/>
        <v>-0.33307445595296303</v>
      </c>
      <c r="E2206">
        <f ca="1"/>
        <v>0.42921079554603303</v>
      </c>
      <c r="G2206">
        <f ca="1"/>
        <v>0.75067477187045595</v>
      </c>
    </row>
    <row r="2207" spans="3:7">
      <c r="C2207">
        <f ca="1"/>
        <v>-2.0033875779525738</v>
      </c>
      <c r="D2207">
        <f ca="1"/>
        <v>0.46401676528746905</v>
      </c>
      <c r="E2207">
        <f ca="1"/>
        <v>-0.82561333199599973</v>
      </c>
      <c r="G2207">
        <f ca="1"/>
        <v>4.9105107199320628</v>
      </c>
    </row>
    <row r="2208" spans="3:7">
      <c r="C2208">
        <f ca="1"/>
        <v>8.7444660614991898E-2</v>
      </c>
      <c r="D2208">
        <f ca="1"/>
        <v>-1.3537574933426624</v>
      </c>
      <c r="E2208">
        <f ca="1"/>
        <v>0.76832100785836888</v>
      </c>
      <c r="G2208">
        <f ca="1"/>
        <v>2.4306230905679795</v>
      </c>
    </row>
    <row r="2209" spans="3:7">
      <c r="C2209">
        <f ca="1"/>
        <v>-0.6992304843538184</v>
      </c>
      <c r="D2209">
        <f ca="1"/>
        <v>1.1758464539143736</v>
      </c>
      <c r="E2209">
        <f ca="1"/>
        <v>-1.1643737500147462</v>
      </c>
      <c r="G2209">
        <f ca="1"/>
        <v>3.2273043831560853</v>
      </c>
    </row>
    <row r="2210" spans="3:7">
      <c r="C2210">
        <f ca="1"/>
        <v>-7.415876106968404E-2</v>
      </c>
      <c r="D2210">
        <f ca="1"/>
        <v>0.11688364808831503</v>
      </c>
      <c r="E2210">
        <f ca="1"/>
        <v>1.0047047975641232</v>
      </c>
      <c r="G2210">
        <f ca="1"/>
        <v>1.0285930392821894</v>
      </c>
    </row>
    <row r="2211" spans="3:7">
      <c r="C2211">
        <f ca="1"/>
        <v>-0.94551451843571432</v>
      </c>
      <c r="D2211">
        <f ca="1"/>
        <v>1.3174413178842186</v>
      </c>
      <c r="E2211">
        <f ca="1"/>
        <v>-1.0146671605738302</v>
      </c>
      <c r="G2211">
        <f ca="1"/>
        <v>3.6591987773881867</v>
      </c>
    </row>
    <row r="2212" spans="3:7">
      <c r="C2212">
        <f ca="1"/>
        <v>-1.2999992170917518</v>
      </c>
      <c r="D2212">
        <f ca="1"/>
        <v>7.3000381854869886E-3</v>
      </c>
      <c r="E2212">
        <f ca="1"/>
        <v>-0.41231924933404895</v>
      </c>
      <c r="G2212">
        <f ca="1"/>
        <v>1.8600584183680706</v>
      </c>
    </row>
    <row r="2213" spans="3:7">
      <c r="C2213">
        <f ca="1"/>
        <v>2.047747221216234</v>
      </c>
      <c r="D2213">
        <f ca="1"/>
        <v>0.59732509234362519</v>
      </c>
      <c r="E2213">
        <f ca="1"/>
        <v>0.44553140128993868</v>
      </c>
      <c r="G2213">
        <f ca="1"/>
        <v>4.7485641774775047</v>
      </c>
    </row>
    <row r="2214" spans="3:7">
      <c r="C2214">
        <f ca="1"/>
        <v>0.74419069877631816</v>
      </c>
      <c r="D2214">
        <f ca="1"/>
        <v>-1.3470650950201801</v>
      </c>
      <c r="E2214">
        <f ca="1"/>
        <v>-1.5268232160408357</v>
      </c>
      <c r="G2214">
        <f ca="1"/>
        <v>4.6995932994081917</v>
      </c>
    </row>
    <row r="2215" spans="3:7">
      <c r="C2215">
        <f ca="1"/>
        <v>-0.85876514519853075</v>
      </c>
      <c r="D2215">
        <f ca="1"/>
        <v>0.79123068045442846</v>
      </c>
      <c r="E2215">
        <f ca="1"/>
        <v>-1.3949401598286171</v>
      </c>
      <c r="G2215">
        <f ca="1"/>
        <v>3.3093816138029193</v>
      </c>
    </row>
    <row r="2216" spans="3:7">
      <c r="C2216">
        <f ca="1"/>
        <v>0.54687565017310535</v>
      </c>
      <c r="D2216">
        <f ca="1"/>
        <v>0.56987540327245179</v>
      </c>
      <c r="E2216">
        <f ca="1"/>
        <v>-1.9731165394119152</v>
      </c>
      <c r="G2216">
        <f ca="1"/>
        <v>4.5170198301080484</v>
      </c>
    </row>
    <row r="2217" spans="3:7">
      <c r="C2217">
        <f ca="1"/>
        <v>-0.99626026932491518</v>
      </c>
      <c r="D2217">
        <f ca="1"/>
        <v>0.71498051414222663</v>
      </c>
      <c r="E2217">
        <f ca="1"/>
        <v>-0.87180932101508379</v>
      </c>
      <c r="G2217">
        <f ca="1"/>
        <v>2.2637831520472167</v>
      </c>
    </row>
    <row r="2218" spans="3:7">
      <c r="C2218">
        <f ca="1"/>
        <v>0.62615187110804327</v>
      </c>
      <c r="D2218">
        <f ca="1"/>
        <v>1.7292546825033577</v>
      </c>
      <c r="E2218">
        <f ca="1"/>
        <v>0.26508606389826694</v>
      </c>
      <c r="G2218">
        <f ca="1"/>
        <v>3.4526585439249682</v>
      </c>
    </row>
    <row r="2219" spans="3:7">
      <c r="C2219">
        <f ca="1"/>
        <v>0.13006068303739377</v>
      </c>
      <c r="D2219">
        <f ca="1"/>
        <v>-1.8254498296118791</v>
      </c>
      <c r="E2219">
        <f ca="1"/>
        <v>0.80707946924712881</v>
      </c>
      <c r="G2219">
        <f ca="1"/>
        <v>4.0005601313824188</v>
      </c>
    </row>
    <row r="2220" spans="3:7">
      <c r="C2220">
        <f ca="1"/>
        <v>0.88386673763025192</v>
      </c>
      <c r="D2220">
        <f ca="1"/>
        <v>0.70599710683594208</v>
      </c>
      <c r="E2220">
        <f ca="1"/>
        <v>0.20416749327355904</v>
      </c>
      <c r="G2220">
        <f ca="1"/>
        <v>1.3213366900594741</v>
      </c>
    </row>
    <row r="2221" spans="3:7">
      <c r="C2221">
        <f ca="1"/>
        <v>-0.34722155131651034</v>
      </c>
      <c r="D2221">
        <f ca="1"/>
        <v>-0.53911260640187242</v>
      </c>
      <c r="E2221">
        <f ca="1"/>
        <v>-0.93711273622793767</v>
      </c>
      <c r="G2221">
        <f ca="1"/>
        <v>1.2893854884806766</v>
      </c>
    </row>
    <row r="2222" spans="3:7">
      <c r="C2222">
        <f ca="1"/>
        <v>2.1061439995910995</v>
      </c>
      <c r="D2222">
        <f ca="1"/>
        <v>-0.76362827216535789</v>
      </c>
      <c r="E2222">
        <f ca="1"/>
        <v>1.2394971440538489</v>
      </c>
      <c r="G2222">
        <f ca="1"/>
        <v>6.5553238551814914</v>
      </c>
    </row>
    <row r="2223" spans="3:7">
      <c r="C2223">
        <f ca="1"/>
        <v>-0.64226621157872976</v>
      </c>
      <c r="D2223">
        <f ca="1"/>
        <v>8.0793052720644701E-2</v>
      </c>
      <c r="E2223">
        <f ca="1"/>
        <v>-0.28427031561474297</v>
      </c>
      <c r="G2223">
        <f ca="1"/>
        <v>0.49984301624332012</v>
      </c>
    </row>
    <row r="2224" spans="3:7">
      <c r="C2224">
        <f ca="1"/>
        <v>0.59729849579656979</v>
      </c>
      <c r="D2224">
        <f ca="1"/>
        <v>1.2271664270203455</v>
      </c>
      <c r="E2224">
        <f ca="1"/>
        <v>0.33221936190364287</v>
      </c>
      <c r="G2224">
        <f ca="1"/>
        <v>1.9730726371103893</v>
      </c>
    </row>
    <row r="2225" spans="3:7">
      <c r="C2225">
        <f ca="1"/>
        <v>-1.132333990030326</v>
      </c>
      <c r="D2225">
        <f ca="1"/>
        <v>-0.31160677162817513</v>
      </c>
      <c r="E2225">
        <f ca="1"/>
        <v>1.7693195593410946</v>
      </c>
      <c r="G2225">
        <f ca="1"/>
        <v>4.5097707481694975</v>
      </c>
    </row>
    <row r="2226" spans="3:7">
      <c r="C2226">
        <f ca="1"/>
        <v>7.6717683227653918E-2</v>
      </c>
      <c r="D2226">
        <f ca="1"/>
        <v>-0.93351843809948587</v>
      </c>
      <c r="E2226">
        <f ca="1"/>
        <v>0.84723016983219035</v>
      </c>
      <c r="G2226">
        <f ca="1"/>
        <v>1.5951412378654044</v>
      </c>
    </row>
    <row r="2227" spans="3:7">
      <c r="C2227">
        <f ca="1"/>
        <v>1.68813344793763</v>
      </c>
      <c r="D2227">
        <f ca="1"/>
        <v>-0.24312588450967018</v>
      </c>
      <c r="E2227">
        <f ca="1"/>
        <v>0.75801118174478954</v>
      </c>
      <c r="G2227">
        <f ca="1"/>
        <v>3.4834856854145322</v>
      </c>
    </row>
    <row r="2228" spans="3:7">
      <c r="C2228">
        <f ca="1"/>
        <v>-1.8246418445137873</v>
      </c>
      <c r="D2228">
        <f ca="1"/>
        <v>-1.1657185302602247</v>
      </c>
      <c r="E2228">
        <f ca="1"/>
        <v>-2.2545338582477612</v>
      </c>
      <c r="G2228">
        <f ca="1"/>
        <v>9.7711404705282714</v>
      </c>
    </row>
    <row r="2229" spans="3:7">
      <c r="C2229">
        <f ca="1"/>
        <v>0.36045931679718246</v>
      </c>
      <c r="D2229">
        <f ca="1"/>
        <v>0.1843488079697895</v>
      </c>
      <c r="E2229">
        <f ca="1"/>
        <v>-0.1101041211390911</v>
      </c>
      <c r="G2229">
        <f ca="1"/>
        <v>0.17603831955758553</v>
      </c>
    </row>
    <row r="2230" spans="3:7">
      <c r="C2230">
        <f ca="1"/>
        <v>0.48473815711178525</v>
      </c>
      <c r="D2230">
        <f ca="1"/>
        <v>-0.62739919409190403</v>
      </c>
      <c r="E2230">
        <f ca="1"/>
        <v>0.47918945933465312</v>
      </c>
      <c r="G2230">
        <f ca="1"/>
        <v>0.85822336764473761</v>
      </c>
    </row>
    <row r="2231" spans="3:7">
      <c r="C2231">
        <f ca="1"/>
        <v>1.1673606328231023</v>
      </c>
      <c r="D2231">
        <f ca="1"/>
        <v>-2.3491271278958403</v>
      </c>
      <c r="E2231">
        <f ca="1"/>
        <v>0.122311684952695</v>
      </c>
      <c r="G2231">
        <f ca="1"/>
        <v>6.8960892583572804</v>
      </c>
    </row>
    <row r="2232" spans="3:7">
      <c r="C2232">
        <f ca="1"/>
        <v>-0.85947668046650494</v>
      </c>
      <c r="D2232">
        <f ca="1"/>
        <v>-9.2387148675368749E-2</v>
      </c>
      <c r="E2232">
        <f ca="1"/>
        <v>0.29602583552099987</v>
      </c>
      <c r="G2232">
        <f ca="1"/>
        <v>0.83486684480199336</v>
      </c>
    </row>
    <row r="2233" spans="3:7">
      <c r="C2233">
        <f ca="1"/>
        <v>-1.918934218283461</v>
      </c>
      <c r="D2233">
        <f ca="1"/>
        <v>-6.8996791222449727E-2</v>
      </c>
      <c r="E2233">
        <f ca="1"/>
        <v>-0.84132085937482248</v>
      </c>
      <c r="G2233">
        <f ca="1"/>
        <v>4.3948898797173417</v>
      </c>
    </row>
    <row r="2234" spans="3:7">
      <c r="C2234">
        <f ca="1"/>
        <v>0.81893353101926536</v>
      </c>
      <c r="D2234">
        <f ca="1"/>
        <v>-1.6940190265543784</v>
      </c>
      <c r="E2234">
        <f ca="1"/>
        <v>-9.2810761067351533E-2</v>
      </c>
      <c r="G2234">
        <f ca="1"/>
        <v>3.5489664279258273</v>
      </c>
    </row>
    <row r="2235" spans="3:7">
      <c r="C2235">
        <f ca="1"/>
        <v>-1.6395746644825155</v>
      </c>
      <c r="D2235">
        <f ca="1"/>
        <v>-1.3854964163406234</v>
      </c>
      <c r="E2235">
        <f ca="1"/>
        <v>1.4212769262789906</v>
      </c>
      <c r="G2235">
        <f ca="1"/>
        <v>6.6278335012787188</v>
      </c>
    </row>
    <row r="2236" spans="3:7">
      <c r="C2236">
        <f ca="1"/>
        <v>2.9980886566106904</v>
      </c>
      <c r="D2236">
        <f ca="1"/>
        <v>-1.1270599976312325</v>
      </c>
      <c r="E2236">
        <f ca="1"/>
        <v>0.83532031087876069</v>
      </c>
      <c r="G2236">
        <f ca="1"/>
        <v>10.956559852924798</v>
      </c>
    </row>
    <row r="2237" spans="3:7">
      <c r="C2237">
        <f ca="1"/>
        <v>-0.53816010812247539</v>
      </c>
      <c r="D2237">
        <f ca="1"/>
        <v>-0.20694451721751381</v>
      </c>
      <c r="E2237">
        <f ca="1"/>
        <v>1.2901295316240757</v>
      </c>
      <c r="G2237">
        <f ca="1"/>
        <v>1.9968765435493414</v>
      </c>
    </row>
    <row r="2238" spans="3:7">
      <c r="C2238">
        <f ca="1"/>
        <v>0.92214054371236565</v>
      </c>
      <c r="D2238">
        <f ca="1"/>
        <v>1.2293738685129283</v>
      </c>
      <c r="E2238">
        <f ca="1"/>
        <v>0.37875833634383738</v>
      </c>
      <c r="G2238">
        <f ca="1"/>
        <v>2.5051611682905315</v>
      </c>
    </row>
    <row r="2239" spans="3:7">
      <c r="C2239">
        <f ca="1"/>
        <v>-0.91274582918939684</v>
      </c>
      <c r="D2239">
        <f ca="1"/>
        <v>-0.15361638470381</v>
      </c>
      <c r="E2239">
        <f ca="1"/>
        <v>-1.3629846980418614</v>
      </c>
      <c r="G2239">
        <f ca="1"/>
        <v>2.7144302294483724</v>
      </c>
    </row>
    <row r="2240" spans="3:7">
      <c r="C2240">
        <f ca="1"/>
        <v>0.54494492813264428</v>
      </c>
      <c r="D2240">
        <f ca="1"/>
        <v>1.1916953195644795</v>
      </c>
      <c r="E2240">
        <f ca="1"/>
        <v>-0.20716963724294896</v>
      </c>
      <c r="G2240">
        <f ca="1"/>
        <v>1.7600219679647549</v>
      </c>
    </row>
    <row r="2241" spans="3:7">
      <c r="C2241">
        <f ca="1"/>
        <v>0.47092273820896069</v>
      </c>
      <c r="D2241">
        <f ca="1"/>
        <v>-0.32405907184417437</v>
      </c>
      <c r="E2241">
        <f ca="1"/>
        <v>2.2572573337588828</v>
      </c>
      <c r="G2241">
        <f ca="1"/>
        <v>5.4219931782149935</v>
      </c>
    </row>
    <row r="2242" spans="3:7">
      <c r="C2242">
        <f ca="1"/>
        <v>-1.8118289629693367</v>
      </c>
      <c r="D2242">
        <f ca="1"/>
        <v>1.4042810809547464</v>
      </c>
      <c r="E2242">
        <f ca="1"/>
        <v>0.33145656921609085</v>
      </c>
      <c r="G2242">
        <f ca="1"/>
        <v>5.3645930026584736</v>
      </c>
    </row>
    <row r="2243" spans="3:7">
      <c r="C2243">
        <f ca="1"/>
        <v>-1.6005054345198069</v>
      </c>
      <c r="D2243">
        <f ca="1"/>
        <v>1.2411826000767101</v>
      </c>
      <c r="E2243">
        <f ca="1"/>
        <v>-0.90322016730193277</v>
      </c>
      <c r="G2243">
        <f ca="1"/>
        <v>4.9179585632815499</v>
      </c>
    </row>
    <row r="2244" spans="3:7">
      <c r="C2244">
        <f ca="1"/>
        <v>0.10905096645393703</v>
      </c>
      <c r="D2244">
        <f ca="1"/>
        <v>-2.6262857295828295</v>
      </c>
      <c r="E2244">
        <f ca="1"/>
        <v>-0.85422913234465325</v>
      </c>
      <c r="G2244">
        <f ca="1"/>
        <v>7.6389762572412518</v>
      </c>
    </row>
    <row r="2245" spans="3:7">
      <c r="C2245">
        <f ca="1"/>
        <v>1.1546079210558646</v>
      </c>
      <c r="D2245">
        <f ca="1"/>
        <v>1.164356154778692</v>
      </c>
      <c r="E2245">
        <f ca="1"/>
        <v>0.63238150884291322</v>
      </c>
      <c r="G2245">
        <f ca="1"/>
        <v>3.0887510792624067</v>
      </c>
    </row>
    <row r="2246" spans="3:7">
      <c r="C2246">
        <f ca="1"/>
        <v>1.3485081981002837E-4</v>
      </c>
      <c r="D2246">
        <f ca="1"/>
        <v>-0.51299931444323743</v>
      </c>
      <c r="E2246">
        <f ca="1"/>
        <v>0.73929359768738456</v>
      </c>
      <c r="G2246">
        <f ca="1"/>
        <v>0.80972333838553157</v>
      </c>
    </row>
    <row r="2247" spans="3:7">
      <c r="C2247">
        <f ca="1"/>
        <v>-0.33814741796782022</v>
      </c>
      <c r="D2247">
        <f ca="1"/>
        <v>0.21232430544442643</v>
      </c>
      <c r="E2247">
        <f ca="1"/>
        <v>-1.5763692912464498</v>
      </c>
      <c r="G2247">
        <f ca="1"/>
        <v>2.6443654293455965</v>
      </c>
    </row>
    <row r="2248" spans="3:7">
      <c r="C2248">
        <f ca="1"/>
        <v>-1.4075948682288728</v>
      </c>
      <c r="D2248">
        <f ca="1"/>
        <v>-1.0627244728981784</v>
      </c>
      <c r="E2248">
        <f ca="1"/>
        <v>0.59196728313288105</v>
      </c>
      <c r="G2248">
        <f ca="1"/>
        <v>3.4611318826606938</v>
      </c>
    </row>
    <row r="2249" spans="3:7">
      <c r="C2249">
        <f ca="1"/>
        <v>0.70522606410958921</v>
      </c>
      <c r="D2249">
        <f ca="1"/>
        <v>-0.571920959378036</v>
      </c>
      <c r="E2249">
        <f ca="1"/>
        <v>0.34474597171673765</v>
      </c>
      <c r="G2249">
        <f ca="1"/>
        <v>0.94328717029031317</v>
      </c>
    </row>
    <row r="2250" spans="3:7">
      <c r="C2250">
        <f ca="1"/>
        <v>-2.2999978968359112</v>
      </c>
      <c r="D2250">
        <f ca="1"/>
        <v>-0.31240107315996973</v>
      </c>
      <c r="E2250">
        <f ca="1"/>
        <v>1.3189145173053654</v>
      </c>
      <c r="G2250">
        <f ca="1"/>
        <v>7.1271202599199608</v>
      </c>
    </row>
    <row r="2251" spans="3:7">
      <c r="C2251">
        <f ca="1"/>
        <v>0.17828522241216371</v>
      </c>
      <c r="D2251">
        <f ca="1"/>
        <v>-0.1301948858511347</v>
      </c>
      <c r="E2251">
        <f ca="1"/>
        <v>-2.2254576799209476</v>
      </c>
      <c r="G2251">
        <f ca="1"/>
        <v>5.0013982139514708</v>
      </c>
    </row>
    <row r="2252" spans="3:7">
      <c r="C2252">
        <f ca="1"/>
        <v>-1.4080875678367517</v>
      </c>
      <c r="D2252">
        <f ca="1"/>
        <v>-0.36848286031787919</v>
      </c>
      <c r="E2252">
        <f ca="1"/>
        <v>0.72638630372254376</v>
      </c>
      <c r="G2252">
        <f ca="1"/>
        <v>2.6461272792801642</v>
      </c>
    </row>
    <row r="2253" spans="3:7">
      <c r="C2253">
        <f ca="1"/>
        <v>1.1661009845343007</v>
      </c>
      <c r="D2253">
        <f ca="1"/>
        <v>-0.95364002715495644</v>
      </c>
      <c r="E2253">
        <f ca="1"/>
        <v>0.69741136168593598</v>
      </c>
      <c r="G2253">
        <f ca="1"/>
        <v>2.7556034149326027</v>
      </c>
    </row>
    <row r="2254" spans="3:7">
      <c r="C2254">
        <f ca="1"/>
        <v>0.82144696400463035</v>
      </c>
      <c r="D2254">
        <f ca="1"/>
        <v>0.74971117973902612</v>
      </c>
      <c r="E2254">
        <f ca="1"/>
        <v>-0.19853806920491737</v>
      </c>
      <c r="G2254">
        <f ca="1"/>
        <v>1.2762593326217233</v>
      </c>
    </row>
    <row r="2255" spans="3:7">
      <c r="C2255">
        <f ca="1"/>
        <v>-0.81716908344481132</v>
      </c>
      <c r="D2255">
        <f ca="1"/>
        <v>4.5732367524109467E-2</v>
      </c>
      <c r="E2255">
        <f ca="1"/>
        <v>0.13704618786301026</v>
      </c>
      <c r="G2255">
        <f ca="1"/>
        <v>0.68863841798517678</v>
      </c>
    </row>
    <row r="2256" spans="3:7">
      <c r="C2256">
        <f ca="1"/>
        <v>-0.12441892312491022</v>
      </c>
      <c r="D2256">
        <f ca="1"/>
        <v>0.71760564838853624</v>
      </c>
      <c r="E2256">
        <f ca="1"/>
        <v>-1.6190134140277701</v>
      </c>
      <c r="G2256">
        <f ca="1"/>
        <v>3.1516423698325498</v>
      </c>
    </row>
    <row r="2257" spans="3:7">
      <c r="C2257">
        <f ca="1"/>
        <v>0.55345025579852936</v>
      </c>
      <c r="D2257">
        <f ca="1"/>
        <v>0.51906059813834993</v>
      </c>
      <c r="E2257">
        <f ca="1"/>
        <v>-0.74328629997909035</v>
      </c>
      <c r="G2257">
        <f ca="1"/>
        <v>1.1282056139198056</v>
      </c>
    </row>
    <row r="2258" spans="3:7">
      <c r="C2258">
        <f ca="1"/>
        <v>-3.5617849308837303E-2</v>
      </c>
      <c r="D2258">
        <f ca="1"/>
        <v>-1.6116228659804941</v>
      </c>
      <c r="E2258">
        <f ca="1"/>
        <v>-2.1258376611648835</v>
      </c>
      <c r="G2258">
        <f ca="1"/>
        <v>7.1177826549675505</v>
      </c>
    </row>
    <row r="2259" spans="3:7">
      <c r="C2259">
        <f ca="1"/>
        <v>-1.2615247509685503</v>
      </c>
      <c r="D2259">
        <f ca="1"/>
        <v>0.58171692465755875</v>
      </c>
      <c r="E2259">
        <f ca="1"/>
        <v>0.86851060460114016</v>
      </c>
      <c r="G2259">
        <f ca="1"/>
        <v>2.6841499480439488</v>
      </c>
    </row>
    <row r="2260" spans="3:7">
      <c r="C2260">
        <f ca="1"/>
        <v>-1.0557403586407679</v>
      </c>
      <c r="D2260">
        <f ca="1"/>
        <v>-4.5198859634597618E-2</v>
      </c>
      <c r="E2260">
        <f ca="1"/>
        <v>2.9926028293428147E-2</v>
      </c>
      <c r="G2260">
        <f ca="1"/>
        <v>1.1175262089446243</v>
      </c>
    </row>
    <row r="2261" spans="3:7">
      <c r="C2261">
        <f ca="1"/>
        <v>-0.28460039385600511</v>
      </c>
      <c r="D2261">
        <f ca="1"/>
        <v>-1.5210261332247508</v>
      </c>
      <c r="E2261">
        <f ca="1"/>
        <v>-0.43416277480966242</v>
      </c>
      <c r="G2261">
        <f ca="1"/>
        <v>2.5830151971660564</v>
      </c>
    </row>
    <row r="2262" spans="3:7">
      <c r="C2262">
        <f ca="1"/>
        <v>2.045215822878772</v>
      </c>
      <c r="D2262">
        <f ca="1"/>
        <v>-1.2789901061101128</v>
      </c>
      <c r="E2262">
        <f ca="1"/>
        <v>-0.39901346124755876</v>
      </c>
      <c r="G2262">
        <f ca="1"/>
        <v>5.9779351959380067</v>
      </c>
    </row>
    <row r="2263" spans="3:7">
      <c r="C2263">
        <f ca="1"/>
        <v>-0.19793598239720453</v>
      </c>
      <c r="D2263">
        <f ca="1"/>
        <v>-0.57516120938034088</v>
      </c>
      <c r="E2263">
        <f ca="1"/>
        <v>-0.48548143204715632</v>
      </c>
      <c r="G2263">
        <f ca="1"/>
        <v>0.60568129076596045</v>
      </c>
    </row>
    <row r="2264" spans="3:7">
      <c r="C2264">
        <f ca="1"/>
        <v>-0.91447401401710426</v>
      </c>
      <c r="D2264">
        <f ca="1"/>
        <v>1.6830746209673326</v>
      </c>
      <c r="E2264">
        <f ca="1"/>
        <v>1.2794676633496953</v>
      </c>
      <c r="G2264">
        <f ca="1"/>
        <v>5.3060404036144142</v>
      </c>
    </row>
    <row r="2265" spans="3:7">
      <c r="C2265">
        <f ca="1"/>
        <v>-0.42688173816952008</v>
      </c>
      <c r="D2265">
        <f ca="1"/>
        <v>-1.1219342858564558</v>
      </c>
      <c r="E2265">
        <f ca="1"/>
        <v>0.70288303816029163</v>
      </c>
      <c r="G2265">
        <f ca="1"/>
        <v>1.9350091254963084</v>
      </c>
    </row>
    <row r="2266" spans="3:7">
      <c r="C2266">
        <f ca="1"/>
        <v>0.25880242332513559</v>
      </c>
      <c r="D2266">
        <f ca="1"/>
        <v>-0.30404763275497881</v>
      </c>
      <c r="E2266">
        <f ca="1"/>
        <v>-0.33130240231037833</v>
      </c>
      <c r="G2266">
        <f ca="1"/>
        <v>0.26918493907949692</v>
      </c>
    </row>
    <row r="2267" spans="3:7">
      <c r="C2267">
        <f ca="1"/>
        <v>-1.1694123950835384</v>
      </c>
      <c r="D2267">
        <f ca="1"/>
        <v>1.4074412832768544</v>
      </c>
      <c r="E2267">
        <f ca="1"/>
        <v>0.43857790541208869</v>
      </c>
      <c r="G2267">
        <f ca="1"/>
        <v>3.5407668947626716</v>
      </c>
    </row>
    <row r="2268" spans="3:7">
      <c r="C2268">
        <f ca="1"/>
        <v>-0.3372898923192133</v>
      </c>
      <c r="D2268">
        <f ca="1"/>
        <v>0.59072282782175756</v>
      </c>
      <c r="E2268">
        <f ca="1"/>
        <v>1.3187518215313156</v>
      </c>
      <c r="G2268">
        <f ca="1"/>
        <v>2.2018242975626032</v>
      </c>
    </row>
    <row r="2269" spans="3:7">
      <c r="C2269">
        <f ca="1"/>
        <v>1.154952140570126</v>
      </c>
      <c r="D2269">
        <f ca="1"/>
        <v>-1.0142151713753984</v>
      </c>
      <c r="E2269">
        <f ca="1"/>
        <v>0.80434989709972649</v>
      </c>
      <c r="G2269">
        <f ca="1"/>
        <v>3.009525617819885</v>
      </c>
    </row>
    <row r="2270" spans="3:7">
      <c r="C2270">
        <f ca="1"/>
        <v>-0.69146021123403234</v>
      </c>
      <c r="D2270">
        <f ca="1"/>
        <v>1.0593314415517567</v>
      </c>
      <c r="E2270">
        <f ca="1"/>
        <v>-1.4330132587186624</v>
      </c>
      <c r="G2270">
        <f ca="1"/>
        <v>3.6538273264434151</v>
      </c>
    </row>
    <row r="2271" spans="3:7">
      <c r="C2271">
        <f ca="1"/>
        <v>1.587888316405424</v>
      </c>
      <c r="D2271">
        <f ca="1"/>
        <v>-0.30341957145323872</v>
      </c>
      <c r="E2271">
        <f ca="1"/>
        <v>-1.4636334923808165</v>
      </c>
      <c r="G2271">
        <f ca="1"/>
        <v>4.7556757417365851</v>
      </c>
    </row>
    <row r="2272" spans="3:7">
      <c r="C2272">
        <f ca="1"/>
        <v>1.2094320515739529</v>
      </c>
      <c r="D2272">
        <f ca="1"/>
        <v>2.3866932803862272E-2</v>
      </c>
      <c r="E2272">
        <f ca="1"/>
        <v>3.8990498324475285E-2</v>
      </c>
      <c r="G2272">
        <f ca="1"/>
        <v>1.4648157768154355</v>
      </c>
    </row>
    <row r="2273" spans="3:7">
      <c r="C2273">
        <f ca="1"/>
        <v>-1.1575771284390692</v>
      </c>
      <c r="D2273">
        <f ca="1"/>
        <v>1.4624690096017559</v>
      </c>
      <c r="E2273">
        <f ca="1"/>
        <v>1.6534458226919648</v>
      </c>
      <c r="G2273">
        <f ca="1"/>
        <v>6.212683500908291</v>
      </c>
    </row>
    <row r="2274" spans="3:7">
      <c r="C2274">
        <f ca="1"/>
        <v>-1.0020319488464817</v>
      </c>
      <c r="D2274">
        <f ca="1"/>
        <v>3.0043579155041717</v>
      </c>
      <c r="E2274">
        <f ca="1"/>
        <v>-1.432407952475961</v>
      </c>
      <c r="G2274">
        <f ca="1"/>
        <v>12.082027053278026</v>
      </c>
    </row>
    <row r="2275" spans="3:7">
      <c r="C2275">
        <f ca="1"/>
        <v>0.87224842140658287</v>
      </c>
      <c r="D2275">
        <f ca="1"/>
        <v>-1.2376775942546048</v>
      </c>
      <c r="E2275">
        <f ca="1"/>
        <v>1.4577155758507323</v>
      </c>
      <c r="G2275">
        <f ca="1"/>
        <v>4.4175978360439743</v>
      </c>
    </row>
    <row r="2276" spans="3:7">
      <c r="C2276">
        <f ca="1"/>
        <v>0.59177173468249267</v>
      </c>
      <c r="D2276">
        <f ca="1"/>
        <v>-1.3957547497273686E-2</v>
      </c>
      <c r="E2276">
        <f ca="1"/>
        <v>0.99565035811947811</v>
      </c>
      <c r="G2276">
        <f ca="1"/>
        <v>1.3417082347247102</v>
      </c>
    </row>
    <row r="2277" spans="3:7">
      <c r="C2277">
        <f ca="1"/>
        <v>-1.2530599220063572</v>
      </c>
      <c r="D2277">
        <f ca="1"/>
        <v>-0.49090397212234282</v>
      </c>
      <c r="E2277">
        <f ca="1"/>
        <v>-0.4337970477216252</v>
      </c>
      <c r="G2277">
        <f ca="1"/>
        <v>1.9993257565960698</v>
      </c>
    </row>
    <row r="2278" spans="3:7">
      <c r="C2278">
        <f ca="1"/>
        <v>1.0353477203219408</v>
      </c>
      <c r="D2278">
        <f ca="1"/>
        <v>-9.1688081894281806E-2</v>
      </c>
      <c r="E2278">
        <f ca="1"/>
        <v>-0.43368486054638272</v>
      </c>
      <c r="G2278">
        <f ca="1"/>
        <v>1.2684341646044279</v>
      </c>
    </row>
    <row r="2279" spans="3:7">
      <c r="C2279">
        <f ca="1"/>
        <v>1.940563029869264</v>
      </c>
      <c r="D2279">
        <f ca="1"/>
        <v>-1.43056983275058</v>
      </c>
      <c r="E2279">
        <f ca="1"/>
        <v>-0.92531581524130802</v>
      </c>
      <c r="G2279">
        <f ca="1"/>
        <v>6.6685242772070863</v>
      </c>
    </row>
    <row r="2280" spans="3:7">
      <c r="C2280">
        <f ca="1"/>
        <v>-2.3808217312822819</v>
      </c>
      <c r="D2280">
        <f ca="1"/>
        <v>-0.60611821096012863</v>
      </c>
      <c r="E2280">
        <f ca="1"/>
        <v>-0.58619187182294308</v>
      </c>
      <c r="G2280">
        <f ca="1"/>
        <v>6.379312312394755</v>
      </c>
    </row>
    <row r="2281" spans="3:7">
      <c r="C2281">
        <f ca="1"/>
        <v>0.64649037690742872</v>
      </c>
      <c r="D2281">
        <f ca="1"/>
        <v>0.95575366807955464</v>
      </c>
      <c r="E2281">
        <f ca="1"/>
        <v>-0.13280651257507212</v>
      </c>
      <c r="G2281">
        <f ca="1"/>
        <v>1.3490524512637856</v>
      </c>
    </row>
    <row r="2282" spans="3:7">
      <c r="C2282">
        <f ca="1"/>
        <v>-6.7290819419280556E-2</v>
      </c>
      <c r="D2282">
        <f ca="1"/>
        <v>-0.38693822568588571</v>
      </c>
      <c r="E2282">
        <f ca="1"/>
        <v>-1.1401585114348238</v>
      </c>
      <c r="G2282">
        <f ca="1"/>
        <v>1.454210676072333</v>
      </c>
    </row>
    <row r="2283" spans="3:7">
      <c r="C2283">
        <f ca="1"/>
        <v>-1.278050161211105</v>
      </c>
      <c r="D2283">
        <f ca="1"/>
        <v>-0.85374202096326235</v>
      </c>
      <c r="E2283">
        <f ca="1"/>
        <v>0.58825358350431889</v>
      </c>
      <c r="G2283">
        <f ca="1"/>
        <v>2.7083299314358396</v>
      </c>
    </row>
    <row r="2284" spans="3:7">
      <c r="C2284">
        <f ca="1"/>
        <v>-3.1872370183097708E-2</v>
      </c>
      <c r="D2284">
        <f ca="1"/>
        <v>1.6412300696072242</v>
      </c>
      <c r="E2284">
        <f ca="1"/>
        <v>-0.76842480606540364</v>
      </c>
      <c r="G2284">
        <f ca="1"/>
        <v>3.2851286719406754</v>
      </c>
    </row>
    <row r="2285" spans="3:7">
      <c r="C2285">
        <f ca="1"/>
        <v>-1.6363707136180163</v>
      </c>
      <c r="D2285">
        <f ca="1"/>
        <v>-1.415934031656283</v>
      </c>
      <c r="E2285">
        <f ca="1"/>
        <v>-1.4338265040863936</v>
      </c>
      <c r="G2285">
        <f ca="1"/>
        <v>6.7384367382097601</v>
      </c>
    </row>
    <row r="2286" spans="3:7">
      <c r="C2286">
        <f ca="1"/>
        <v>2.5082560509750271</v>
      </c>
      <c r="D2286">
        <f ca="1"/>
        <v>0.90719743641871464</v>
      </c>
      <c r="E2286">
        <f ca="1"/>
        <v>-0.38512588024983879</v>
      </c>
      <c r="G2286">
        <f ca="1"/>
        <v>7.2626775495357387</v>
      </c>
    </row>
    <row r="2287" spans="3:7">
      <c r="C2287">
        <f ca="1"/>
        <v>0.97862526450622778</v>
      </c>
      <c r="D2287">
        <f ca="1"/>
        <v>-2.0202457130525096</v>
      </c>
      <c r="E2287">
        <f ca="1"/>
        <v>0.53546501136969737</v>
      </c>
      <c r="G2287">
        <f ca="1"/>
        <v>5.3258229278380771</v>
      </c>
    </row>
    <row r="2288" spans="3:7">
      <c r="C2288">
        <f ca="1"/>
        <v>0.61796661129628683</v>
      </c>
      <c r="D2288">
        <f ca="1"/>
        <v>-0.51071909622257761</v>
      </c>
      <c r="E2288">
        <f ca="1"/>
        <v>8.5776017763482842E-2</v>
      </c>
      <c r="G2288">
        <f ca="1"/>
        <v>0.6500742531467838</v>
      </c>
    </row>
    <row r="2289" spans="3:7">
      <c r="C2289">
        <f ca="1"/>
        <v>0.69943890319625246</v>
      </c>
      <c r="D2289">
        <f ca="1"/>
        <v>-0.53094423110349487</v>
      </c>
      <c r="E2289">
        <f ca="1"/>
        <v>-1.1421581854414831</v>
      </c>
      <c r="G2289">
        <f ca="1"/>
        <v>2.0756418764174391</v>
      </c>
    </row>
    <row r="2290" spans="3:7">
      <c r="C2290">
        <f ca="1"/>
        <v>-0.16809174641900118</v>
      </c>
      <c r="D2290">
        <f ca="1"/>
        <v>0.45593120143500643</v>
      </c>
      <c r="E2290">
        <f ca="1"/>
        <v>1.6709765154752321</v>
      </c>
      <c r="G2290">
        <f ca="1"/>
        <v>3.0282906109259065</v>
      </c>
    </row>
    <row r="2291" spans="3:7">
      <c r="C2291">
        <f ca="1"/>
        <v>-0.62963567578090063</v>
      </c>
      <c r="D2291">
        <f ca="1"/>
        <v>0.11024848653128806</v>
      </c>
      <c r="E2291">
        <f ca="1"/>
        <v>0.51166826801659748</v>
      </c>
      <c r="G2291">
        <f ca="1"/>
        <v>0.67040022949361566</v>
      </c>
    </row>
    <row r="2292" spans="3:7">
      <c r="C2292">
        <f ca="1"/>
        <v>0.31442211090684274</v>
      </c>
      <c r="D2292">
        <f ca="1"/>
        <v>1.5502447187552297</v>
      </c>
      <c r="E2292">
        <f ca="1"/>
        <v>-0.47371918264662727</v>
      </c>
      <c r="G2292">
        <f ca="1"/>
        <v>2.7265298158629854</v>
      </c>
    </row>
    <row r="2293" spans="3:7">
      <c r="C2293">
        <f ca="1"/>
        <v>-0.33564421855242843</v>
      </c>
      <c r="D2293">
        <f ca="1"/>
        <v>-0.62237567022477602</v>
      </c>
      <c r="E2293">
        <f ca="1"/>
        <v>0.75970000979297858</v>
      </c>
      <c r="G2293">
        <f ca="1"/>
        <v>1.0771526212148612</v>
      </c>
    </row>
    <row r="2294" spans="3:7">
      <c r="C2294">
        <f ca="1"/>
        <v>-1.8967329795030166</v>
      </c>
      <c r="D2294">
        <f ca="1"/>
        <v>-5.8161608272069065E-2</v>
      </c>
      <c r="E2294">
        <f ca="1"/>
        <v>2.2849697220643519E-2</v>
      </c>
      <c r="G2294">
        <f ca="1"/>
        <v>3.6015008768742591</v>
      </c>
    </row>
    <row r="2295" spans="3:7">
      <c r="C2295">
        <f ca="1"/>
        <v>-2.0933527093237037E-2</v>
      </c>
      <c r="D2295">
        <f ca="1"/>
        <v>0.61193799560640116</v>
      </c>
      <c r="E2295">
        <f ca="1"/>
        <v>-0.80284969613695989</v>
      </c>
      <c r="G2295">
        <f ca="1"/>
        <v>1.0194739576105518</v>
      </c>
    </row>
    <row r="2296" spans="3:7">
      <c r="C2296">
        <f ca="1"/>
        <v>-1.3304759208617571</v>
      </c>
      <c r="D2296">
        <f ca="1"/>
        <v>0.72348818515267854</v>
      </c>
      <c r="E2296">
        <f ca="1"/>
        <v>2.4580018669106507</v>
      </c>
      <c r="G2296">
        <f ca="1"/>
        <v>8.3353745077847012</v>
      </c>
    </row>
    <row r="2297" spans="3:7">
      <c r="C2297">
        <f ca="1"/>
        <v>-0.50456155739212061</v>
      </c>
      <c r="D2297">
        <f ca="1"/>
        <v>0.91689324114437554</v>
      </c>
      <c r="E2297">
        <f ca="1"/>
        <v>0.97695466220099503</v>
      </c>
      <c r="G2297">
        <f ca="1"/>
        <v>2.0497159928504605</v>
      </c>
    </row>
    <row r="2298" spans="3:7">
      <c r="C2298">
        <f ca="1"/>
        <v>-0.96931135394329804</v>
      </c>
      <c r="D2298">
        <f ca="1"/>
        <v>-1.4327094080340343</v>
      </c>
      <c r="E2298">
        <f ca="1"/>
        <v>-0.83867609560379985</v>
      </c>
      <c r="G2298">
        <f ca="1"/>
        <v>3.6955983420898568</v>
      </c>
    </row>
    <row r="2299" spans="3:7">
      <c r="C2299">
        <f ca="1"/>
        <v>1.0979737310427569</v>
      </c>
      <c r="D2299">
        <f ca="1"/>
        <v>0.33209179543131689</v>
      </c>
      <c r="E2299">
        <f ca="1"/>
        <v>0.95467158682225284</v>
      </c>
      <c r="G2299">
        <f ca="1"/>
        <v>2.2272291133384661</v>
      </c>
    </row>
    <row r="2300" spans="3:7">
      <c r="C2300">
        <f ca="1"/>
        <v>-0.42392948019359572</v>
      </c>
      <c r="D2300">
        <f ca="1"/>
        <v>-0.72518875248025227</v>
      </c>
      <c r="E2300">
        <f ca="1"/>
        <v>-0.82052720661476253</v>
      </c>
      <c r="G2300">
        <f ca="1"/>
        <v>1.3788798276961021</v>
      </c>
    </row>
    <row r="2301" spans="3:7">
      <c r="C2301">
        <f ca="1"/>
        <v>-0.13635798285083184</v>
      </c>
      <c r="D2301">
        <f ca="1"/>
        <v>-1.1377959678195866</v>
      </c>
      <c r="E2301">
        <f ca="1"/>
        <v>-0.35314687522522914</v>
      </c>
      <c r="G2301">
        <f ca="1"/>
        <v>1.4378858793550011</v>
      </c>
    </row>
    <row r="2302" spans="3:7">
      <c r="C2302">
        <f ca="1"/>
        <v>0.8690625776118448</v>
      </c>
      <c r="D2302">
        <f ca="1"/>
        <v>-1.1273375845608526</v>
      </c>
      <c r="E2302">
        <f ca="1"/>
        <v>0.27014728780428515</v>
      </c>
      <c r="G2302">
        <f ca="1"/>
        <v>2.0991393504768525</v>
      </c>
    </row>
    <row r="2303" spans="3:7">
      <c r="C2303">
        <f ca="1"/>
        <v>-0.42397863249903867</v>
      </c>
      <c r="D2303">
        <f ca="1"/>
        <v>0.46346220792806309</v>
      </c>
      <c r="E2303">
        <f ca="1"/>
        <v>-1.1420652368908422</v>
      </c>
      <c r="G2303">
        <f ca="1"/>
        <v>1.6988681043078455</v>
      </c>
    </row>
    <row r="2304" spans="3:7">
      <c r="C2304">
        <f ca="1"/>
        <v>0.80240027427116956</v>
      </c>
      <c r="D2304">
        <f ca="1"/>
        <v>0.54373041757891549</v>
      </c>
      <c r="E2304">
        <f ca="1"/>
        <v>-5.5180477541013538E-2</v>
      </c>
      <c r="G2304">
        <f ca="1"/>
        <v>0.9425338522526443</v>
      </c>
    </row>
    <row r="2305" spans="3:7">
      <c r="C2305">
        <f ca="1"/>
        <v>7.4586711287469062E-2</v>
      </c>
      <c r="D2305">
        <f ca="1"/>
        <v>-0.90185786567354154</v>
      </c>
      <c r="E2305">
        <f ca="1"/>
        <v>-0.82467857812452849</v>
      </c>
      <c r="G2305">
        <f ca="1"/>
        <v>1.49900554459541</v>
      </c>
    </row>
    <row r="2306" spans="3:7">
      <c r="C2306">
        <f ca="1"/>
        <v>-0.78439568260855608</v>
      </c>
      <c r="D2306">
        <f ca="1"/>
        <v>-1.141773483214046</v>
      </c>
      <c r="E2306">
        <f ca="1"/>
        <v>-2.0981081078814952</v>
      </c>
      <c r="G2306">
        <f ca="1"/>
        <v>6.3209809062237454</v>
      </c>
    </row>
    <row r="2307" spans="3:7">
      <c r="C2307">
        <f ca="1"/>
        <v>-0.7920512542581668</v>
      </c>
      <c r="D2307">
        <f ca="1"/>
        <v>0.86099207055378246</v>
      </c>
      <c r="E2307">
        <f ca="1"/>
        <v>-1.6760914144367809</v>
      </c>
      <c r="G2307">
        <f ca="1"/>
        <v>4.1779349644771138</v>
      </c>
    </row>
    <row r="2308" spans="3:7">
      <c r="C2308">
        <f ca="1"/>
        <v>0.15264515637141951</v>
      </c>
      <c r="D2308">
        <f ca="1"/>
        <v>1.0207103244322295</v>
      </c>
      <c r="E2308">
        <f ca="1"/>
        <v>0.69552077724208738</v>
      </c>
      <c r="G2308">
        <f ca="1"/>
        <v>1.5488992617416397</v>
      </c>
    </row>
    <row r="2309" spans="3:7">
      <c r="C2309">
        <f ca="1"/>
        <v>1.0890794360518123</v>
      </c>
      <c r="D2309">
        <f ca="1"/>
        <v>0.62751956336244707</v>
      </c>
      <c r="E2309">
        <f ca="1"/>
        <v>9.0667580250999844E-2</v>
      </c>
      <c r="G2309">
        <f ca="1"/>
        <v>1.5880954305421013</v>
      </c>
    </row>
    <row r="2310" spans="3:7">
      <c r="C2310">
        <f ca="1"/>
        <v>0.26072248112495516</v>
      </c>
      <c r="D2310">
        <f ca="1"/>
        <v>-0.22411843619260904</v>
      </c>
      <c r="E2310">
        <f ca="1"/>
        <v>1.2501850453299739</v>
      </c>
      <c r="G2310">
        <f ca="1"/>
        <v>1.6811679331720821</v>
      </c>
    </row>
    <row r="2311" spans="3:7">
      <c r="C2311">
        <f ca="1"/>
        <v>-8.0386458320673163E-2</v>
      </c>
      <c r="D2311">
        <f ca="1"/>
        <v>-8.3822977889886172E-2</v>
      </c>
      <c r="E2311">
        <f ca="1"/>
        <v>0.41817139079190818</v>
      </c>
      <c r="G2311">
        <f ca="1"/>
        <v>0.18835558638050845</v>
      </c>
    </row>
    <row r="2312" spans="3:7">
      <c r="C2312">
        <f ca="1"/>
        <v>-0.7442917998750711</v>
      </c>
      <c r="D2312">
        <f ca="1"/>
        <v>-0.16343139062893608</v>
      </c>
      <c r="E2312">
        <f ca="1"/>
        <v>-1.8149457352239859</v>
      </c>
      <c r="G2312">
        <f ca="1"/>
        <v>3.8747081246119155</v>
      </c>
    </row>
    <row r="2313" spans="3:7">
      <c r="C2313">
        <f ca="1"/>
        <v>-0.50995439740791249</v>
      </c>
      <c r="D2313">
        <f ca="1"/>
        <v>0.51690492298652402</v>
      </c>
      <c r="E2313">
        <f ca="1"/>
        <v>-0.34988667634912413</v>
      </c>
      <c r="G2313">
        <f ca="1"/>
        <v>0.6496648731300082</v>
      </c>
    </row>
    <row r="2314" spans="3:7">
      <c r="C2314">
        <f ca="1"/>
        <v>1.4135138486072854</v>
      </c>
      <c r="D2314">
        <f ca="1"/>
        <v>-0.15578220733930273</v>
      </c>
      <c r="E2314">
        <f ca="1"/>
        <v>-0.4965476334585085</v>
      </c>
      <c r="G2314">
        <f ca="1"/>
        <v>2.2688490486213304</v>
      </c>
    </row>
    <row r="2315" spans="3:7">
      <c r="C2315">
        <f ca="1"/>
        <v>0.68928019555067699</v>
      </c>
      <c r="D2315">
        <f ca="1"/>
        <v>-0.41964518335819884</v>
      </c>
      <c r="E2315">
        <f ca="1"/>
        <v>0.53326712615301297</v>
      </c>
      <c r="G2315">
        <f ca="1"/>
        <v>0.93558309572960929</v>
      </c>
    </row>
    <row r="2316" spans="3:7">
      <c r="C2316">
        <f ca="1"/>
        <v>-0.39368471121619386</v>
      </c>
      <c r="D2316">
        <f ca="1"/>
        <v>1.1484294146967209</v>
      </c>
      <c r="E2316">
        <f ca="1"/>
        <v>-1.3984838208572354</v>
      </c>
      <c r="G2316">
        <f ca="1"/>
        <v>3.429634769585483</v>
      </c>
    </row>
    <row r="2317" spans="3:7">
      <c r="C2317">
        <f ca="1"/>
        <v>0.56269603595572382</v>
      </c>
      <c r="D2317">
        <f ca="1"/>
        <v>0.53869635333548871</v>
      </c>
      <c r="E2317">
        <f ca="1"/>
        <v>-0.60007630762866715</v>
      </c>
      <c r="G2317">
        <f ca="1"/>
        <v>0.96691216495449372</v>
      </c>
    </row>
    <row r="2318" spans="3:7">
      <c r="C2318">
        <f ca="1"/>
        <v>-0.56337771846499962</v>
      </c>
      <c r="D2318">
        <f ca="1"/>
        <v>0.67447490246021713</v>
      </c>
      <c r="E2318">
        <f ca="1"/>
        <v>0.75801158659364287</v>
      </c>
      <c r="G2318">
        <f ca="1"/>
        <v>1.3468924131217594</v>
      </c>
    </row>
    <row r="2319" spans="3:7">
      <c r="C2319">
        <f ca="1"/>
        <v>-0.5622698692694138</v>
      </c>
      <c r="D2319">
        <f ca="1"/>
        <v>-0.42946717222380781</v>
      </c>
      <c r="E2319">
        <f ca="1"/>
        <v>0.30020691540599798</v>
      </c>
      <c r="G2319">
        <f ca="1"/>
        <v>0.59071364996374154</v>
      </c>
    </row>
    <row r="2320" spans="3:7">
      <c r="C2320">
        <f ca="1"/>
        <v>-0.39575575414510855</v>
      </c>
      <c r="D2320">
        <f ca="1"/>
        <v>-0.5459481929969815</v>
      </c>
      <c r="E2320">
        <f ca="1"/>
        <v>0.35730709874293975</v>
      </c>
      <c r="G2320">
        <f ca="1"/>
        <v>0.58235040918772984</v>
      </c>
    </row>
    <row r="2321" spans="3:7">
      <c r="C2321">
        <f ca="1"/>
        <v>0.70257385569584918</v>
      </c>
      <c r="D2321">
        <f ca="1"/>
        <v>0.49232634073219794</v>
      </c>
      <c r="E2321">
        <f ca="1"/>
        <v>0.93667972800607324</v>
      </c>
      <c r="G2321">
        <f ca="1"/>
        <v>1.6133641613436196</v>
      </c>
    </row>
    <row r="2322" spans="3:7">
      <c r="C2322">
        <f ca="1"/>
        <v>-0.76207366305787017</v>
      </c>
      <c r="D2322">
        <f ca="1"/>
        <v>0.28608155774340777</v>
      </c>
      <c r="E2322">
        <f ca="1"/>
        <v>0.82488804123764181</v>
      </c>
      <c r="G2322">
        <f ca="1"/>
        <v>1.3430392061842085</v>
      </c>
    </row>
    <row r="2323" spans="3:7">
      <c r="C2323">
        <f ca="1"/>
        <v>0.50833990906851589</v>
      </c>
      <c r="D2323">
        <f ca="1"/>
        <v>-1.056319857180577</v>
      </c>
      <c r="E2323">
        <f ca="1"/>
        <v>-0.55619951607802043</v>
      </c>
      <c r="G2323">
        <f ca="1"/>
        <v>1.6835790055112057</v>
      </c>
    </row>
    <row r="2324" spans="3:7">
      <c r="C2324">
        <f ca="1"/>
        <v>-0.39824706186420233</v>
      </c>
      <c r="D2324">
        <f ca="1"/>
        <v>-0.1600940022207972</v>
      </c>
      <c r="E2324">
        <f ca="1"/>
        <v>-1.3805058660150695</v>
      </c>
      <c r="G2324">
        <f ca="1"/>
        <v>2.0900272579325594</v>
      </c>
    </row>
    <row r="2325" spans="3:7">
      <c r="C2325">
        <f ca="1"/>
        <v>-0.78006444861428736</v>
      </c>
      <c r="D2325">
        <f ca="1"/>
        <v>-1.7210262830822329</v>
      </c>
      <c r="E2325">
        <f ca="1"/>
        <v>0.46576040014770209</v>
      </c>
      <c r="G2325">
        <f ca="1"/>
        <v>3.7873647613975061</v>
      </c>
    </row>
    <row r="2326" spans="3:7">
      <c r="C2326">
        <f ca="1"/>
        <v>1.5255432668979871</v>
      </c>
      <c r="D2326">
        <f ca="1"/>
        <v>-1.3848325179913201</v>
      </c>
      <c r="E2326">
        <f ca="1"/>
        <v>-0.28139526772862339</v>
      </c>
      <c r="G2326">
        <f ca="1"/>
        <v>4.3242266587640277</v>
      </c>
    </row>
    <row r="2327" spans="3:7">
      <c r="C2327">
        <f ca="1"/>
        <v>0.44629958421589122</v>
      </c>
      <c r="D2327">
        <f ca="1"/>
        <v>1.5164498022236332</v>
      </c>
      <c r="E2327">
        <f ca="1"/>
        <v>-3.3229499371853732</v>
      </c>
      <c r="G2327">
        <f ca="1"/>
        <v>13.54079960657565</v>
      </c>
    </row>
    <row r="2328" spans="3:7">
      <c r="C2328">
        <f ca="1"/>
        <v>1.0147505423062686</v>
      </c>
      <c r="D2328">
        <f ca="1"/>
        <v>-0.34551220987475639</v>
      </c>
      <c r="E2328">
        <f ca="1"/>
        <v>-1.5140509210541486</v>
      </c>
      <c r="G2328">
        <f ca="1"/>
        <v>3.4414475418283197</v>
      </c>
    </row>
    <row r="2329" spans="3:7">
      <c r="C2329">
        <f ca="1"/>
        <v>-0.34963303634555853</v>
      </c>
      <c r="D2329">
        <f ca="1"/>
        <v>-0.86975427780096792</v>
      </c>
      <c r="E2329">
        <f ca="1"/>
        <v>0.16542846272300016</v>
      </c>
      <c r="G2329">
        <f ca="1"/>
        <v>0.90608234013619304</v>
      </c>
    </row>
    <row r="2330" spans="3:7">
      <c r="C2330">
        <f ca="1"/>
        <v>0.52955273287389515</v>
      </c>
      <c r="D2330">
        <f ca="1"/>
        <v>1.836643739856137</v>
      </c>
      <c r="E2330">
        <f ca="1"/>
        <v>-7.5859013577805126E-2</v>
      </c>
      <c r="G2330">
        <f ca="1"/>
        <v>3.6594409139879462</v>
      </c>
    </row>
    <row r="2331" spans="3:7">
      <c r="C2331">
        <f ca="1"/>
        <v>-0.7593086968012579</v>
      </c>
      <c r="D2331">
        <f ca="1"/>
        <v>-1.2223080814116738</v>
      </c>
      <c r="E2331">
        <f ca="1"/>
        <v>-0.60022516770244516</v>
      </c>
      <c r="G2331">
        <f ca="1"/>
        <v>2.4308569948657404</v>
      </c>
    </row>
    <row r="2332" spans="3:7">
      <c r="C2332">
        <f ca="1"/>
        <v>1.178141070807069</v>
      </c>
      <c r="D2332">
        <f ca="1"/>
        <v>9.6082096324449806E-2</v>
      </c>
      <c r="E2332">
        <f ca="1"/>
        <v>0.36864822160813659</v>
      </c>
      <c r="G2332">
        <f ca="1"/>
        <v>1.5331496632513699</v>
      </c>
    </row>
    <row r="2333" spans="3:7">
      <c r="C2333">
        <f ca="1"/>
        <v>1.2902705302017303</v>
      </c>
      <c r="D2333">
        <f ca="1"/>
        <v>-0.30480929162733006</v>
      </c>
      <c r="E2333">
        <f ca="1"/>
        <v>0.21500857278651855</v>
      </c>
      <c r="G2333">
        <f ca="1"/>
        <v>1.8039354317411045</v>
      </c>
    </row>
    <row r="2334" spans="3:7">
      <c r="C2334">
        <f ca="1"/>
        <v>1.3419386010668972</v>
      </c>
      <c r="D2334">
        <f ca="1"/>
        <v>-2.4204681317094621</v>
      </c>
      <c r="E2334">
        <f ca="1"/>
        <v>0.8658351281562735</v>
      </c>
      <c r="G2334">
        <f ca="1"/>
        <v>8.4091356548038654</v>
      </c>
    </row>
    <row r="2335" spans="3:7">
      <c r="C2335">
        <f ca="1"/>
        <v>-0.3962297717321428</v>
      </c>
      <c r="D2335">
        <f ca="1"/>
        <v>0.72258987422134302</v>
      </c>
      <c r="E2335">
        <f ca="1"/>
        <v>0.51766478229466317</v>
      </c>
      <c r="G2335">
        <f ca="1"/>
        <v>0.9471109851623033</v>
      </c>
    </row>
    <row r="2336" spans="3:7">
      <c r="C2336">
        <f ca="1"/>
        <v>1.3021143388242062</v>
      </c>
      <c r="D2336">
        <f ca="1"/>
        <v>0.79480993458972182</v>
      </c>
      <c r="E2336">
        <f ca="1"/>
        <v>0.15912064782143687</v>
      </c>
      <c r="G2336">
        <f ca="1"/>
        <v>2.3525439640572312</v>
      </c>
    </row>
    <row r="2337" spans="3:7">
      <c r="C2337">
        <f ca="1"/>
        <v>0.8076081241818831</v>
      </c>
      <c r="D2337">
        <f ca="1"/>
        <v>0.8394536481622672</v>
      </c>
      <c r="E2337">
        <f ca="1"/>
        <v>-0.34439475107069789</v>
      </c>
      <c r="G2337">
        <f ca="1"/>
        <v>1.4755210542225674</v>
      </c>
    </row>
    <row r="2338" spans="3:7">
      <c r="C2338">
        <f ca="1"/>
        <v>0.66368330734004577</v>
      </c>
      <c r="D2338">
        <f ca="1"/>
        <v>2.4341697444978991</v>
      </c>
      <c r="E2338">
        <f ca="1"/>
        <v>0.49186215729655508</v>
      </c>
      <c r="G2338">
        <f ca="1"/>
        <v>6.6075862592512102</v>
      </c>
    </row>
    <row r="2339" spans="3:7">
      <c r="C2339">
        <f ca="1"/>
        <v>0.91798615075409573</v>
      </c>
      <c r="D2339">
        <f ca="1"/>
        <v>-0.68655993871876908</v>
      </c>
      <c r="E2339">
        <f ca="1"/>
        <v>-1.2100060702139064</v>
      </c>
      <c r="G2339">
        <f ca="1"/>
        <v>2.7781778123843424</v>
      </c>
    </row>
    <row r="2340" spans="3:7">
      <c r="C2340">
        <f ca="1"/>
        <v>-0.72423253752644368</v>
      </c>
      <c r="D2340">
        <f ca="1"/>
        <v>-0.73312633723042098</v>
      </c>
      <c r="E2340">
        <f ca="1"/>
        <v>-4.2481968802145248E-2</v>
      </c>
      <c r="G2340">
        <f ca="1"/>
        <v>1.0637917124261911</v>
      </c>
    </row>
    <row r="2341" spans="3:7">
      <c r="C2341">
        <f ca="1"/>
        <v>-1.9056719968028053</v>
      </c>
      <c r="D2341">
        <f ca="1"/>
        <v>-0.78705943635001963</v>
      </c>
      <c r="E2341">
        <f ca="1"/>
        <v>0.83653069751139419</v>
      </c>
      <c r="G2341">
        <f ca="1"/>
        <v>4.9508319236249019</v>
      </c>
    </row>
    <row r="2342" spans="3:7">
      <c r="C2342">
        <f ca="1"/>
        <v>1.9153001528212501</v>
      </c>
      <c r="D2342">
        <f ca="1"/>
        <v>1.4940741065531189</v>
      </c>
      <c r="E2342">
        <f ca="1"/>
        <v>0.7152374174708489</v>
      </c>
      <c r="G2342">
        <f ca="1"/>
        <v>6.4121966746199739</v>
      </c>
    </row>
    <row r="2343" spans="3:7">
      <c r="C2343">
        <f ca="1"/>
        <v>0.54684414365581158</v>
      </c>
      <c r="D2343">
        <f ca="1"/>
        <v>-1.3853845981935333</v>
      </c>
      <c r="E2343">
        <f ca="1"/>
        <v>1.5440855572402858</v>
      </c>
      <c r="G2343">
        <f ca="1"/>
        <v>4.6025292104405597</v>
      </c>
    </row>
    <row r="2344" spans="3:7">
      <c r="C2344">
        <f ca="1"/>
        <v>-0.31831184033989718</v>
      </c>
      <c r="D2344">
        <f ca="1"/>
        <v>-0.92131499451901167</v>
      </c>
      <c r="E2344">
        <f ca="1"/>
        <v>0.92751833791498262</v>
      </c>
      <c r="G2344">
        <f ca="1"/>
        <v>1.8104340139947106</v>
      </c>
    </row>
    <row r="2345" spans="3:7">
      <c r="C2345">
        <f ca="1"/>
        <v>-1.6184428820491494</v>
      </c>
      <c r="D2345">
        <f ca="1"/>
        <v>-1.6308869581994172</v>
      </c>
      <c r="E2345">
        <f ca="1"/>
        <v>-9.2873127964308425E-2</v>
      </c>
      <c r="G2345">
        <f ca="1"/>
        <v>5.2877750507783796</v>
      </c>
    </row>
    <row r="2346" spans="3:7">
      <c r="C2346">
        <f ca="1"/>
        <v>-1.6463108517179996</v>
      </c>
      <c r="D2346">
        <f ca="1"/>
        <v>0.62312380647521015</v>
      </c>
      <c r="E2346">
        <f ca="1"/>
        <v>0.34154274111876354</v>
      </c>
      <c r="G2346">
        <f ca="1"/>
        <v>3.215274142691519</v>
      </c>
    </row>
    <row r="2347" spans="3:7">
      <c r="C2347">
        <f ca="1"/>
        <v>-1.9271701200156048</v>
      </c>
      <c r="D2347">
        <f ca="1"/>
        <v>1.2543684356032883</v>
      </c>
      <c r="E2347">
        <f ca="1"/>
        <v>0.78241522178040979</v>
      </c>
      <c r="G2347">
        <f ca="1"/>
        <v>5.8995984229924892</v>
      </c>
    </row>
    <row r="2348" spans="3:7">
      <c r="C2348">
        <f ca="1"/>
        <v>0.57775385220420816</v>
      </c>
      <c r="D2348">
        <f ca="1"/>
        <v>0.52987986577979329</v>
      </c>
      <c r="E2348">
        <f ca="1"/>
        <v>0.59703027884245119</v>
      </c>
      <c r="G2348">
        <f ca="1"/>
        <v>0.97101733975030868</v>
      </c>
    </row>
    <row r="2349" spans="3:7">
      <c r="C2349">
        <f ca="1"/>
        <v>-0.54844462203256872</v>
      </c>
      <c r="D2349">
        <f ca="1"/>
        <v>0.53230249221727244</v>
      </c>
      <c r="E2349">
        <f ca="1"/>
        <v>0.28324781529205872</v>
      </c>
      <c r="G2349">
        <f ca="1"/>
        <v>0.66436677152489065</v>
      </c>
    </row>
    <row r="2350" spans="3:7">
      <c r="C2350">
        <f ca="1"/>
        <v>-0.87559269836558173</v>
      </c>
      <c r="D2350">
        <f ca="1"/>
        <v>1.9093907410841542</v>
      </c>
      <c r="E2350">
        <f ca="1"/>
        <v>0.23330746804740901</v>
      </c>
      <c r="G2350">
        <f ca="1"/>
        <v>4.4668679502157085</v>
      </c>
    </row>
    <row r="2351" spans="3:7">
      <c r="C2351">
        <f ca="1"/>
        <v>-0.16470583794125468</v>
      </c>
      <c r="D2351">
        <f ca="1"/>
        <v>1.9217177741545708</v>
      </c>
      <c r="E2351">
        <f ca="1"/>
        <v>-0.49075602971562271</v>
      </c>
      <c r="G2351">
        <f ca="1"/>
        <v>3.9609686972557703</v>
      </c>
    </row>
    <row r="2352" spans="3:7">
      <c r="C2352">
        <f ca="1"/>
        <v>1.360061502200949</v>
      </c>
      <c r="D2352">
        <f ca="1"/>
        <v>1.0286808829303258</v>
      </c>
      <c r="E2352">
        <f ca="1"/>
        <v>0.60868549785272652</v>
      </c>
      <c r="G2352">
        <f ca="1"/>
        <v>3.2784496839716382</v>
      </c>
    </row>
    <row r="2353" spans="3:7">
      <c r="C2353">
        <f ca="1"/>
        <v>0.92257597093434784</v>
      </c>
      <c r="D2353">
        <f ca="1"/>
        <v>0.23473886675605415</v>
      </c>
      <c r="E2353">
        <f ca="1"/>
        <v>-0.52021579218410741</v>
      </c>
      <c r="G2353">
        <f ca="1"/>
        <v>1.1768732281491097</v>
      </c>
    </row>
    <row r="2354" spans="3:7">
      <c r="C2354">
        <f ca="1"/>
        <v>-0.41624192993230885</v>
      </c>
      <c r="D2354">
        <f ca="1"/>
        <v>-0.42839799682839397</v>
      </c>
      <c r="E2354">
        <f ca="1"/>
        <v>-0.91773088661217739</v>
      </c>
      <c r="G2354">
        <f ca="1"/>
        <v>1.1990121681623269</v>
      </c>
    </row>
    <row r="2355" spans="3:7">
      <c r="C2355">
        <f ca="1"/>
        <v>0.50476302843803167</v>
      </c>
      <c r="D2355">
        <f ca="1"/>
        <v>-9.0588090236877195E-2</v>
      </c>
      <c r="E2355">
        <f ca="1"/>
        <v>-0.57991491861792477</v>
      </c>
      <c r="G2355">
        <f ca="1"/>
        <v>0.59929322980633204</v>
      </c>
    </row>
    <row r="2356" spans="3:7">
      <c r="C2356">
        <f ca="1"/>
        <v>-0.11159957586482208</v>
      </c>
      <c r="D2356">
        <f ca="1"/>
        <v>-1.5223187336151147</v>
      </c>
      <c r="E2356">
        <f ca="1"/>
        <v>0.82493099497483557</v>
      </c>
      <c r="G2356">
        <f ca="1"/>
        <v>3.0104199385189072</v>
      </c>
    </row>
    <row r="2357" spans="3:7">
      <c r="C2357">
        <f ca="1"/>
        <v>1.3371028997177605</v>
      </c>
      <c r="D2357">
        <f ca="1"/>
        <v>1.1493889659094783</v>
      </c>
      <c r="E2357">
        <f ca="1"/>
        <v>0.82869338097886436</v>
      </c>
      <c r="G2357">
        <f ca="1"/>
        <v>3.7956718790662842</v>
      </c>
    </row>
    <row r="2358" spans="3:7">
      <c r="C2358">
        <f ca="1"/>
        <v>1.8037547376211283</v>
      </c>
      <c r="D2358">
        <f ca="1"/>
        <v>-9.7227882838012508E-2</v>
      </c>
      <c r="E2358">
        <f ca="1"/>
        <v>0.10390852090664525</v>
      </c>
      <c r="G2358">
        <f ca="1"/>
        <v>3.2737813954088342</v>
      </c>
    </row>
    <row r="2359" spans="3:7">
      <c r="C2359">
        <f ca="1"/>
        <v>0.66323311665825535</v>
      </c>
      <c r="D2359">
        <f ca="1"/>
        <v>-0.51613726388244041</v>
      </c>
      <c r="E2359">
        <f ca="1"/>
        <v>2.3440316194872364</v>
      </c>
      <c r="G2359">
        <f ca="1"/>
        <v>6.2007600753562304</v>
      </c>
    </row>
    <row r="2360" spans="3:7">
      <c r="C2360">
        <f ca="1"/>
        <v>0.56431198973970642</v>
      </c>
      <c r="D2360">
        <f ca="1"/>
        <v>1.0116999003798843</v>
      </c>
      <c r="E2360">
        <f ca="1"/>
        <v>-1.0968302058124157</v>
      </c>
      <c r="G2360">
        <f ca="1"/>
        <v>2.5450212105751606</v>
      </c>
    </row>
    <row r="2361" spans="3:7">
      <c r="C2361">
        <f ca="1"/>
        <v>-0.78458757126871037</v>
      </c>
      <c r="D2361">
        <f ca="1"/>
        <v>-1.7693035868256031</v>
      </c>
      <c r="E2361">
        <f ca="1"/>
        <v>-0.4303227967309452</v>
      </c>
      <c r="G2361">
        <f ca="1"/>
        <v>3.9311905487296204</v>
      </c>
    </row>
    <row r="2362" spans="3:7">
      <c r="C2362">
        <f ca="1"/>
        <v>2.3299712205051087E-2</v>
      </c>
      <c r="D2362">
        <f ca="1"/>
        <v>0.81407524396731823</v>
      </c>
      <c r="E2362">
        <f ca="1"/>
        <v>-1.7997395417628415</v>
      </c>
      <c r="G2362">
        <f ca="1"/>
        <v>3.9023237976140095</v>
      </c>
    </row>
    <row r="2363" spans="3:7">
      <c r="C2363">
        <f ca="1"/>
        <v>8.8778972930930074E-3</v>
      </c>
      <c r="D2363">
        <f ca="1"/>
        <v>0.89824532754944864</v>
      </c>
      <c r="E2363">
        <f ca="1"/>
        <v>-0.71431162043978791</v>
      </c>
      <c r="G2363">
        <f ca="1"/>
        <v>1.3171645766200788</v>
      </c>
    </row>
    <row r="2364" spans="3:7">
      <c r="C2364">
        <f ca="1"/>
        <v>0.49481748990036767</v>
      </c>
      <c r="D2364">
        <f ca="1"/>
        <v>0.18418536797264889</v>
      </c>
      <c r="E2364">
        <f ca="1"/>
        <v>0.24536158830685897</v>
      </c>
      <c r="G2364">
        <f ca="1"/>
        <v>0.33897090710298511</v>
      </c>
    </row>
    <row r="2365" spans="3:7">
      <c r="C2365">
        <f ca="1"/>
        <v>0.74867890797853076</v>
      </c>
      <c r="D2365">
        <f ca="1"/>
        <v>-0.38780266587780216</v>
      </c>
      <c r="E2365">
        <f ca="1"/>
        <v>0.33727626329412458</v>
      </c>
      <c r="G2365">
        <f ca="1"/>
        <v>0.82466629269550318</v>
      </c>
    </row>
    <row r="2366" spans="3:7">
      <c r="C2366">
        <f ca="1"/>
        <v>-1.5659467852539566</v>
      </c>
      <c r="D2366">
        <f ca="1"/>
        <v>1.44116670006707</v>
      </c>
      <c r="E2366">
        <f ca="1"/>
        <v>-0.60393741252205857</v>
      </c>
      <c r="G2366">
        <f ca="1"/>
        <v>4.8938911898732487</v>
      </c>
    </row>
    <row r="2367" spans="3:7">
      <c r="C2367">
        <f ca="1"/>
        <v>-2.0087938401503398</v>
      </c>
      <c r="D2367">
        <f ca="1"/>
        <v>-1.4236470412333682</v>
      </c>
      <c r="E2367">
        <f ca="1"/>
        <v>0.80611931531900782</v>
      </c>
      <c r="G2367">
        <f ca="1"/>
        <v>6.7118519407688595</v>
      </c>
    </row>
    <row r="2368" spans="3:7">
      <c r="C2368">
        <f ca="1"/>
        <v>-9.9133827349742784E-2</v>
      </c>
      <c r="D2368">
        <f ca="1"/>
        <v>1.4388436993683495</v>
      </c>
      <c r="E2368">
        <f ca="1"/>
        <v>7.4019019234701375E-2</v>
      </c>
      <c r="G2368">
        <f ca="1"/>
        <v>2.0855775221454729</v>
      </c>
    </row>
    <row r="2369" spans="3:7">
      <c r="C2369">
        <f ca="1"/>
        <v>1.0935151107199397</v>
      </c>
      <c r="D2369">
        <f ca="1"/>
        <v>-1.1144286860322192</v>
      </c>
      <c r="E2369">
        <f ca="1"/>
        <v>-0.19780522688259536</v>
      </c>
      <c r="G2369">
        <f ca="1"/>
        <v>2.4768535014064152</v>
      </c>
    </row>
    <row r="2370" spans="3:7">
      <c r="C2370">
        <f ca="1"/>
        <v>0.81702877421391185</v>
      </c>
      <c r="D2370">
        <f ca="1"/>
        <v>1.4571905870609441</v>
      </c>
      <c r="E2370">
        <f ca="1"/>
        <v>0.88091171027786774</v>
      </c>
      <c r="G2370">
        <f ca="1"/>
        <v>3.5669458662171838</v>
      </c>
    </row>
    <row r="2371" spans="3:7">
      <c r="C2371">
        <f ca="1"/>
        <v>-0.70577101228368166</v>
      </c>
      <c r="D2371">
        <f ca="1"/>
        <v>-0.97864326420993442</v>
      </c>
      <c r="E2371">
        <f ca="1"/>
        <v>-1.7725835749641268</v>
      </c>
      <c r="G2371">
        <f ca="1"/>
        <v>4.5979078905960122</v>
      </c>
    </row>
    <row r="2372" spans="3:7">
      <c r="C2372">
        <f ca="1"/>
        <v>1.5063911353579951</v>
      </c>
      <c r="D2372">
        <f ca="1"/>
        <v>0.30262748046052118</v>
      </c>
      <c r="E2372">
        <f ca="1"/>
        <v>1.0101560176972051</v>
      </c>
      <c r="G2372">
        <f ca="1"/>
        <v>3.3812128247049089</v>
      </c>
    </row>
    <row r="2373" spans="3:7">
      <c r="C2373">
        <f ca="1"/>
        <v>1.2380018611537416</v>
      </c>
      <c r="D2373">
        <f ca="1"/>
        <v>-0.63748664012502043</v>
      </c>
      <c r="E2373">
        <f ca="1"/>
        <v>1.2267151323691159</v>
      </c>
      <c r="G2373">
        <f ca="1"/>
        <v>3.4438678405413929</v>
      </c>
    </row>
    <row r="2374" spans="3:7">
      <c r="C2374">
        <f ca="1"/>
        <v>1.2210053577364137</v>
      </c>
      <c r="D2374">
        <f ca="1"/>
        <v>-0.53330208959129</v>
      </c>
      <c r="E2374">
        <f ca="1"/>
        <v>-1.0027123096452084</v>
      </c>
      <c r="G2374">
        <f ca="1"/>
        <v>2.7806971782974923</v>
      </c>
    </row>
    <row r="2375" spans="3:7">
      <c r="C2375">
        <f ca="1"/>
        <v>-2.0221795556403093</v>
      </c>
      <c r="D2375">
        <f ca="1"/>
        <v>0.78107025973904065</v>
      </c>
      <c r="E2375">
        <f ca="1"/>
        <v>-1.0401893445288002</v>
      </c>
      <c r="G2375">
        <f ca="1"/>
        <v>5.7812747783697063</v>
      </c>
    </row>
    <row r="2376" spans="3:7">
      <c r="C2376">
        <f ca="1"/>
        <v>-0.61243477111187106</v>
      </c>
      <c r="D2376">
        <f ca="1"/>
        <v>1.0543658133295393</v>
      </c>
      <c r="E2376">
        <f ca="1"/>
        <v>0.45906654042535622</v>
      </c>
      <c r="G2376">
        <f ca="1"/>
        <v>1.6975057057230158</v>
      </c>
    </row>
    <row r="2377" spans="3:7">
      <c r="C2377">
        <f ca="1"/>
        <v>-1.4991539623603745</v>
      </c>
      <c r="D2377">
        <f ca="1"/>
        <v>1.5580985201275455</v>
      </c>
      <c r="E2377">
        <f ca="1"/>
        <v>0.57091793532574409</v>
      </c>
      <c r="G2377">
        <f ca="1"/>
        <v>5.0010808901610693</v>
      </c>
    </row>
    <row r="2378" spans="3:7">
      <c r="C2378">
        <f ca="1"/>
        <v>0.62461587754944481</v>
      </c>
      <c r="D2378">
        <f ca="1"/>
        <v>0.42944222865832099</v>
      </c>
      <c r="E2378">
        <f ca="1"/>
        <v>0.88572383983331049</v>
      </c>
      <c r="G2378">
        <f ca="1"/>
        <v>1.3590723426909526</v>
      </c>
    </row>
    <row r="2379" spans="3:7">
      <c r="C2379">
        <f ca="1"/>
        <v>1.1504450538552129</v>
      </c>
      <c r="D2379">
        <f ca="1"/>
        <v>1.2204994742494504</v>
      </c>
      <c r="E2379">
        <f ca="1"/>
        <v>-0.84186565344753239</v>
      </c>
      <c r="G2379">
        <f ca="1"/>
        <v>3.5218805670377487</v>
      </c>
    </row>
    <row r="2380" spans="3:7">
      <c r="C2380">
        <f ca="1"/>
        <v>7.7649159922205488E-2</v>
      </c>
      <c r="D2380">
        <f ca="1"/>
        <v>0.58942128013309958</v>
      </c>
      <c r="E2380">
        <f ca="1"/>
        <v>-0.77235023257250357</v>
      </c>
      <c r="G2380">
        <f ca="1"/>
        <v>0.94997171926516644</v>
      </c>
    </row>
    <row r="2381" spans="3:7">
      <c r="C2381">
        <f ca="1"/>
        <v>-0.63747677731014885</v>
      </c>
      <c r="D2381">
        <f ca="1"/>
        <v>1.4858367212590879</v>
      </c>
      <c r="E2381">
        <f ca="1"/>
        <v>-0.79100128837251682</v>
      </c>
      <c r="G2381">
        <f ca="1"/>
        <v>3.2397704420586715</v>
      </c>
    </row>
    <row r="2382" spans="3:7">
      <c r="C2382">
        <f ca="1"/>
        <v>0.69923783136752693</v>
      </c>
      <c r="D2382">
        <f ca="1"/>
        <v>-0.66817041149498102</v>
      </c>
      <c r="E2382">
        <f ca="1"/>
        <v>1.5669084134272357</v>
      </c>
      <c r="G2382">
        <f ca="1"/>
        <v>3.3905872196819917</v>
      </c>
    </row>
    <row r="2383" spans="3:7">
      <c r="C2383">
        <f ca="1"/>
        <v>0.22598459688094058</v>
      </c>
      <c r="D2383">
        <f ca="1"/>
        <v>0.13376432839024757</v>
      </c>
      <c r="E2383">
        <f ca="1"/>
        <v>0.54357139083535666</v>
      </c>
      <c r="G2383">
        <f ca="1"/>
        <v>0.36443179051181929</v>
      </c>
    </row>
    <row r="2384" spans="3:7">
      <c r="C2384">
        <f ca="1"/>
        <v>-1.3010024404557945</v>
      </c>
      <c r="D2384">
        <f ca="1"/>
        <v>1.9584841176431174</v>
      </c>
      <c r="E2384">
        <f ca="1"/>
        <v>0.42340797831376392</v>
      </c>
      <c r="G2384">
        <f ca="1"/>
        <v>5.7075417052320221</v>
      </c>
    </row>
    <row r="2385" spans="3:7">
      <c r="C2385">
        <f ca="1"/>
        <v>-3.0575455507173146</v>
      </c>
      <c r="D2385">
        <f ca="1"/>
        <v>-1.7827723521575403</v>
      </c>
      <c r="E2385">
        <f ca="1"/>
        <v>-0.71098521897680889</v>
      </c>
      <c r="G2385">
        <f ca="1"/>
        <v>13.032362035932076</v>
      </c>
    </row>
    <row r="2386" spans="3:7">
      <c r="C2386">
        <f ca="1"/>
        <v>0.37034922383410451</v>
      </c>
      <c r="D2386">
        <f ca="1"/>
        <v>-0.10240946026789684</v>
      </c>
      <c r="E2386">
        <f ca="1"/>
        <v>1.0964897615936189</v>
      </c>
      <c r="G2386">
        <f ca="1"/>
        <v>1.3499360424265168</v>
      </c>
    </row>
    <row r="2387" spans="3:7">
      <c r="C2387">
        <f ca="1"/>
        <v>-0.58358220263506444</v>
      </c>
      <c r="D2387">
        <f ca="1"/>
        <v>0.184832686709935</v>
      </c>
      <c r="E2387">
        <f ca="1"/>
        <v>1.2557572475875656</v>
      </c>
      <c r="G2387">
        <f ca="1"/>
        <v>1.9516575741775046</v>
      </c>
    </row>
    <row r="2388" spans="3:7">
      <c r="C2388">
        <f ca="1"/>
        <v>-0.9454173128957164</v>
      </c>
      <c r="D2388">
        <f ca="1"/>
        <v>0.47409169009965529</v>
      </c>
      <c r="E2388">
        <f ca="1"/>
        <v>1.9310606304376736</v>
      </c>
      <c r="G2388">
        <f ca="1"/>
        <v>4.84757198457085</v>
      </c>
    </row>
    <row r="2389" spans="3:7">
      <c r="C2389">
        <f ca="1"/>
        <v>-1.1623970111725719</v>
      </c>
      <c r="D2389">
        <f ca="1"/>
        <v>1.3842331661849705</v>
      </c>
      <c r="E2389">
        <f ca="1"/>
        <v>-0.75520017051186872</v>
      </c>
      <c r="G2389">
        <f ca="1"/>
        <v>3.8375955674905522</v>
      </c>
    </row>
    <row r="2390" spans="3:7">
      <c r="C2390">
        <f ca="1"/>
        <v>0.15082680385730152</v>
      </c>
      <c r="D2390">
        <f ca="1"/>
        <v>1.2023264840821912</v>
      </c>
      <c r="E2390">
        <f ca="1"/>
        <v>0.79298713877411253</v>
      </c>
      <c r="G2390">
        <f ca="1"/>
        <v>2.0971663013484063</v>
      </c>
    </row>
    <row r="2391" spans="3:7">
      <c r="C2391">
        <f ca="1"/>
        <v>0.56999344347410597</v>
      </c>
      <c r="D2391">
        <f ca="1"/>
        <v>0.28972866838652905</v>
      </c>
      <c r="E2391">
        <f ca="1"/>
        <v>0.73253831125657287</v>
      </c>
      <c r="G2391">
        <f ca="1"/>
        <v>0.94544760434713182</v>
      </c>
    </row>
    <row r="2392" spans="3:7">
      <c r="C2392">
        <f ca="1"/>
        <v>1.0465684990017954</v>
      </c>
      <c r="D2392">
        <f ca="1"/>
        <v>0.78182166355909677</v>
      </c>
      <c r="E2392">
        <f ca="1"/>
        <v>-0.969501207491273</v>
      </c>
      <c r="G2392">
        <f ca="1"/>
        <v>2.6464833280402211</v>
      </c>
    </row>
    <row r="2393" spans="3:7">
      <c r="C2393">
        <f ca="1"/>
        <v>2.9343034099775434</v>
      </c>
      <c r="D2393">
        <f ca="1"/>
        <v>0.6772484762415979</v>
      </c>
      <c r="E2393">
        <f ca="1"/>
        <v>2.2601028686040601</v>
      </c>
      <c r="G2393">
        <f ca="1"/>
        <v>14.176866977049706</v>
      </c>
    </row>
    <row r="2394" spans="3:7">
      <c r="C2394">
        <f ca="1"/>
        <v>-2.0526628256831705</v>
      </c>
      <c r="D2394">
        <f ca="1"/>
        <v>-0.733869798040789</v>
      </c>
      <c r="E2394">
        <f ca="1"/>
        <v>-0.20096987855943618</v>
      </c>
      <c r="G2394">
        <f ca="1"/>
        <v>4.7923784485062413</v>
      </c>
    </row>
    <row r="2395" spans="3:7">
      <c r="C2395">
        <f ca="1"/>
        <v>1.1087452603681516</v>
      </c>
      <c r="D2395">
        <f ca="1"/>
        <v>-9.8447417500248852E-2</v>
      </c>
      <c r="E2395">
        <f ca="1"/>
        <v>0.57646740611041092</v>
      </c>
      <c r="G2395">
        <f ca="1"/>
        <v>1.571322616708974</v>
      </c>
    </row>
    <row r="2396" spans="3:7">
      <c r="C2396">
        <f ca="1"/>
        <v>5.5768943932945209E-2</v>
      </c>
      <c r="D2396">
        <f ca="1"/>
        <v>0.80805847154441279</v>
      </c>
      <c r="E2396">
        <f ca="1"/>
        <v>0.37452969950478415</v>
      </c>
      <c r="G2396">
        <f ca="1"/>
        <v>0.79634116435323254</v>
      </c>
    </row>
    <row r="2397" spans="3:7">
      <c r="C2397">
        <f ca="1"/>
        <v>0.36492032807121905</v>
      </c>
      <c r="D2397">
        <f ca="1"/>
        <v>0.96210132512079094</v>
      </c>
      <c r="E2397">
        <f ca="1"/>
        <v>-0.72913510621032096</v>
      </c>
      <c r="G2397">
        <f ca="1"/>
        <v>1.590443808747124</v>
      </c>
    </row>
    <row r="2398" spans="3:7">
      <c r="C2398">
        <f ca="1"/>
        <v>0.62727950944703581</v>
      </c>
      <c r="D2398">
        <f ca="1"/>
        <v>-2.0213653989568514</v>
      </c>
      <c r="E2398">
        <f ca="1"/>
        <v>0.4662368543837998</v>
      </c>
      <c r="G2398">
        <f ca="1"/>
        <v>4.6967744634578059</v>
      </c>
    </row>
    <row r="2399" spans="3:7">
      <c r="C2399">
        <f ca="1"/>
        <v>0.4251010613885739</v>
      </c>
      <c r="D2399">
        <f ca="1"/>
        <v>0.69035739732605261</v>
      </c>
      <c r="E2399">
        <f ca="1"/>
        <v>5.5666043002913564E-2</v>
      </c>
      <c r="G2399">
        <f ca="1"/>
        <v>0.66040295678009564</v>
      </c>
    </row>
    <row r="2400" spans="3:7">
      <c r="C2400">
        <f ca="1"/>
        <v>8.705219617466009E-2</v>
      </c>
      <c r="D2400">
        <f ca="1"/>
        <v>-1.5480672967125004</v>
      </c>
      <c r="E2400">
        <f ca="1"/>
        <v>-0.10920345290748651</v>
      </c>
      <c r="G2400">
        <f ca="1"/>
        <v>2.4160158341364979</v>
      </c>
    </row>
    <row r="2401" spans="3:7">
      <c r="C2401">
        <f ca="1"/>
        <v>-1.0965033629381626</v>
      </c>
      <c r="D2401">
        <f ca="1"/>
        <v>-7.4052565567495718E-2</v>
      </c>
      <c r="E2401">
        <f ca="1"/>
        <v>-0.26635149477342573</v>
      </c>
      <c r="G2401">
        <f ca="1"/>
        <v>1.2787465261698667</v>
      </c>
    </row>
    <row r="2402" spans="3:7">
      <c r="C2402">
        <f ca="1"/>
        <v>0.16632363891187357</v>
      </c>
      <c r="D2402">
        <f ca="1"/>
        <v>-0.14297788046875873</v>
      </c>
      <c r="E2402">
        <f ca="1"/>
        <v>0.62989306464674966</v>
      </c>
      <c r="G2402">
        <f ca="1"/>
        <v>0.44487150005430032</v>
      </c>
    </row>
    <row r="2403" spans="3:7">
      <c r="C2403">
        <f ca="1"/>
        <v>0.98379374533459929</v>
      </c>
      <c r="D2403">
        <f ca="1"/>
        <v>-0.38120328475834792</v>
      </c>
      <c r="E2403">
        <f ca="1"/>
        <v>0.63453869998972678</v>
      </c>
      <c r="G2403">
        <f ca="1"/>
        <v>1.5158054394546849</v>
      </c>
    </row>
    <row r="2404" spans="3:7">
      <c r="C2404">
        <f ca="1"/>
        <v>0.93070440677818977</v>
      </c>
      <c r="D2404">
        <f ca="1"/>
        <v>-0.94149797180340833</v>
      </c>
      <c r="E2404">
        <f ca="1"/>
        <v>0.48980871424168942</v>
      </c>
      <c r="G2404">
        <f ca="1"/>
        <v>1.9925417002533705</v>
      </c>
    </row>
    <row r="2405" spans="3:7">
      <c r="C2405">
        <f ca="1"/>
        <v>1.5794110622297775</v>
      </c>
      <c r="D2405">
        <f ca="1"/>
        <v>-0.88798292973014659</v>
      </c>
      <c r="E2405">
        <f ca="1"/>
        <v>0.34993266247769977</v>
      </c>
      <c r="G2405">
        <f ca="1"/>
        <v>3.4055058552546602</v>
      </c>
    </row>
    <row r="2406" spans="3:7">
      <c r="C2406">
        <f ca="1"/>
        <v>1.1231131366491149</v>
      </c>
      <c r="D2406">
        <f ca="1"/>
        <v>-1.3258023776915757</v>
      </c>
      <c r="E2406">
        <f ca="1"/>
        <v>-3.4032190143202898E-2</v>
      </c>
      <c r="G2406">
        <f ca="1"/>
        <v>3.0202932523723924</v>
      </c>
    </row>
    <row r="2407" spans="3:7">
      <c r="C2407">
        <f ca="1"/>
        <v>-0.57995954115047743</v>
      </c>
      <c r="D2407">
        <f ca="1"/>
        <v>-0.20550489393695262</v>
      </c>
      <c r="E2407">
        <f ca="1"/>
        <v>0.61332172858322898</v>
      </c>
      <c r="G2407">
        <f ca="1"/>
        <v>0.75474887355583042</v>
      </c>
    </row>
    <row r="2408" spans="3:7">
      <c r="C2408">
        <f ca="1"/>
        <v>0.4756340165361253</v>
      </c>
      <c r="D2408">
        <f ca="1"/>
        <v>-0.1473091966151196</v>
      </c>
      <c r="E2408">
        <f ca="1"/>
        <v>-0.11311497441627326</v>
      </c>
      <c r="G2408">
        <f ca="1"/>
        <v>0.2607227145308732</v>
      </c>
    </row>
    <row r="2409" spans="3:7">
      <c r="C2409">
        <f ca="1"/>
        <v>-0.20404796937027889</v>
      </c>
      <c r="D2409">
        <f ca="1"/>
        <v>-0.64091759196089104</v>
      </c>
      <c r="E2409">
        <f ca="1"/>
        <v>-1.9400567678755816</v>
      </c>
      <c r="G2409">
        <f ca="1"/>
        <v>4.2162311960689296</v>
      </c>
    </row>
    <row r="2410" spans="3:7">
      <c r="C2410">
        <f ca="1"/>
        <v>1.7260582321344633</v>
      </c>
      <c r="D2410">
        <f ca="1"/>
        <v>0.6607635700887533</v>
      </c>
      <c r="E2410">
        <f ca="1"/>
        <v>0.92519012252267308</v>
      </c>
      <c r="G2410">
        <f ca="1"/>
        <v>4.2718622790891025</v>
      </c>
    </row>
    <row r="2411" spans="3:7">
      <c r="C2411">
        <f ca="1"/>
        <v>1.6712176563756425</v>
      </c>
      <c r="D2411">
        <f ca="1"/>
        <v>-1.4129747053588051</v>
      </c>
      <c r="E2411">
        <f ca="1"/>
        <v>-0.86042126134775554</v>
      </c>
      <c r="G2411">
        <f ca="1"/>
        <v>5.52979071994476</v>
      </c>
    </row>
    <row r="2412" spans="3:7">
      <c r="C2412">
        <f ca="1"/>
        <v>1.3746064103737203</v>
      </c>
      <c r="D2412">
        <f ca="1"/>
        <v>-0.34995952362833982</v>
      </c>
      <c r="E2412">
        <f ca="1"/>
        <v>0.40954781155954739</v>
      </c>
      <c r="G2412">
        <f ca="1"/>
        <v>2.1797438615719136</v>
      </c>
    </row>
    <row r="2413" spans="3:7">
      <c r="C2413">
        <f ca="1"/>
        <v>-0.27534043262757951</v>
      </c>
      <c r="D2413">
        <f ca="1"/>
        <v>-1.8611890418165491</v>
      </c>
      <c r="E2413">
        <f ca="1"/>
        <v>-1.434203852192854</v>
      </c>
      <c r="G2413">
        <f ca="1"/>
        <v>5.5967776928623678</v>
      </c>
    </row>
    <row r="2414" spans="3:7">
      <c r="C2414">
        <f ca="1"/>
        <v>-0.19170294343136274</v>
      </c>
      <c r="D2414">
        <f ca="1"/>
        <v>-1.5632194357619067</v>
      </c>
      <c r="E2414">
        <f ca="1"/>
        <v>-0.29512674006519013</v>
      </c>
      <c r="G2414">
        <f ca="1"/>
        <v>2.5675048155655285</v>
      </c>
    </row>
    <row r="2415" spans="3:7">
      <c r="C2415">
        <f ca="1"/>
        <v>2.2812391984735156</v>
      </c>
      <c r="D2415">
        <f ca="1"/>
        <v>4.6582528958994722E-2</v>
      </c>
      <c r="E2415">
        <f ca="1"/>
        <v>-0.26690489030662345</v>
      </c>
      <c r="G2415">
        <f ca="1"/>
        <v>5.2774604331258939</v>
      </c>
    </row>
    <row r="2416" spans="3:7">
      <c r="C2416">
        <f ca="1"/>
        <v>-0.10317771652972631</v>
      </c>
      <c r="D2416">
        <f ca="1"/>
        <v>-0.69062571931053007</v>
      </c>
      <c r="E2416">
        <f ca="1"/>
        <v>0.5303102210501256</v>
      </c>
      <c r="G2416">
        <f ca="1"/>
        <v>0.76883845591170874</v>
      </c>
    </row>
    <row r="2417" spans="3:7">
      <c r="C2417">
        <f ca="1"/>
        <v>-1.1974742168419554</v>
      </c>
      <c r="D2417">
        <f ca="1"/>
        <v>-9.0890774940822483E-2</v>
      </c>
      <c r="E2417">
        <f ca="1"/>
        <v>1.5575073367866328</v>
      </c>
      <c r="G2417">
        <f ca="1"/>
        <v>3.8680347371147872</v>
      </c>
    </row>
    <row r="2418" spans="3:7">
      <c r="C2418">
        <f ca="1"/>
        <v>-0.13320037329228449</v>
      </c>
      <c r="D2418">
        <f ca="1"/>
        <v>-0.28973232943260047</v>
      </c>
      <c r="E2418">
        <f ca="1"/>
        <v>-0.32435565416936857</v>
      </c>
      <c r="G2418">
        <f ca="1"/>
        <v>0.20689375255528386</v>
      </c>
    </row>
    <row r="2419" spans="3:7">
      <c r="C2419">
        <f ca="1"/>
        <v>1.9694574516905421</v>
      </c>
      <c r="D2419">
        <f ca="1"/>
        <v>1.157746747317538</v>
      </c>
      <c r="E2419">
        <f ca="1"/>
        <v>1.8025764194180596</v>
      </c>
      <c r="G2419">
        <f ca="1"/>
        <v>8.468421932785775</v>
      </c>
    </row>
    <row r="2420" spans="3:7">
      <c r="C2420">
        <f ca="1"/>
        <v>-0.47890601744433248</v>
      </c>
      <c r="D2420">
        <f ca="1"/>
        <v>4.9259399946736816E-2</v>
      </c>
      <c r="E2420">
        <f ca="1"/>
        <v>-0.68309601223864547</v>
      </c>
      <c r="G2420">
        <f ca="1"/>
        <v>0.69839762396384353</v>
      </c>
    </row>
    <row r="2421" spans="3:7">
      <c r="C2421">
        <f ca="1"/>
        <v>0.50874834398567603</v>
      </c>
      <c r="D2421">
        <f ca="1"/>
        <v>-0.45977697753839281</v>
      </c>
      <c r="E2421">
        <f ca="1"/>
        <v>1.3682586354734205</v>
      </c>
      <c r="G2421">
        <f ca="1"/>
        <v>2.342351440130094</v>
      </c>
    </row>
    <row r="2422" spans="3:7">
      <c r="C2422">
        <f ca="1"/>
        <v>1.9208503113055753</v>
      </c>
      <c r="D2422">
        <f ca="1"/>
        <v>0.5262575701953317</v>
      </c>
      <c r="E2422">
        <f ca="1"/>
        <v>6.3229708004733043E-2</v>
      </c>
      <c r="G2422">
        <f ca="1"/>
        <v>3.9706109446049838</v>
      </c>
    </row>
    <row r="2423" spans="3:7">
      <c r="C2423">
        <f ca="1"/>
        <v>-0.59965890550592227</v>
      </c>
      <c r="D2423">
        <f ca="1"/>
        <v>0.85218575685341813</v>
      </c>
      <c r="E2423">
        <f ca="1"/>
        <v>1.3872132995316035</v>
      </c>
      <c r="G2423">
        <f ca="1"/>
        <v>3.0101721055337523</v>
      </c>
    </row>
    <row r="2424" spans="3:7">
      <c r="C2424">
        <f ca="1"/>
        <v>0.81844039081898123</v>
      </c>
      <c r="D2424">
        <f ca="1"/>
        <v>-0.13375958935637902</v>
      </c>
      <c r="E2424">
        <f ca="1"/>
        <v>0.32285610149238897</v>
      </c>
      <c r="G2424">
        <f ca="1"/>
        <v>0.79197236333957766</v>
      </c>
    </row>
    <row r="2425" spans="3:7">
      <c r="C2425">
        <f ca="1"/>
        <v>-1.3197890519173536</v>
      </c>
      <c r="D2425">
        <f ca="1"/>
        <v>0.75549667129128939</v>
      </c>
      <c r="E2425">
        <f ca="1"/>
        <v>-0.26333579109454669</v>
      </c>
      <c r="G2425">
        <f ca="1"/>
        <v>2.3819641007645167</v>
      </c>
    </row>
    <row r="2426" spans="3:7">
      <c r="C2426">
        <f ca="1"/>
        <v>0.80873825078936645</v>
      </c>
      <c r="D2426">
        <f ca="1"/>
        <v>1.6982631623027438</v>
      </c>
      <c r="E2426">
        <f ca="1"/>
        <v>-0.74933916350693019</v>
      </c>
      <c r="G2426">
        <f ca="1"/>
        <v>4.0996645086896253</v>
      </c>
    </row>
    <row r="2427" spans="3:7">
      <c r="C2427">
        <f ca="1"/>
        <v>-0.16425031163166107</v>
      </c>
      <c r="D2427">
        <f ca="1"/>
        <v>0.57353448039557409</v>
      </c>
      <c r="E2427">
        <f ca="1"/>
        <v>-0.40143088936292443</v>
      </c>
      <c r="G2427">
        <f ca="1"/>
        <v>0.51706672400842746</v>
      </c>
    </row>
    <row r="2428" spans="3:7">
      <c r="C2428">
        <f ca="1"/>
        <v>1.5428279892205647</v>
      </c>
      <c r="D2428">
        <f ca="1"/>
        <v>0.35911852356092583</v>
      </c>
      <c r="E2428">
        <f ca="1"/>
        <v>1.3849379240536617</v>
      </c>
      <c r="G2428">
        <f ca="1"/>
        <v>4.4273373717690161</v>
      </c>
    </row>
    <row r="2429" spans="3:7">
      <c r="C2429">
        <f ca="1"/>
        <v>-0.70396496194663283</v>
      </c>
      <c r="D2429">
        <f ca="1"/>
        <v>0.61540428147941573</v>
      </c>
      <c r="E2429">
        <f ca="1"/>
        <v>0.8666957939611416</v>
      </c>
      <c r="G2429">
        <f ca="1"/>
        <v>1.6254506965816538</v>
      </c>
    </row>
    <row r="2430" spans="3:7">
      <c r="C2430">
        <f ca="1"/>
        <v>0.32212686720736322</v>
      </c>
      <c r="D2430">
        <f ca="1"/>
        <v>1.0239019030407861</v>
      </c>
      <c r="E2430">
        <f ca="1"/>
        <v>1.5846231342406478</v>
      </c>
      <c r="G2430">
        <f ca="1"/>
        <v>3.6631713031980278</v>
      </c>
    </row>
    <row r="2431" spans="3:7">
      <c r="C2431">
        <f ca="1"/>
        <v>1.087694825209905</v>
      </c>
      <c r="D2431">
        <f ca="1"/>
        <v>-0.7963570081761272</v>
      </c>
      <c r="E2431">
        <f ca="1"/>
        <v>0.70744733977887342</v>
      </c>
      <c r="G2431">
        <f ca="1"/>
        <v>2.3177462558198432</v>
      </c>
    </row>
    <row r="2432" spans="3:7">
      <c r="C2432">
        <f ca="1"/>
        <v>-0.33811364617132134</v>
      </c>
      <c r="D2432">
        <f ca="1"/>
        <v>0.38354501486511</v>
      </c>
      <c r="E2432">
        <f ca="1"/>
        <v>-0.36542252887938714</v>
      </c>
      <c r="G2432">
        <f ca="1"/>
        <v>0.39496124076774947</v>
      </c>
    </row>
    <row r="2433" spans="3:7">
      <c r="C2433">
        <f ca="1"/>
        <v>-0.32562947729273328</v>
      </c>
      <c r="D2433">
        <f ca="1"/>
        <v>0.38112702815796773</v>
      </c>
      <c r="E2433">
        <f ca="1"/>
        <v>-0.18929698869812189</v>
      </c>
      <c r="G2433">
        <f ca="1"/>
        <v>0.28712571800463993</v>
      </c>
    </row>
    <row r="2434" spans="3:7">
      <c r="C2434">
        <f ca="1"/>
        <v>0.5129344090112552</v>
      </c>
      <c r="D2434">
        <f ca="1"/>
        <v>-0.33332582243109998</v>
      </c>
      <c r="E2434">
        <f ca="1"/>
        <v>0.17524023552922971</v>
      </c>
      <c r="G2434">
        <f ca="1"/>
        <v>0.40491695199543476</v>
      </c>
    </row>
    <row r="2435" spans="3:7">
      <c r="C2435">
        <f ca="1"/>
        <v>-0.55223302528575791</v>
      </c>
      <c r="D2435">
        <f ca="1"/>
        <v>1.2918340469471987</v>
      </c>
      <c r="E2435">
        <f ca="1"/>
        <v>-0.95769094226700224</v>
      </c>
      <c r="G2435">
        <f ca="1"/>
        <v>2.8909684599684966</v>
      </c>
    </row>
    <row r="2436" spans="3:7">
      <c r="C2436">
        <f ca="1"/>
        <v>8.419098595882446E-2</v>
      </c>
      <c r="D2436">
        <f ca="1"/>
        <v>-0.14396994071721364</v>
      </c>
      <c r="E2436">
        <f ca="1"/>
        <v>0.7890422241372741</v>
      </c>
      <c r="G2436">
        <f ca="1"/>
        <v>0.65040309741833335</v>
      </c>
    </row>
    <row r="2437" spans="3:7">
      <c r="C2437">
        <f ca="1"/>
        <v>1.2612895620849698</v>
      </c>
      <c r="D2437">
        <f ca="1"/>
        <v>0.69553891157806491</v>
      </c>
      <c r="E2437">
        <f ca="1"/>
        <v>-0.63890376406347382</v>
      </c>
      <c r="G2437">
        <f ca="1"/>
        <v>2.4828237566781692</v>
      </c>
    </row>
    <row r="2438" spans="3:7">
      <c r="C2438">
        <f ca="1"/>
        <v>1.832473547120507E-2</v>
      </c>
      <c r="D2438">
        <f ca="1"/>
        <v>-1.3331046153905921</v>
      </c>
      <c r="E2438">
        <f ca="1"/>
        <v>-0.25087216758902087</v>
      </c>
      <c r="G2438">
        <f ca="1"/>
        <v>1.8404405559766019</v>
      </c>
    </row>
    <row r="2439" spans="3:7">
      <c r="C2439">
        <f ca="1"/>
        <v>0.23634189778430853</v>
      </c>
      <c r="D2439">
        <f ca="1"/>
        <v>-0.7104132562417923</v>
      </c>
      <c r="E2439">
        <f ca="1"/>
        <v>6.9557879766648817E-2</v>
      </c>
      <c r="G2439">
        <f ca="1"/>
        <v>0.56538278592998648</v>
      </c>
    </row>
    <row r="2440" spans="3:7">
      <c r="C2440">
        <f ca="1"/>
        <v>1.2820831903006349</v>
      </c>
      <c r="D2440">
        <f ca="1"/>
        <v>0.9822872666682898</v>
      </c>
      <c r="E2440">
        <f ca="1"/>
        <v>-0.41152438348618842</v>
      </c>
      <c r="G2440">
        <f ca="1"/>
        <v>2.7779778993138011</v>
      </c>
    </row>
    <row r="2441" spans="3:7">
      <c r="C2441">
        <f ca="1"/>
        <v>0.93093515332768695</v>
      </c>
      <c r="D2441">
        <f ca="1"/>
        <v>-1.3414531740047342</v>
      </c>
      <c r="E2441">
        <f ca="1"/>
        <v>-0.39602514372360526</v>
      </c>
      <c r="G2441">
        <f ca="1"/>
        <v>2.8229727922099221</v>
      </c>
    </row>
    <row r="2442" spans="3:7">
      <c r="C2442">
        <f ca="1"/>
        <v>-1.0497457702688986</v>
      </c>
      <c r="D2442">
        <f ca="1"/>
        <v>1.077299534607042</v>
      </c>
      <c r="E2442">
        <f ca="1"/>
        <v>1.342377417307967</v>
      </c>
      <c r="G2442">
        <f ca="1"/>
        <v>4.0645175999604</v>
      </c>
    </row>
    <row r="2443" spans="3:7">
      <c r="C2443">
        <f ca="1"/>
        <v>0.2723975516028686</v>
      </c>
      <c r="D2443">
        <f ca="1"/>
        <v>-0.34522655589788326</v>
      </c>
      <c r="E2443">
        <f ca="1"/>
        <v>0.21823491251901664</v>
      </c>
      <c r="G2443">
        <f ca="1"/>
        <v>0.24100827805853461</v>
      </c>
    </row>
    <row r="2444" spans="3:7">
      <c r="C2444">
        <f ca="1"/>
        <v>2.2046202071675656</v>
      </c>
      <c r="D2444">
        <f ca="1"/>
        <v>-5.8012744297867354E-2</v>
      </c>
      <c r="E2444">
        <f ca="1"/>
        <v>0.81331553741933815</v>
      </c>
      <c r="G2444">
        <f ca="1"/>
        <v>5.5251978997602365</v>
      </c>
    </row>
    <row r="2445" spans="3:7">
      <c r="C2445">
        <f ca="1"/>
        <v>-1.0838200081158269</v>
      </c>
      <c r="D2445">
        <f ca="1"/>
        <v>1.1832437724493989</v>
      </c>
      <c r="E2445">
        <f ca="1"/>
        <v>0.42418253679168655</v>
      </c>
      <c r="G2445">
        <f ca="1"/>
        <v>2.7546624595515068</v>
      </c>
    </row>
    <row r="2446" spans="3:7">
      <c r="C2446">
        <f ca="1"/>
        <v>-7.8686040184807404E-2</v>
      </c>
      <c r="D2446">
        <f ca="1"/>
        <v>-1.2391488665159844</v>
      </c>
      <c r="E2446">
        <f ca="1"/>
        <v>0.44542073492279022</v>
      </c>
      <c r="G2446">
        <f ca="1"/>
        <v>1.7400810374069726</v>
      </c>
    </row>
    <row r="2447" spans="3:7">
      <c r="C2447">
        <f ca="1"/>
        <v>-1.1719633682062287</v>
      </c>
      <c r="D2447">
        <f ca="1"/>
        <v>0.14974478893651452</v>
      </c>
      <c r="E2447">
        <f ca="1"/>
        <v>1.5996118810390336</v>
      </c>
      <c r="G2447">
        <f ca="1"/>
        <v>3.9546798081921652</v>
      </c>
    </row>
    <row r="2448" spans="3:7">
      <c r="C2448">
        <f ca="1"/>
        <v>0.35108913802290587</v>
      </c>
      <c r="D2448">
        <f ca="1"/>
        <v>-0.50811107105551634</v>
      </c>
      <c r="E2448">
        <f ca="1"/>
        <v>-0.5021324938466023</v>
      </c>
      <c r="G2448">
        <f ca="1"/>
        <v>0.6335774847434591</v>
      </c>
    </row>
    <row r="2449" spans="3:7">
      <c r="C2449">
        <f ca="1"/>
        <v>0.6683388875506493</v>
      </c>
      <c r="D2449">
        <f ca="1"/>
        <v>-0.51705360886121676</v>
      </c>
      <c r="E2449">
        <f ca="1"/>
        <v>-1.4526170866819239</v>
      </c>
      <c r="G2449">
        <f ca="1"/>
        <v>2.8241177035691276</v>
      </c>
    </row>
    <row r="2450" spans="3:7">
      <c r="C2450">
        <f ca="1"/>
        <v>-0.49922205651492818</v>
      </c>
      <c r="D2450">
        <f ca="1"/>
        <v>0.59658004929700803</v>
      </c>
      <c r="E2450">
        <f ca="1"/>
        <v>1.4579710102221655</v>
      </c>
      <c r="G2450">
        <f ca="1"/>
        <v>2.7308098835784564</v>
      </c>
    </row>
    <row r="2451" spans="3:7">
      <c r="C2451">
        <f ca="1"/>
        <v>-0.99209011013398063</v>
      </c>
      <c r="D2451">
        <f ca="1"/>
        <v>-0.68674643156911752</v>
      </c>
      <c r="E2451">
        <f ca="1"/>
        <v>-0.41585901850119045</v>
      </c>
      <c r="G2451">
        <f ca="1"/>
        <v>1.6288021711673437</v>
      </c>
    </row>
    <row r="2452" spans="3:7">
      <c r="C2452">
        <f ca="1"/>
        <v>2.0898975076332822</v>
      </c>
      <c r="D2452">
        <f ca="1"/>
        <v>-1.7424421883061154</v>
      </c>
      <c r="E2452">
        <f ca="1"/>
        <v>8.1173802267445208E-2</v>
      </c>
      <c r="G2452">
        <f ca="1"/>
        <v>7.4103655581753634</v>
      </c>
    </row>
    <row r="2453" spans="3:7">
      <c r="C2453">
        <f ca="1"/>
        <v>-0.32351562398731604</v>
      </c>
      <c r="D2453">
        <f ca="1"/>
        <v>-0.92002460793512109</v>
      </c>
      <c r="E2453">
        <f ca="1"/>
        <v>-1.1795992447128636</v>
      </c>
      <c r="G2453">
        <f ca="1"/>
        <v>2.3425620162972338</v>
      </c>
    </row>
    <row r="2454" spans="3:7">
      <c r="C2454">
        <f ca="1"/>
        <v>-0.57916272497981869</v>
      </c>
      <c r="D2454">
        <f ca="1"/>
        <v>1.1470990877866925</v>
      </c>
      <c r="E2454">
        <f ca="1"/>
        <v>-1.9489725673184417</v>
      </c>
      <c r="G2454">
        <f ca="1"/>
        <v>5.4497598473669484</v>
      </c>
    </row>
    <row r="2455" spans="3:7">
      <c r="C2455">
        <f ca="1"/>
        <v>0.82313642978884893</v>
      </c>
      <c r="D2455">
        <f ca="1"/>
        <v>0.82684355719981162</v>
      </c>
      <c r="E2455">
        <f ca="1"/>
        <v>-1.3849782215961093</v>
      </c>
      <c r="G2455">
        <f ca="1"/>
        <v>3.2793885244238923</v>
      </c>
    </row>
    <row r="2456" spans="3:7">
      <c r="C2456">
        <f ca="1"/>
        <v>1.5718503921795353</v>
      </c>
      <c r="D2456">
        <f ca="1"/>
        <v>-0.36709630229811818</v>
      </c>
      <c r="E2456">
        <f ca="1"/>
        <v>0.27264620937271461</v>
      </c>
      <c r="G2456">
        <f ca="1"/>
        <v>2.67980930604122</v>
      </c>
    </row>
    <row r="2457" spans="3:7">
      <c r="C2457">
        <f ca="1"/>
        <v>-2.132636370440947</v>
      </c>
      <c r="D2457">
        <f ca="1"/>
        <v>-0.22729022974335933</v>
      </c>
      <c r="E2457">
        <f ca="1"/>
        <v>0.68844250507963045</v>
      </c>
      <c r="G2457">
        <f ca="1"/>
        <v>5.0737518198646425</v>
      </c>
    </row>
    <row r="2458" spans="3:7">
      <c r="C2458">
        <f ca="1"/>
        <v>0.17799399274091252</v>
      </c>
      <c r="D2458">
        <f ca="1"/>
        <v>1.2597354821401094</v>
      </c>
      <c r="E2458">
        <f ca="1"/>
        <v>1.1402443702591893</v>
      </c>
      <c r="G2458">
        <f ca="1"/>
        <v>2.9187725703224014</v>
      </c>
    </row>
    <row r="2459" spans="3:7">
      <c r="C2459">
        <f ca="1"/>
        <v>7.996799585741253E-3</v>
      </c>
      <c r="D2459">
        <f ca="1"/>
        <v>0.34097225513808782</v>
      </c>
      <c r="E2459">
        <f ca="1"/>
        <v>1.4421611094915587</v>
      </c>
      <c r="G2459">
        <f ca="1"/>
        <v>2.1961546933074914</v>
      </c>
    </row>
    <row r="2460" spans="3:7">
      <c r="C2460">
        <f ca="1"/>
        <v>1.8199638234960533</v>
      </c>
      <c r="D2460">
        <f ca="1"/>
        <v>-0.84961486626915617</v>
      </c>
      <c r="E2460">
        <f ca="1"/>
        <v>-1.0712520602803721</v>
      </c>
      <c r="G2460">
        <f ca="1"/>
        <v>5.1816947164748717</v>
      </c>
    </row>
    <row r="2461" spans="3:7">
      <c r="C2461">
        <f ca="1"/>
        <v>0.89876982299622699</v>
      </c>
      <c r="D2461">
        <f ca="1"/>
        <v>-5.6126262945360189E-2</v>
      </c>
      <c r="E2461">
        <f ca="1"/>
        <v>-0.236883705280625</v>
      </c>
      <c r="G2461">
        <f ca="1"/>
        <v>0.86705124194835892</v>
      </c>
    </row>
    <row r="2462" spans="3:7">
      <c r="C2462">
        <f ca="1"/>
        <v>-1.4960619429098208</v>
      </c>
      <c r="D2462">
        <f ca="1"/>
        <v>-0.79273024631213274</v>
      </c>
      <c r="E2462">
        <f ca="1"/>
        <v>0.21825178210963639</v>
      </c>
      <c r="G2462">
        <f ca="1"/>
        <v>2.9142564208352346</v>
      </c>
    </row>
    <row r="2463" spans="3:7">
      <c r="C2463">
        <f ca="1"/>
        <v>-6.7030400836363344E-2</v>
      </c>
      <c r="D2463">
        <f ca="1"/>
        <v>1.5095142909817052</v>
      </c>
      <c r="E2463">
        <f ca="1"/>
        <v>-0.3921479125230824</v>
      </c>
      <c r="G2463">
        <f ca="1"/>
        <v>2.4369064546104946</v>
      </c>
    </row>
    <row r="2464" spans="3:7">
      <c r="C2464">
        <f ca="1"/>
        <v>-1.7431662283153921</v>
      </c>
      <c r="D2464">
        <f ca="1"/>
        <v>-0.62013365952355037</v>
      </c>
      <c r="E2464">
        <f ca="1"/>
        <v>-0.49689095334407896</v>
      </c>
      <c r="G2464">
        <f ca="1"/>
        <v>3.6700948747285684</v>
      </c>
    </row>
    <row r="2465" spans="3:7">
      <c r="C2465">
        <f ca="1"/>
        <v>-1.0278276937053832</v>
      </c>
      <c r="D2465">
        <f ca="1"/>
        <v>0.35870478779800452</v>
      </c>
      <c r="E2465">
        <f ca="1"/>
        <v>-0.60106834360840089</v>
      </c>
      <c r="G2465">
        <f ca="1"/>
        <v>1.5463820464250853</v>
      </c>
    </row>
    <row r="2466" spans="3:7">
      <c r="C2466">
        <f ca="1"/>
        <v>0.65096907604103038</v>
      </c>
      <c r="D2466">
        <f ca="1"/>
        <v>0.83247865096568874</v>
      </c>
      <c r="E2466">
        <f ca="1"/>
        <v>-0.66529824926686887</v>
      </c>
      <c r="G2466">
        <f ca="1"/>
        <v>1.5594032027529268</v>
      </c>
    </row>
    <row r="2467" spans="3:7">
      <c r="C2467">
        <f ca="1"/>
        <v>-1.298355994877626</v>
      </c>
      <c r="D2467">
        <f ca="1"/>
        <v>2.3826595906192649</v>
      </c>
      <c r="E2467">
        <f ca="1"/>
        <v>0.60632042738516501</v>
      </c>
      <c r="G2467">
        <f ca="1"/>
        <v>7.7304194748691621</v>
      </c>
    </row>
    <row r="2468" spans="3:7">
      <c r="C2468">
        <f ca="1"/>
        <v>0.12191068828756815</v>
      </c>
      <c r="D2468">
        <f ca="1"/>
        <v>-1.6508613393551492</v>
      </c>
      <c r="E2468">
        <f ca="1"/>
        <v>1.0415056763077839</v>
      </c>
      <c r="G2468">
        <f ca="1"/>
        <v>3.8249394514775599</v>
      </c>
    </row>
    <row r="2469" spans="3:7">
      <c r="C2469">
        <f ca="1"/>
        <v>-0.30839332613930609</v>
      </c>
      <c r="D2469">
        <f ca="1"/>
        <v>0.44358272116831432</v>
      </c>
      <c r="E2469">
        <f ca="1"/>
        <v>-2.1180828982165525</v>
      </c>
      <c r="G2469">
        <f ca="1"/>
        <v>4.7781472378437817</v>
      </c>
    </row>
    <row r="2470" spans="3:7">
      <c r="C2470">
        <f ca="1"/>
        <v>0.20450095931563775</v>
      </c>
      <c r="D2470">
        <f ca="1"/>
        <v>0.89387615294056622</v>
      </c>
      <c r="E2470">
        <f ca="1"/>
        <v>-2.4115760658401615</v>
      </c>
      <c r="G2470">
        <f ca="1"/>
        <v>6.6565343404899533</v>
      </c>
    </row>
    <row r="2471" spans="3:7">
      <c r="C2471">
        <f ca="1"/>
        <v>-0.25766098645346869</v>
      </c>
      <c r="D2471">
        <f ca="1"/>
        <v>-0.67736602790305844</v>
      </c>
      <c r="E2471">
        <f ca="1"/>
        <v>1.5195661504876359</v>
      </c>
      <c r="G2471">
        <f ca="1"/>
        <v>2.8342952054051542</v>
      </c>
    </row>
    <row r="2472" spans="3:7">
      <c r="C2472">
        <f ca="1"/>
        <v>0.31251120887505679</v>
      </c>
      <c r="D2472">
        <f ca="1"/>
        <v>-0.84118858473882363</v>
      </c>
      <c r="E2472">
        <f ca="1"/>
        <v>1.2168272218508429</v>
      </c>
      <c r="G2472">
        <f ca="1"/>
        <v>2.2859299786046949</v>
      </c>
    </row>
    <row r="2473" spans="3:7">
      <c r="C2473">
        <f ca="1"/>
        <v>-2.0946690620266213</v>
      </c>
      <c r="D2473">
        <f ca="1"/>
        <v>-0.14547728636079513</v>
      </c>
      <c r="E2473">
        <f ca="1"/>
        <v>-1.0953615444078118E-2</v>
      </c>
      <c r="G2473">
        <f ca="1"/>
        <v>4.4089221019496829</v>
      </c>
    </row>
    <row r="2474" spans="3:7">
      <c r="C2474">
        <f ca="1"/>
        <v>0.91813628493475885</v>
      </c>
      <c r="D2474">
        <f ca="1"/>
        <v>-0.70434708890693321</v>
      </c>
      <c r="E2474">
        <f ca="1"/>
        <v>-1.9023381781824793</v>
      </c>
      <c r="G2474">
        <f ca="1"/>
        <v>4.9579696035361067</v>
      </c>
    </row>
    <row r="2475" spans="3:7">
      <c r="C2475">
        <f ca="1"/>
        <v>-0.63644010935871642</v>
      </c>
      <c r="D2475">
        <f ca="1"/>
        <v>-0.56776792986380109</v>
      </c>
      <c r="E2475">
        <f ca="1"/>
        <v>1.3719938847529896</v>
      </c>
      <c r="G2475">
        <f ca="1"/>
        <v>2.6097836547819604</v>
      </c>
    </row>
    <row r="2476" spans="3:7">
      <c r="C2476">
        <f ca="1"/>
        <v>1.4519703568393783</v>
      </c>
      <c r="D2476">
        <f ca="1"/>
        <v>-0.39368499859305645</v>
      </c>
      <c r="E2476">
        <f ca="1"/>
        <v>8.0805383340659884E-3</v>
      </c>
      <c r="G2476">
        <f ca="1"/>
        <v>2.2632710903572546</v>
      </c>
    </row>
    <row r="2477" spans="3:7">
      <c r="C2477">
        <f ca="1"/>
        <v>-0.75390710769629377</v>
      </c>
      <c r="D2477">
        <f ca="1"/>
        <v>1.2969965720259926</v>
      </c>
      <c r="E2477">
        <f ca="1"/>
        <v>-0.54459246375669901</v>
      </c>
      <c r="G2477">
        <f ca="1"/>
        <v>2.5471569864627588</v>
      </c>
    </row>
    <row r="2478" spans="3:7">
      <c r="C2478">
        <f ca="1"/>
        <v>0.56272953612083232</v>
      </c>
      <c r="D2478">
        <f ca="1"/>
        <v>-0.15959130998412396</v>
      </c>
      <c r="E2478">
        <f ca="1"/>
        <v>-1.1583624097465317</v>
      </c>
      <c r="G2478">
        <f ca="1"/>
        <v>1.6839373893590075</v>
      </c>
    </row>
    <row r="2479" spans="3:7">
      <c r="C2479">
        <f ca="1"/>
        <v>1.2537296678240579</v>
      </c>
      <c r="D2479">
        <f ca="1"/>
        <v>0.1649647222786397</v>
      </c>
      <c r="E2479">
        <f ca="1"/>
        <v>0.4929423468499079</v>
      </c>
      <c r="G2479">
        <f ca="1"/>
        <v>1.8420435968965863</v>
      </c>
    </row>
    <row r="2480" spans="3:7">
      <c r="C2480">
        <f ca="1"/>
        <v>0.23266872367541164</v>
      </c>
      <c r="D2480">
        <f ca="1"/>
        <v>1.1631690771428773</v>
      </c>
      <c r="E2480">
        <f ca="1"/>
        <v>1.6772294038646911</v>
      </c>
      <c r="G2480">
        <f ca="1"/>
        <v>4.2201955101864659</v>
      </c>
    </row>
    <row r="2481" spans="3:7">
      <c r="C2481">
        <f ca="1"/>
        <v>0.35573268516514472</v>
      </c>
      <c r="D2481">
        <f ca="1"/>
        <v>-1.5029557618404237</v>
      </c>
      <c r="E2481">
        <f ca="1"/>
        <v>1.0291051772560929</v>
      </c>
      <c r="G2481">
        <f ca="1"/>
        <v>3.444479231199427</v>
      </c>
    </row>
    <row r="2482" spans="3:7">
      <c r="C2482">
        <f ca="1"/>
        <v>0.96586201864036547</v>
      </c>
      <c r="D2482">
        <f ca="1"/>
        <v>2.7865686868370894</v>
      </c>
      <c r="E2482">
        <f ca="1"/>
        <v>2.0716188693972293</v>
      </c>
      <c r="G2482">
        <f ca="1"/>
        <v>12.989459225555677</v>
      </c>
    </row>
    <row r="2483" spans="3:7">
      <c r="C2483">
        <f ca="1"/>
        <v>-2.0756414778017986</v>
      </c>
      <c r="D2483">
        <f ca="1"/>
        <v>0.70003517375631275</v>
      </c>
      <c r="E2483">
        <f ca="1"/>
        <v>-0.43820270603851474</v>
      </c>
      <c r="G2483">
        <f ca="1"/>
        <v>4.9903584004467429</v>
      </c>
    </row>
    <row r="2484" spans="3:7">
      <c r="C2484">
        <f ca="1"/>
        <v>-0.39645058363258295</v>
      </c>
      <c r="D2484">
        <f ca="1"/>
        <v>-0.4487340566518544</v>
      </c>
      <c r="E2484">
        <f ca="1"/>
        <v>1.8516101514575145</v>
      </c>
      <c r="G2484">
        <f ca="1"/>
        <v>3.7869954718423648</v>
      </c>
    </row>
    <row r="2485" spans="3:7">
      <c r="C2485">
        <f ca="1"/>
        <v>2.2699410469202848</v>
      </c>
      <c r="D2485">
        <f ca="1"/>
        <v>-0.13445181128511838</v>
      </c>
      <c r="E2485">
        <f ca="1"/>
        <v>0.84042249225571952</v>
      </c>
      <c r="G2485">
        <f ca="1"/>
        <v>5.8770196115407227</v>
      </c>
    </row>
    <row r="2486" spans="3:7">
      <c r="C2486">
        <f ca="1"/>
        <v>1.2683616636943975</v>
      </c>
      <c r="D2486">
        <f ca="1"/>
        <v>0.80516222196429688</v>
      </c>
      <c r="E2486">
        <f ca="1"/>
        <v>0.50389724087472854</v>
      </c>
      <c r="G2486">
        <f ca="1"/>
        <v>2.5109399429692676</v>
      </c>
    </row>
    <row r="2487" spans="3:7">
      <c r="C2487">
        <f ca="1"/>
        <v>0.26500671426611433</v>
      </c>
      <c r="D2487">
        <f ca="1"/>
        <v>1.0878770928759369</v>
      </c>
      <c r="E2487">
        <f ca="1"/>
        <v>-0.76764684781247472</v>
      </c>
      <c r="G2487">
        <f ca="1"/>
        <v>1.8429868107667506</v>
      </c>
    </row>
    <row r="2488" spans="3:7">
      <c r="C2488">
        <f ca="1"/>
        <v>-0.78449943890986884</v>
      </c>
      <c r="D2488">
        <f ca="1"/>
        <v>-3.1241392892977036E-2</v>
      </c>
      <c r="E2488">
        <f ca="1"/>
        <v>0.41385712542042263</v>
      </c>
      <c r="G2488">
        <f ca="1"/>
        <v>0.78769311454104773</v>
      </c>
    </row>
    <row r="2489" spans="3:7">
      <c r="C2489">
        <f ca="1"/>
        <v>-9.3506401780665938E-2</v>
      </c>
      <c r="D2489">
        <f ca="1"/>
        <v>0.56617443208005613</v>
      </c>
      <c r="E2489">
        <f ca="1"/>
        <v>0.37621167032841368</v>
      </c>
      <c r="G2489">
        <f ca="1"/>
        <v>0.47083215560643643</v>
      </c>
    </row>
    <row r="2490" spans="3:7">
      <c r="C2490">
        <f ca="1"/>
        <v>-1.2555612076090832</v>
      </c>
      <c r="D2490">
        <f ca="1"/>
        <v>0.60954466035137078</v>
      </c>
      <c r="E2490">
        <f ca="1"/>
        <v>-2.3849142638078096</v>
      </c>
      <c r="G2490">
        <f ca="1"/>
        <v>7.6357946847295928</v>
      </c>
    </row>
    <row r="2491" spans="3:7">
      <c r="C2491">
        <f ca="1"/>
        <v>0.99533354428042087</v>
      </c>
      <c r="D2491">
        <f ca="1"/>
        <v>-2.2793824940885705</v>
      </c>
      <c r="E2491">
        <f ca="1"/>
        <v>0.11361043330747513</v>
      </c>
      <c r="G2491">
        <f ca="1"/>
        <v>6.1991807492835687</v>
      </c>
    </row>
    <row r="2492" spans="3:7">
      <c r="C2492">
        <f ca="1"/>
        <v>-0.3896591279485882</v>
      </c>
      <c r="D2492">
        <f ca="1"/>
        <v>-1.3790183301000183</v>
      </c>
      <c r="E2492">
        <f ca="1"/>
        <v>0.54124647970148332</v>
      </c>
      <c r="G2492">
        <f ca="1"/>
        <v>2.3464735425347452</v>
      </c>
    </row>
    <row r="2493" spans="3:7">
      <c r="C2493">
        <f ca="1"/>
        <v>-6.3106190863681466E-2</v>
      </c>
      <c r="D2493">
        <f ca="1"/>
        <v>0.51620233192272535</v>
      </c>
      <c r="E2493">
        <f ca="1"/>
        <v>-0.43479560322686595</v>
      </c>
      <c r="G2493">
        <f ca="1"/>
        <v>0.45949445539319717</v>
      </c>
    </row>
    <row r="2494" spans="3:7">
      <c r="C2494">
        <f ca="1"/>
        <v>0.74473254272632827</v>
      </c>
      <c r="D2494">
        <f ca="1"/>
        <v>-1.7150252178502863</v>
      </c>
      <c r="E2494">
        <f ca="1"/>
        <v>0.1422472635425005</v>
      </c>
      <c r="G2494">
        <f ca="1"/>
        <v>3.5161723420433741</v>
      </c>
    </row>
    <row r="2495" spans="3:7">
      <c r="C2495">
        <f ca="1"/>
        <v>-1.0851685567865712</v>
      </c>
      <c r="D2495">
        <f ca="1"/>
        <v>0.8869279524875191</v>
      </c>
      <c r="E2495">
        <f ca="1"/>
        <v>-1.5232408207048072</v>
      </c>
      <c r="G2495">
        <f ca="1"/>
        <v>4.2844945874034073</v>
      </c>
    </row>
    <row r="2496" spans="3:7">
      <c r="C2496">
        <f ca="1"/>
        <v>1.6425726120682598</v>
      </c>
      <c r="D2496">
        <f ca="1"/>
        <v>-0.41335372408177473</v>
      </c>
      <c r="E2496">
        <f ca="1"/>
        <v>1.851348605428871</v>
      </c>
      <c r="G2496">
        <f ca="1"/>
        <v>6.2963977459524436</v>
      </c>
    </row>
    <row r="2497" spans="3:7">
      <c r="C2497">
        <f ca="1"/>
        <v>0.6668089829755558</v>
      </c>
      <c r="D2497">
        <f ca="1"/>
        <v>1.3789684090634369</v>
      </c>
      <c r="E2497">
        <f ca="1"/>
        <v>-1.6236356366868669</v>
      </c>
      <c r="G2497">
        <f ca="1"/>
        <v>4.9823807736914087</v>
      </c>
    </row>
    <row r="2498" spans="3:7">
      <c r="C2498">
        <f ca="1"/>
        <v>-0.78740870826724629</v>
      </c>
      <c r="D2498">
        <f ca="1"/>
        <v>-0.40025454675944711</v>
      </c>
      <c r="E2498">
        <f ca="1"/>
        <v>1.6630482882935254</v>
      </c>
      <c r="G2498">
        <f ca="1"/>
        <v>3.5459457852527283</v>
      </c>
    </row>
    <row r="2499" spans="3:7">
      <c r="C2499">
        <f ca="1"/>
        <v>0.72024032113298986</v>
      </c>
      <c r="D2499">
        <f ca="1"/>
        <v>-0.45353596341620273</v>
      </c>
      <c r="E2499">
        <f ca="1"/>
        <v>-0.45980556166783115</v>
      </c>
      <c r="G2499">
        <f ca="1"/>
        <v>0.93586214483828523</v>
      </c>
    </row>
    <row r="2500" spans="3:7">
      <c r="C2500">
        <f ca="1"/>
        <v>-1.8270645868547708</v>
      </c>
      <c r="D2500">
        <f ca="1"/>
        <v>-2.2731157647750329</v>
      </c>
      <c r="E2500">
        <f ca="1"/>
        <v>-0.12449871288854016</v>
      </c>
      <c r="G2500">
        <f ca="1"/>
        <v>8.5207202141184819</v>
      </c>
    </row>
    <row r="2501" spans="3:7">
      <c r="C2501">
        <f ca="1"/>
        <v>0.8247755611031854</v>
      </c>
      <c r="D2501">
        <f ca="1"/>
        <v>1.1318569578564093</v>
      </c>
      <c r="E2501">
        <f ca="1"/>
        <v>0.42442647316563453</v>
      </c>
      <c r="G2501">
        <f ca="1"/>
        <v>2.1414927303648588</v>
      </c>
    </row>
    <row r="2502" spans="3:7">
      <c r="C2502">
        <f ca="1"/>
        <v>0.12769695886558588</v>
      </c>
      <c r="D2502">
        <f ca="1"/>
        <v>0.28310562408368473</v>
      </c>
      <c r="E2502">
        <f ca="1"/>
        <v>-1.1186504451664647</v>
      </c>
      <c r="G2502">
        <f ca="1"/>
        <v>1.3478341261624613</v>
      </c>
    </row>
    <row r="2503" spans="3:7">
      <c r="C2503">
        <f ca="1"/>
        <v>1.9330014296298045E-2</v>
      </c>
      <c r="D2503">
        <f ca="1"/>
        <v>0.40855129971127391</v>
      </c>
      <c r="E2503">
        <f ca="1"/>
        <v>-0.50180045286160724</v>
      </c>
      <c r="G2503">
        <f ca="1"/>
        <v>0.4190915084405803</v>
      </c>
    </row>
    <row r="2504" spans="3:7">
      <c r="C2504">
        <f ca="1"/>
        <v>-0.21386798281517461</v>
      </c>
      <c r="D2504">
        <f ca="1"/>
        <v>-5.7440070572573387E-2</v>
      </c>
      <c r="E2504">
        <f ca="1"/>
        <v>-0.27167239425399964</v>
      </c>
      <c r="G2504">
        <f ca="1"/>
        <v>0.12284476558051463</v>
      </c>
    </row>
    <row r="2505" spans="3:7">
      <c r="C2505">
        <f ca="1"/>
        <v>-0.3097194458081598</v>
      </c>
      <c r="D2505">
        <f ca="1"/>
        <v>0.19195175471152545</v>
      </c>
      <c r="E2505">
        <f ca="1"/>
        <v>1.5134429053022906</v>
      </c>
      <c r="G2505">
        <f ca="1"/>
        <v>2.4232810388583856</v>
      </c>
    </row>
    <row r="2506" spans="3:7">
      <c r="C2506">
        <f ca="1"/>
        <v>1.869852559177045</v>
      </c>
      <c r="D2506">
        <f ca="1"/>
        <v>0.19044285369467615</v>
      </c>
      <c r="E2506">
        <f ca="1"/>
        <v>-6.1764876384536517E-2</v>
      </c>
      <c r="G2506">
        <f ca="1"/>
        <v>3.5364319735391136</v>
      </c>
    </row>
    <row r="2507" spans="3:7">
      <c r="C2507">
        <f ca="1"/>
        <v>0.1454180005854854</v>
      </c>
      <c r="D2507">
        <f ca="1"/>
        <v>-1.0024436309670168</v>
      </c>
      <c r="E2507">
        <f ca="1"/>
        <v>1.1445032130184849</v>
      </c>
      <c r="G2507">
        <f ca="1"/>
        <v>2.3359272327702527</v>
      </c>
    </row>
    <row r="2508" spans="3:7">
      <c r="C2508">
        <f ca="1"/>
        <v>0.40177532761038426</v>
      </c>
      <c r="D2508">
        <f ca="1"/>
        <v>0.20333955427648037</v>
      </c>
      <c r="E2508">
        <f ca="1"/>
        <v>-1.6067285315257092</v>
      </c>
      <c r="G2508">
        <f ca="1"/>
        <v>2.7843469622285513</v>
      </c>
    </row>
    <row r="2509" spans="3:7">
      <c r="C2509">
        <f ca="1"/>
        <v>1.8349646359444721E-2</v>
      </c>
      <c r="D2509">
        <f ca="1"/>
        <v>1.3891204164821773</v>
      </c>
      <c r="E2509">
        <f ca="1"/>
        <v>-1.2745334274637588</v>
      </c>
      <c r="G2509">
        <f ca="1"/>
        <v>3.5544276987316508</v>
      </c>
    </row>
    <row r="2510" spans="3:7">
      <c r="C2510">
        <f ca="1"/>
        <v>-0.63825880238226163</v>
      </c>
      <c r="D2510">
        <f ca="1"/>
        <v>0.35879281738330504</v>
      </c>
      <c r="E2510">
        <f ca="1"/>
        <v>-0.22666232981552073</v>
      </c>
      <c r="G2510">
        <f ca="1"/>
        <v>0.58748239638168842</v>
      </c>
    </row>
    <row r="2511" spans="3:7">
      <c r="C2511">
        <f ca="1"/>
        <v>-0.52631480430798061</v>
      </c>
      <c r="D2511">
        <f ca="1"/>
        <v>-1.0988794167787654</v>
      </c>
      <c r="E2511">
        <f ca="1"/>
        <v>-0.89217116194810164</v>
      </c>
      <c r="G2511">
        <f ca="1"/>
        <v>2.2805126280656132</v>
      </c>
    </row>
    <row r="2512" spans="3:7">
      <c r="C2512">
        <f ca="1"/>
        <v>-0.12927223479631844</v>
      </c>
      <c r="D2512">
        <f ca="1"/>
        <v>-0.51936513262642536</v>
      </c>
      <c r="E2512">
        <f ca="1"/>
        <v>-1.1033075359657118</v>
      </c>
      <c r="G2512">
        <f ca="1"/>
        <v>1.5037389705960293</v>
      </c>
    </row>
    <row r="2513" spans="3:7">
      <c r="C2513">
        <f ca="1"/>
        <v>0.52477359571121018</v>
      </c>
      <c r="D2513">
        <f ca="1"/>
        <v>1.425375113329993</v>
      </c>
      <c r="E2513">
        <f ca="1"/>
        <v>0.44572142145807209</v>
      </c>
      <c r="G2513">
        <f ca="1"/>
        <v>2.5057491260027676</v>
      </c>
    </row>
    <row r="2514" spans="3:7">
      <c r="C2514">
        <f ca="1"/>
        <v>-0.56149627562705551</v>
      </c>
      <c r="D2514">
        <f ca="1"/>
        <v>-0.26231134091023217</v>
      </c>
      <c r="E2514">
        <f ca="1"/>
        <v>0.25267350318079512</v>
      </c>
      <c r="G2514">
        <f ca="1"/>
        <v>0.44792920632283356</v>
      </c>
    </row>
    <row r="2515" spans="3:7">
      <c r="C2515">
        <f ca="1"/>
        <v>-0.64401570645532957</v>
      </c>
      <c r="D2515">
        <f ca="1"/>
        <v>-1.4969330779494208</v>
      </c>
      <c r="E2515">
        <f ca="1"/>
        <v>0.54955992463829306</v>
      </c>
      <c r="G2515">
        <f ca="1"/>
        <v>2.9575809807887303</v>
      </c>
    </row>
    <row r="2516" spans="3:7">
      <c r="C2516">
        <f ca="1"/>
        <v>-0.15938729926902082</v>
      </c>
      <c r="D2516">
        <f ca="1"/>
        <v>-0.185148643269158</v>
      </c>
      <c r="E2516">
        <f ca="1"/>
        <v>0.45892510721695406</v>
      </c>
      <c r="G2516">
        <f ca="1"/>
        <v>0.27029658530677514</v>
      </c>
    </row>
    <row r="2517" spans="3:7">
      <c r="C2517">
        <f ca="1"/>
        <v>0.33109440641879018</v>
      </c>
      <c r="D2517">
        <f ca="1"/>
        <v>0.62449957699116176</v>
      </c>
      <c r="E2517">
        <f ca="1"/>
        <v>0.42101993687159045</v>
      </c>
      <c r="G2517">
        <f ca="1"/>
        <v>0.67688101486730901</v>
      </c>
    </row>
    <row r="2518" spans="3:7">
      <c r="C2518">
        <f ca="1"/>
        <v>-1.5208525840486513</v>
      </c>
      <c r="D2518">
        <f ca="1"/>
        <v>-1.3775553412296924</v>
      </c>
      <c r="E2518">
        <f ca="1"/>
        <v>2.3571915499033782</v>
      </c>
      <c r="G2518">
        <f ca="1"/>
        <v>9.7670033034938051</v>
      </c>
    </row>
    <row r="2519" spans="3:7">
      <c r="C2519">
        <f ca="1"/>
        <v>-0.41656336812202871</v>
      </c>
      <c r="D2519">
        <f ca="1"/>
        <v>-0.27385578588147352</v>
      </c>
      <c r="E2519">
        <f ca="1"/>
        <v>-0.18175146662847433</v>
      </c>
      <c r="G2519">
        <f ca="1"/>
        <v>0.28155562674352969</v>
      </c>
    </row>
    <row r="2520" spans="3:7">
      <c r="C2520">
        <f ca="1"/>
        <v>-0.538274101972678</v>
      </c>
      <c r="D2520">
        <f ca="1"/>
        <v>-0.19894126752697747</v>
      </c>
      <c r="E2520">
        <f ca="1"/>
        <v>-1.1089989186111739</v>
      </c>
      <c r="G2520">
        <f ca="1"/>
        <v>1.5591952382604866</v>
      </c>
    </row>
    <row r="2521" spans="3:7">
      <c r="C2521">
        <f ca="1"/>
        <v>3.5703219502088414E-2</v>
      </c>
      <c r="D2521">
        <f ca="1"/>
        <v>-0.57858301699088055</v>
      </c>
      <c r="E2521">
        <f ca="1"/>
        <v>0.49337717647252888</v>
      </c>
      <c r="G2521">
        <f ca="1"/>
        <v>0.57945406569708879</v>
      </c>
    </row>
    <row r="2522" spans="3:7">
      <c r="C2522">
        <f ca="1"/>
        <v>2.2796420172598174E-3</v>
      </c>
      <c r="D2522">
        <f ca="1"/>
        <v>-1.2471365834030421</v>
      </c>
      <c r="E2522">
        <f ca="1"/>
        <v>0.56657633142674702</v>
      </c>
      <c r="G2522">
        <f ca="1"/>
        <v>1.8763635937629308</v>
      </c>
    </row>
    <row r="2523" spans="3:7">
      <c r="C2523">
        <f ca="1"/>
        <v>-1.2066017656603625</v>
      </c>
      <c r="D2523">
        <f ca="1"/>
        <v>-0.42131870024392298</v>
      </c>
      <c r="E2523">
        <f ca="1"/>
        <v>0.98907227001001352</v>
      </c>
      <c r="G2523">
        <f ca="1"/>
        <v>2.6116612233726939</v>
      </c>
    </row>
    <row r="2524" spans="3:7">
      <c r="C2524">
        <f ca="1"/>
        <v>-0.84213326109417463</v>
      </c>
      <c r="D2524">
        <f ca="1"/>
        <v>0.62949091793955791</v>
      </c>
      <c r="E2524">
        <f ca="1"/>
        <v>0.2693069487185521</v>
      </c>
      <c r="G2524">
        <f ca="1"/>
        <v>1.1779734778375934</v>
      </c>
    </row>
    <row r="2525" spans="3:7">
      <c r="C2525">
        <f ca="1"/>
        <v>0.22674435435587692</v>
      </c>
      <c r="D2525">
        <f ca="1"/>
        <v>0.46431558238368148</v>
      </c>
      <c r="E2525">
        <f ca="1"/>
        <v>-0.59421945105465135</v>
      </c>
      <c r="G2525">
        <f ca="1"/>
        <v>0.62009871828825203</v>
      </c>
    </row>
    <row r="2526" spans="3:7">
      <c r="C2526">
        <f ca="1"/>
        <v>1.5388360531283727</v>
      </c>
      <c r="D2526">
        <f ca="1"/>
        <v>1.2999128859261535</v>
      </c>
      <c r="E2526">
        <f ca="1"/>
        <v>-0.36515017856388632</v>
      </c>
      <c r="G2526">
        <f ca="1"/>
        <v>4.191124562309807</v>
      </c>
    </row>
    <row r="2527" spans="3:7">
      <c r="C2527">
        <f ca="1"/>
        <v>-0.46853517316080534</v>
      </c>
      <c r="D2527">
        <f ca="1"/>
        <v>0.69134315275982539</v>
      </c>
      <c r="E2527">
        <f ca="1"/>
        <v>2.216373271144807</v>
      </c>
      <c r="G2527">
        <f ca="1"/>
        <v>5.6097910404018529</v>
      </c>
    </row>
    <row r="2528" spans="3:7">
      <c r="C2528">
        <f ca="1"/>
        <v>1.0073095911189807</v>
      </c>
      <c r="D2528">
        <f ca="1"/>
        <v>-1.6341896979452122</v>
      </c>
      <c r="E2528">
        <f ca="1"/>
        <v>0.60083304989652608</v>
      </c>
      <c r="G2528">
        <f ca="1"/>
        <v>4.0462489350785136</v>
      </c>
    </row>
    <row r="2529" spans="3:7">
      <c r="C2529">
        <f ca="1"/>
        <v>-0.85583207176827314</v>
      </c>
      <c r="D2529">
        <f ca="1"/>
        <v>1.2051554929304622</v>
      </c>
      <c r="E2529">
        <f ca="1"/>
        <v>0.24382523678954798</v>
      </c>
      <c r="G2529">
        <f ca="1"/>
        <v>2.2442990433031191</v>
      </c>
    </row>
    <row r="2530" spans="3:7">
      <c r="C2530">
        <f ca="1"/>
        <v>-1.9128966536998584</v>
      </c>
      <c r="D2530">
        <f ca="1"/>
        <v>-0.34918579633625463</v>
      </c>
      <c r="E2530">
        <f ca="1"/>
        <v>-1.4044461936773087</v>
      </c>
      <c r="G2530">
        <f ca="1"/>
        <v>5.7535734390337812</v>
      </c>
    </row>
    <row r="2531" spans="3:7">
      <c r="C2531">
        <f ca="1"/>
        <v>-1.1029209257647357</v>
      </c>
      <c r="D2531">
        <f ca="1"/>
        <v>2.4035406715003056</v>
      </c>
      <c r="E2531">
        <f ca="1"/>
        <v>1.1981276396030947</v>
      </c>
      <c r="G2531">
        <f ca="1"/>
        <v>8.4289521688267648</v>
      </c>
    </row>
    <row r="2532" spans="3:7">
      <c r="C2532">
        <f ca="1"/>
        <v>-0.57101556440082124</v>
      </c>
      <c r="D2532">
        <f ca="1"/>
        <v>2.0368535135556125</v>
      </c>
      <c r="E2532">
        <f ca="1"/>
        <v>-0.34839656905781435</v>
      </c>
      <c r="G2532">
        <f ca="1"/>
        <v>4.5962111798030891</v>
      </c>
    </row>
    <row r="2533" spans="3:7">
      <c r="C2533">
        <f ca="1"/>
        <v>-0.40865174250941844</v>
      </c>
      <c r="D2533">
        <f ca="1"/>
        <v>-0.25128275835115665</v>
      </c>
      <c r="E2533">
        <f ca="1"/>
        <v>0.29876245868161166</v>
      </c>
      <c r="G2533">
        <f ca="1"/>
        <v>0.31939827801803156</v>
      </c>
    </row>
    <row r="2534" spans="3:7">
      <c r="C2534">
        <f ca="1"/>
        <v>0.40877441371511491</v>
      </c>
      <c r="D2534">
        <f ca="1"/>
        <v>-0.30915657745195257</v>
      </c>
      <c r="E2534">
        <f ca="1"/>
        <v>-0.42910411640821677</v>
      </c>
      <c r="G2534">
        <f ca="1"/>
        <v>0.44680465340841752</v>
      </c>
    </row>
    <row r="2535" spans="3:7">
      <c r="C2535">
        <f ca="1"/>
        <v>-1.4813324751873032</v>
      </c>
      <c r="D2535">
        <f ca="1"/>
        <v>-9.2210581822169735E-2</v>
      </c>
      <c r="E2535">
        <f ca="1"/>
        <v>-0.21862739218936386</v>
      </c>
      <c r="G2535">
        <f ca="1"/>
        <v>2.2506466300600469</v>
      </c>
    </row>
    <row r="2536" spans="3:7">
      <c r="C2536">
        <f ca="1"/>
        <v>0.26666157584147004</v>
      </c>
      <c r="D2536">
        <f ca="1"/>
        <v>-0.62594568593370314</v>
      </c>
      <c r="E2536">
        <f ca="1"/>
        <v>-3.2459838448337469E-2</v>
      </c>
      <c r="G2536">
        <f ca="1"/>
        <v>0.4639700388813624</v>
      </c>
    </row>
    <row r="2537" spans="3:7">
      <c r="C2537">
        <f ca="1"/>
        <v>-0.26049611799921207</v>
      </c>
      <c r="D2537">
        <f ca="1"/>
        <v>0.7873702544420248</v>
      </c>
      <c r="E2537">
        <f ca="1"/>
        <v>-0.89821817786996827</v>
      </c>
      <c r="G2537">
        <f ca="1"/>
        <v>1.4946060401288044</v>
      </c>
    </row>
    <row r="2538" spans="3:7">
      <c r="C2538">
        <f ca="1"/>
        <v>0.65584661004051237</v>
      </c>
      <c r="D2538">
        <f ca="1"/>
        <v>-1.1787309053999375</v>
      </c>
      <c r="E2538">
        <f ca="1"/>
        <v>1.1889697800590426</v>
      </c>
      <c r="G2538">
        <f ca="1"/>
        <v>3.2331904611402367</v>
      </c>
    </row>
    <row r="2539" spans="3:7">
      <c r="C2539">
        <f ca="1"/>
        <v>2.3393442626333671</v>
      </c>
      <c r="D2539">
        <f ca="1"/>
        <v>0.37184753210138266</v>
      </c>
      <c r="E2539">
        <f ca="1"/>
        <v>-0.14487576784831507</v>
      </c>
      <c r="G2539">
        <f ca="1"/>
        <v>5.63179115435518</v>
      </c>
    </row>
    <row r="2540" spans="3:7">
      <c r="C2540">
        <f ca="1"/>
        <v>0.83961441065834941</v>
      </c>
      <c r="D2540">
        <f ca="1"/>
        <v>0.82359057827132121</v>
      </c>
      <c r="E2540">
        <f ca="1"/>
        <v>-1.1421078818465429</v>
      </c>
      <c r="G2540">
        <f ca="1"/>
        <v>2.6876642129784534</v>
      </c>
    </row>
    <row r="2541" spans="3:7">
      <c r="C2541">
        <f ca="1"/>
        <v>0.99177550356114241</v>
      </c>
      <c r="D2541">
        <f ca="1"/>
        <v>-1.0821092952960751</v>
      </c>
      <c r="E2541">
        <f ca="1"/>
        <v>-0.4827514020985636</v>
      </c>
      <c r="G2541">
        <f ca="1"/>
        <v>2.3876280926582547</v>
      </c>
    </row>
    <row r="2542" spans="3:7">
      <c r="C2542">
        <f ca="1"/>
        <v>0.4892958575383734</v>
      </c>
      <c r="D2542">
        <f ca="1"/>
        <v>-0.26535515065724485</v>
      </c>
      <c r="E2542">
        <f ca="1"/>
        <v>1.2179944868254517</v>
      </c>
      <c r="G2542">
        <f ca="1"/>
        <v>1.7933343621217368</v>
      </c>
    </row>
    <row r="2543" spans="3:7">
      <c r="C2543">
        <f ca="1"/>
        <v>-0.18771890614930198</v>
      </c>
      <c r="D2543">
        <f ca="1"/>
        <v>-0.28837461873511816</v>
      </c>
      <c r="E2543">
        <f ca="1"/>
        <v>-0.15470772261228111</v>
      </c>
      <c r="G2543">
        <f ca="1"/>
        <v>0.14233278789239373</v>
      </c>
    </row>
    <row r="2544" spans="3:7">
      <c r="C2544">
        <f ca="1"/>
        <v>-4.0995016652053642E-2</v>
      </c>
      <c r="D2544">
        <f ca="1"/>
        <v>0.72471583878300994</v>
      </c>
      <c r="E2544">
        <f ca="1"/>
        <v>-0.45391110172125798</v>
      </c>
      <c r="G2544">
        <f ca="1"/>
        <v>0.73292892663907006</v>
      </c>
    </row>
    <row r="2545" spans="3:7">
      <c r="C2545">
        <f ca="1"/>
        <v>-1.1434928168215335</v>
      </c>
      <c r="D2545">
        <f ca="1"/>
        <v>-2.11698971039909</v>
      </c>
      <c r="E2545">
        <f ca="1"/>
        <v>0.99268177027219062</v>
      </c>
      <c r="G2545">
        <f ca="1"/>
        <v>6.7746383530887986</v>
      </c>
    </row>
    <row r="2546" spans="3:7">
      <c r="C2546">
        <f ca="1"/>
        <v>1.3814261168646547</v>
      </c>
      <c r="D2546">
        <f ca="1"/>
        <v>0.65471471759168687</v>
      </c>
      <c r="E2546">
        <f ca="1"/>
        <v>-0.56415692995129341</v>
      </c>
      <c r="G2546">
        <f ca="1"/>
        <v>2.6552625193989892</v>
      </c>
    </row>
    <row r="2547" spans="3:7">
      <c r="C2547">
        <f ca="1"/>
        <v>0.52185310962855669</v>
      </c>
      <c r="D2547">
        <f ca="1"/>
        <v>-2.6858835134585561</v>
      </c>
      <c r="E2547">
        <f ca="1"/>
        <v>1.5970097991473238</v>
      </c>
      <c r="G2547">
        <f ca="1"/>
        <v>10.036741214470048</v>
      </c>
    </row>
    <row r="2548" spans="3:7">
      <c r="C2548">
        <f ca="1"/>
        <v>0.36713336192274687</v>
      </c>
      <c r="D2548">
        <f ca="1"/>
        <v>-0.86176658307583509</v>
      </c>
      <c r="E2548">
        <f ca="1"/>
        <v>-0.70993526106761184</v>
      </c>
      <c r="G2548">
        <f ca="1"/>
        <v>1.3814366240500369</v>
      </c>
    </row>
    <row r="2549" spans="3:7">
      <c r="C2549">
        <f ca="1"/>
        <v>-0.64203338585138481</v>
      </c>
      <c r="D2549">
        <f ca="1"/>
        <v>-0.48475344693464745</v>
      </c>
      <c r="E2549">
        <f ca="1"/>
        <v>-7.321199317640259E-4</v>
      </c>
      <c r="G2549">
        <f ca="1"/>
        <v>0.64719330886240967</v>
      </c>
    </row>
    <row r="2550" spans="3:7">
      <c r="C2550">
        <f ca="1"/>
        <v>4.8575088584280737E-2</v>
      </c>
      <c r="D2550">
        <f ca="1"/>
        <v>0.66057398888439656</v>
      </c>
      <c r="E2550">
        <f ca="1"/>
        <v>-0.58482873062261964</v>
      </c>
      <c r="G2550">
        <f ca="1"/>
        <v>0.78074217818327818</v>
      </c>
    </row>
    <row r="2551" spans="3:7">
      <c r="C2551">
        <f ca="1"/>
        <v>-1.2477680122508603</v>
      </c>
      <c r="D2551">
        <f ca="1"/>
        <v>1.0871523122985496</v>
      </c>
      <c r="E2551">
        <f ca="1"/>
        <v>-0.25775015523182992</v>
      </c>
      <c r="G2551">
        <f ca="1"/>
        <v>2.8052603050545786</v>
      </c>
    </row>
    <row r="2552" spans="3:7">
      <c r="C2552">
        <f ca="1"/>
        <v>-0.73149858626655773</v>
      </c>
      <c r="D2552">
        <f ca="1"/>
        <v>-0.22196603899144599</v>
      </c>
      <c r="E2552">
        <f ca="1"/>
        <v>1.2877392718783911</v>
      </c>
      <c r="G2552">
        <f ca="1"/>
        <v>2.2426315365134135</v>
      </c>
    </row>
    <row r="2553" spans="3:7">
      <c r="C2553">
        <f ca="1"/>
        <v>0.96734131933796363</v>
      </c>
      <c r="D2553">
        <f ca="1"/>
        <v>-0.21582325865952673</v>
      </c>
      <c r="E2553">
        <f ca="1"/>
        <v>-1.3473424270837744</v>
      </c>
      <c r="G2553">
        <f ca="1"/>
        <v>2.7976605228969249</v>
      </c>
    </row>
    <row r="2554" spans="3:7">
      <c r="C2554">
        <f ca="1"/>
        <v>0.78892658640118962</v>
      </c>
      <c r="D2554">
        <f ca="1"/>
        <v>-1.5303447901256444</v>
      </c>
      <c r="E2554">
        <f ca="1"/>
        <v>0.22435889272914089</v>
      </c>
      <c r="G2554">
        <f ca="1"/>
        <v>3.014697248141982</v>
      </c>
    </row>
    <row r="2555" spans="3:7">
      <c r="C2555">
        <f ca="1"/>
        <v>-0.42352375624102395</v>
      </c>
      <c r="D2555">
        <f ca="1"/>
        <v>1.3501946344308342</v>
      </c>
      <c r="E2555">
        <f ca="1"/>
        <v>-1.4641805927076867</v>
      </c>
      <c r="G2555">
        <f ca="1"/>
        <v>4.1462227310081534</v>
      </c>
    </row>
    <row r="2556" spans="3:7">
      <c r="C2556">
        <f ca="1"/>
        <v>-0.44942106310432295</v>
      </c>
      <c r="D2556">
        <f ca="1"/>
        <v>2.3495556634346353</v>
      </c>
      <c r="E2556">
        <f ca="1"/>
        <v>0.89050369175267829</v>
      </c>
      <c r="G2556">
        <f ca="1"/>
        <v>6.5153879325647379</v>
      </c>
    </row>
    <row r="2557" spans="3:7">
      <c r="C2557">
        <f ca="1"/>
        <v>-1.2566306892456567</v>
      </c>
      <c r="D2557">
        <f ca="1"/>
        <v>5.1815574257487486E-2</v>
      </c>
      <c r="E2557">
        <f ca="1"/>
        <v>-0.26633237835085544</v>
      </c>
      <c r="G2557">
        <f ca="1"/>
        <v>1.6527384786476707</v>
      </c>
    </row>
    <row r="2558" spans="3:7">
      <c r="C2558">
        <f ca="1"/>
        <v>-0.3160501385756076</v>
      </c>
      <c r="D2558">
        <f ca="1"/>
        <v>1.8475053905390533</v>
      </c>
      <c r="E2558">
        <f ca="1"/>
        <v>-0.74084316167844355</v>
      </c>
      <c r="G2558">
        <f ca="1"/>
        <v>4.0620124483702327</v>
      </c>
    </row>
    <row r="2559" spans="3:7">
      <c r="C2559">
        <f ca="1"/>
        <v>4.1109848631551767E-2</v>
      </c>
      <c r="D2559">
        <f ca="1"/>
        <v>1.7992197341569507</v>
      </c>
      <c r="E2559">
        <f ca="1"/>
        <v>-0.40591381725330605</v>
      </c>
      <c r="G2559">
        <f ca="1"/>
        <v>3.4036476984714681</v>
      </c>
    </row>
    <row r="2560" spans="3:7">
      <c r="C2560">
        <f ca="1"/>
        <v>-2.1114774800112888</v>
      </c>
      <c r="D2560">
        <f ca="1"/>
        <v>-2.3753150684234069E-2</v>
      </c>
      <c r="E2560">
        <f ca="1"/>
        <v>-0.78005288424103181</v>
      </c>
      <c r="G2560">
        <f ca="1"/>
        <v>5.067383862975003</v>
      </c>
    </row>
    <row r="2561" spans="3:7">
      <c r="C2561">
        <f ca="1"/>
        <v>2.3609708378444947</v>
      </c>
      <c r="D2561">
        <f ca="1"/>
        <v>-0.4338977288877528</v>
      </c>
      <c r="E2561">
        <f ca="1"/>
        <v>9.6458025471034908E-2</v>
      </c>
      <c r="G2561">
        <f ca="1"/>
        <v>5.7717546869638561</v>
      </c>
    </row>
    <row r="2562" spans="3:7">
      <c r="C2562">
        <f ca="1"/>
        <v>0.87880648591142363</v>
      </c>
      <c r="D2562">
        <f ca="1"/>
        <v>-1.225147174048469</v>
      </c>
      <c r="E2562">
        <f ca="1"/>
        <v>0.91539286810911835</v>
      </c>
      <c r="G2562">
        <f ca="1"/>
        <v>3.1112305407439722</v>
      </c>
    </row>
    <row r="2563" spans="3:7">
      <c r="C2563">
        <f ca="1"/>
        <v>-0.65546944968224041</v>
      </c>
      <c r="D2563">
        <f ca="1"/>
        <v>-0.17238439922280377</v>
      </c>
      <c r="E2563">
        <f ca="1"/>
        <v>-0.68037328994879631</v>
      </c>
      <c r="G2563">
        <f ca="1"/>
        <v>0.92226439423789497</v>
      </c>
    </row>
    <row r="2564" spans="3:7">
      <c r="C2564">
        <f ca="1"/>
        <v>-0.37038365933796191</v>
      </c>
      <c r="D2564">
        <f ca="1"/>
        <v>-0.62379653630963006</v>
      </c>
      <c r="E2564">
        <f ca="1"/>
        <v>-0.92909874492581457</v>
      </c>
      <c r="G2564">
        <f ca="1"/>
        <v>1.3895306516391948</v>
      </c>
    </row>
    <row r="2565" spans="3:7">
      <c r="C2565">
        <f ca="1"/>
        <v>0.32882178341197194</v>
      </c>
      <c r="D2565">
        <f ca="1"/>
        <v>-1.2762766835216259</v>
      </c>
      <c r="E2565">
        <f ca="1"/>
        <v>-0.82124536439233009</v>
      </c>
      <c r="G2565">
        <f ca="1"/>
        <v>2.4114498866830814</v>
      </c>
    </row>
    <row r="2566" spans="3:7">
      <c r="C2566">
        <f ca="1"/>
        <v>0.63123597135013221</v>
      </c>
      <c r="D2566">
        <f ca="1"/>
        <v>-0.43981810997656701</v>
      </c>
      <c r="E2566">
        <f ca="1"/>
        <v>-0.76176769175369263</v>
      </c>
      <c r="G2566">
        <f ca="1"/>
        <v>1.1721888375894534</v>
      </c>
    </row>
    <row r="2567" spans="3:7">
      <c r="C2567">
        <f ca="1"/>
        <v>0.85000106841173018</v>
      </c>
      <c r="D2567">
        <f ca="1"/>
        <v>0.88989856634076503</v>
      </c>
      <c r="E2567">
        <f ca="1"/>
        <v>0.10795836611028939</v>
      </c>
      <c r="G2567">
        <f ca="1"/>
        <v>1.5260762834896351</v>
      </c>
    </row>
    <row r="2568" spans="3:7">
      <c r="C2568">
        <f ca="1"/>
        <v>0.33011672414957705</v>
      </c>
      <c r="D2568">
        <f ca="1"/>
        <v>0.3509336814781614</v>
      </c>
      <c r="E2568">
        <f ca="1"/>
        <v>0.88494577066727043</v>
      </c>
      <c r="G2568">
        <f ca="1"/>
        <v>1.0152605173809528</v>
      </c>
    </row>
    <row r="2569" spans="3:7">
      <c r="C2569">
        <f ca="1"/>
        <v>2.2728102028545503E-2</v>
      </c>
      <c r="D2569">
        <f ca="1"/>
        <v>-0.73029191193936538</v>
      </c>
      <c r="E2569">
        <f ca="1"/>
        <v>-1.177254530148804</v>
      </c>
      <c r="G2569">
        <f ca="1"/>
        <v>1.9197710720217549</v>
      </c>
    </row>
    <row r="2570" spans="3:7">
      <c r="C2570">
        <f ca="1"/>
        <v>2.3973754633945714</v>
      </c>
      <c r="D2570">
        <f ca="1"/>
        <v>-1.4489955112523452</v>
      </c>
      <c r="E2570">
        <f ca="1"/>
        <v>-0.14827993245784621</v>
      </c>
      <c r="G2570">
        <f ca="1"/>
        <v>7.8689840424854847</v>
      </c>
    </row>
    <row r="2571" spans="3:7">
      <c r="C2571">
        <f ca="1"/>
        <v>1.3031627157512233</v>
      </c>
      <c r="D2571">
        <f ca="1"/>
        <v>0.89538181459318333</v>
      </c>
      <c r="E2571">
        <f ca="1"/>
        <v>0.4690069907490983</v>
      </c>
      <c r="G2571">
        <f ca="1"/>
        <v>2.7199092149998103</v>
      </c>
    </row>
    <row r="2572" spans="3:7">
      <c r="C2572">
        <f ca="1"/>
        <v>1.7113343225315814</v>
      </c>
      <c r="D2572">
        <f ca="1"/>
        <v>0.50225183050880606</v>
      </c>
      <c r="E2572">
        <f ca="1"/>
        <v>-1.5039391412509544</v>
      </c>
      <c r="G2572">
        <f ca="1"/>
        <v>5.4427550053107314</v>
      </c>
    </row>
    <row r="2573" spans="3:7">
      <c r="C2573">
        <f ca="1"/>
        <v>-0.28351482938622879</v>
      </c>
      <c r="D2573">
        <f ca="1"/>
        <v>-0.42396211844613418</v>
      </c>
      <c r="E2573">
        <f ca="1"/>
        <v>-0.97125792056619986</v>
      </c>
      <c r="G2573">
        <f ca="1"/>
        <v>1.2034664846218148</v>
      </c>
    </row>
    <row r="2574" spans="3:7">
      <c r="C2574">
        <f ca="1"/>
        <v>5.545852577289978E-2</v>
      </c>
      <c r="D2574">
        <f ca="1"/>
        <v>0.16824234232244478</v>
      </c>
      <c r="E2574">
        <f ca="1"/>
        <v>1.0838986363727852</v>
      </c>
      <c r="G2574">
        <f ca="1"/>
        <v>1.2062173877618292</v>
      </c>
    </row>
    <row r="2575" spans="3:7">
      <c r="C2575">
        <f ca="1"/>
        <v>1.7289478173159292</v>
      </c>
      <c r="D2575">
        <f ca="1"/>
        <v>-0.3110922261429746</v>
      </c>
      <c r="E2575">
        <f ca="1"/>
        <v>0.28972045698592097</v>
      </c>
      <c r="G2575">
        <f ca="1"/>
        <v>3.1699768713642378</v>
      </c>
    </row>
    <row r="2576" spans="3:7">
      <c r="C2576">
        <f ca="1"/>
        <v>-0.85590262341051793</v>
      </c>
      <c r="D2576">
        <f ca="1"/>
        <v>0.1031599907777449</v>
      </c>
      <c r="E2576">
        <f ca="1"/>
        <v>-0.49435080892568162</v>
      </c>
      <c r="G2576">
        <f ca="1"/>
        <v>0.98759400674374709</v>
      </c>
    </row>
    <row r="2577" spans="3:7">
      <c r="C2577">
        <f ca="1"/>
        <v>-0.84669393027633499</v>
      </c>
      <c r="D2577">
        <f ca="1"/>
        <v>1.042911164249495</v>
      </c>
      <c r="E2577">
        <f ca="1"/>
        <v>-2.8324365628092227</v>
      </c>
      <c r="G2577">
        <f ca="1"/>
        <v>9.8272511904215492</v>
      </c>
    </row>
    <row r="2578" spans="3:7">
      <c r="C2578">
        <f ca="1"/>
        <v>-0.13255741807983409</v>
      </c>
      <c r="D2578">
        <f ca="1"/>
        <v>-0.10963732050732562</v>
      </c>
      <c r="E2578">
        <f ca="1"/>
        <v>-0.99600109083018951</v>
      </c>
      <c r="G2578">
        <f ca="1"/>
        <v>1.0216099840709454</v>
      </c>
    </row>
    <row r="2579" spans="3:7">
      <c r="C2579">
        <f ca="1"/>
        <v>-0.31020671947107109</v>
      </c>
      <c r="D2579">
        <f ca="1"/>
        <v>-1.0850109758891895</v>
      </c>
      <c r="E2579">
        <f ca="1"/>
        <v>9.2961536903364936E-2</v>
      </c>
      <c r="G2579">
        <f ca="1"/>
        <v>1.2821188739484508</v>
      </c>
    </row>
    <row r="2580" spans="3:7">
      <c r="C2580">
        <f ca="1"/>
        <v>-0.83099908907456854</v>
      </c>
      <c r="D2580">
        <f ca="1"/>
        <v>-0.30370608560244067</v>
      </c>
      <c r="E2580">
        <f ca="1"/>
        <v>-0.82842666412060162</v>
      </c>
      <c r="G2580">
        <f ca="1"/>
        <v>1.4690876103007078</v>
      </c>
    </row>
    <row r="2581" spans="3:7">
      <c r="C2581">
        <f ca="1"/>
        <v>-0.43388106781761171</v>
      </c>
      <c r="D2581">
        <f ca="1"/>
        <v>-0.34935073703286085</v>
      </c>
      <c r="E2581">
        <f ca="1"/>
        <v>-1.1211376634149357</v>
      </c>
      <c r="G2581">
        <f ca="1"/>
        <v>1.5672483788034557</v>
      </c>
    </row>
    <row r="2582" spans="3:7">
      <c r="C2582">
        <f ca="1"/>
        <v>0.10710812310822172</v>
      </c>
      <c r="D2582">
        <f ca="1"/>
        <v>0.74395373818903132</v>
      </c>
      <c r="E2582">
        <f ca="1"/>
        <v>-1.2433695976223089</v>
      </c>
      <c r="G2582">
        <f ca="1"/>
        <v>2.1109072708926622</v>
      </c>
    </row>
    <row r="2583" spans="3:7">
      <c r="C2583">
        <f ca="1"/>
        <v>-1.2348597748560048</v>
      </c>
      <c r="D2583">
        <f ca="1"/>
        <v>-0.65073966154666352</v>
      </c>
      <c r="E2583">
        <f ca="1"/>
        <v>0.30859446501904092</v>
      </c>
      <c r="G2583">
        <f ca="1"/>
        <v>2.0435713145076773</v>
      </c>
    </row>
    <row r="2584" spans="3:7">
      <c r="C2584">
        <f ca="1"/>
        <v>0.60710691456024835</v>
      </c>
      <c r="D2584">
        <f ca="1"/>
        <v>-0.59074995197207458</v>
      </c>
      <c r="E2584">
        <f ca="1"/>
        <v>0.22151142914099881</v>
      </c>
      <c r="G2584">
        <f ca="1"/>
        <v>0.76663162470196078</v>
      </c>
    </row>
    <row r="2585" spans="3:7">
      <c r="C2585">
        <f ca="1"/>
        <v>1.5137697916657951</v>
      </c>
      <c r="D2585">
        <f ca="1"/>
        <v>0.35423821579137621</v>
      </c>
      <c r="E2585">
        <f ca="1"/>
        <v>-0.61940081010646852</v>
      </c>
      <c r="G2585">
        <f ca="1"/>
        <v>2.8006410592475119</v>
      </c>
    </row>
    <row r="2586" spans="3:7">
      <c r="C2586">
        <f ca="1"/>
        <v>-0.73961095169608648</v>
      </c>
      <c r="D2586">
        <f ca="1"/>
        <v>-0.46701647705010763</v>
      </c>
      <c r="E2586">
        <f ca="1"/>
        <v>-0.23268140696831943</v>
      </c>
      <c r="G2586">
        <f ca="1"/>
        <v>0.81926938685384121</v>
      </c>
    </row>
    <row r="2587" spans="3:7">
      <c r="C2587">
        <f ca="1"/>
        <v>0.74041646892552404</v>
      </c>
      <c r="D2587">
        <f ca="1"/>
        <v>0.68652247666792077</v>
      </c>
      <c r="E2587">
        <f ca="1"/>
        <v>0.5466525697772141</v>
      </c>
      <c r="G2587">
        <f ca="1"/>
        <v>1.3183586904704292</v>
      </c>
    </row>
    <row r="2588" spans="3:7">
      <c r="C2588">
        <f ca="1"/>
        <v>0.91746617779756501</v>
      </c>
      <c r="D2588">
        <f ca="1"/>
        <v>1.1149900155262131</v>
      </c>
      <c r="E2588">
        <f ca="1"/>
        <v>-2.1155673234049934</v>
      </c>
      <c r="G2588">
        <f ca="1"/>
        <v>6.5605720219845862</v>
      </c>
    </row>
    <row r="2589" spans="3:7">
      <c r="C2589">
        <f ca="1"/>
        <v>-0.53891156303677856</v>
      </c>
      <c r="D2589">
        <f ca="1"/>
        <v>1.0204465323447891</v>
      </c>
      <c r="E2589">
        <f ca="1"/>
        <v>-0.20175774391062745</v>
      </c>
      <c r="G2589">
        <f ca="1"/>
        <v>1.3724429853771547</v>
      </c>
    </row>
    <row r="2590" spans="3:7">
      <c r="C2590">
        <f ca="1"/>
        <v>-0.67858364123531278</v>
      </c>
      <c r="D2590">
        <f ca="1"/>
        <v>0.53535597099610155</v>
      </c>
      <c r="E2590">
        <f ca="1"/>
        <v>-0.83460051566026627</v>
      </c>
      <c r="G2590">
        <f ca="1"/>
        <v>1.4436397945737367</v>
      </c>
    </row>
    <row r="2591" spans="3:7">
      <c r="C2591">
        <f ca="1"/>
        <v>-0.88392335805518207</v>
      </c>
      <c r="D2591">
        <f ca="1"/>
        <v>0.20027204677915428</v>
      </c>
      <c r="E2591">
        <f ca="1"/>
        <v>0.13394361285265097</v>
      </c>
      <c r="G2591">
        <f ca="1"/>
        <v>0.83937028706068229</v>
      </c>
    </row>
    <row r="2592" spans="3:7">
      <c r="C2592">
        <f ca="1"/>
        <v>0.99523339801123845</v>
      </c>
      <c r="D2592">
        <f ca="1"/>
        <v>1.0629894033942713</v>
      </c>
      <c r="E2592">
        <f ca="1"/>
        <v>0.32757211754809057</v>
      </c>
      <c r="G2592">
        <f ca="1"/>
        <v>2.2277394804404453</v>
      </c>
    </row>
    <row r="2593" spans="3:7">
      <c r="C2593">
        <f ca="1"/>
        <v>1.1665513068047932</v>
      </c>
      <c r="D2593">
        <f ca="1"/>
        <v>0.29748693931483255</v>
      </c>
      <c r="E2593">
        <f ca="1"/>
        <v>-1.1275755203016862</v>
      </c>
      <c r="G2593">
        <f ca="1"/>
        <v>2.7207669844544959</v>
      </c>
    </row>
    <row r="2594" spans="3:7">
      <c r="C2594">
        <f ca="1"/>
        <v>-1.354055647588196</v>
      </c>
      <c r="D2594">
        <f ca="1"/>
        <v>-1.625439795626902</v>
      </c>
      <c r="E2594">
        <f ca="1"/>
        <v>0.34328628478600509</v>
      </c>
      <c r="G2594">
        <f ca="1"/>
        <v>4.5933666992952915</v>
      </c>
    </row>
    <row r="2595" spans="3:7">
      <c r="C2595">
        <f ca="1"/>
        <v>0.61250438198218005</v>
      </c>
      <c r="D2595">
        <f ca="1"/>
        <v>-0.13288510149329641</v>
      </c>
      <c r="E2595">
        <f ca="1"/>
        <v>0.77311176144617177</v>
      </c>
      <c r="G2595">
        <f ca="1"/>
        <v>0.99052186383265839</v>
      </c>
    </row>
    <row r="2596" spans="3:7">
      <c r="C2596">
        <f ca="1"/>
        <v>-0.43958700301647408</v>
      </c>
      <c r="D2596">
        <f ca="1"/>
        <v>4.2054575086190704E-2</v>
      </c>
      <c r="E2596">
        <f ca="1"/>
        <v>0.84560397193120684</v>
      </c>
      <c r="G2596">
        <f ca="1"/>
        <v>0.91005139785251887</v>
      </c>
    </row>
    <row r="2597" spans="3:7">
      <c r="C2597">
        <f ca="1"/>
        <v>-0.60365770735148383</v>
      </c>
      <c r="D2597">
        <f ca="1"/>
        <v>9.1363318090862053E-2</v>
      </c>
      <c r="E2597">
        <f ca="1"/>
        <v>0.98969980734838203</v>
      </c>
      <c r="G2597">
        <f ca="1"/>
        <v>1.3522555922028463</v>
      </c>
    </row>
    <row r="2598" spans="3:7">
      <c r="C2598">
        <f ca="1"/>
        <v>-0.31529978046000517</v>
      </c>
      <c r="D2598">
        <f ca="1"/>
        <v>-0.90762671499911851</v>
      </c>
      <c r="E2598">
        <f ca="1"/>
        <v>0.54582414716373462</v>
      </c>
      <c r="G2598">
        <f ca="1"/>
        <v>1.2211242049652369</v>
      </c>
    </row>
    <row r="2599" spans="3:7">
      <c r="C2599">
        <f ca="1"/>
        <v>0.18506943913105126</v>
      </c>
      <c r="D2599">
        <f ca="1"/>
        <v>0.381889943238509</v>
      </c>
      <c r="E2599">
        <f ca="1"/>
        <v>0.89515521112990104</v>
      </c>
      <c r="G2599">
        <f ca="1"/>
        <v>0.98139347806001109</v>
      </c>
    </row>
    <row r="2600" spans="3:7">
      <c r="C2600">
        <f ca="1"/>
        <v>-1.2161676051081938</v>
      </c>
      <c r="D2600">
        <f ca="1"/>
        <v>-0.65802693893838948</v>
      </c>
      <c r="E2600">
        <f ca="1"/>
        <v>0.33554135765464344</v>
      </c>
      <c r="G2600">
        <f ca="1"/>
        <v>2.0246510987799478</v>
      </c>
    </row>
    <row r="2601" spans="3:7">
      <c r="C2601">
        <f ca="1"/>
        <v>0.82970692822125813</v>
      </c>
      <c r="D2601">
        <f ca="1"/>
        <v>0.57821567667837859</v>
      </c>
      <c r="E2601">
        <f ca="1"/>
        <v>0.68364347373490153</v>
      </c>
      <c r="G2601">
        <f ca="1"/>
        <v>1.4901153546753143</v>
      </c>
    </row>
    <row r="2602" spans="3:7">
      <c r="C2602">
        <f ca="1"/>
        <v>-8.7580726441097712E-2</v>
      </c>
      <c r="D2602">
        <f ca="1"/>
        <v>-1.4213410075518484</v>
      </c>
      <c r="E2602">
        <f ca="1"/>
        <v>-0.26667424706963749</v>
      </c>
      <c r="G2602">
        <f ca="1"/>
        <v>2.0989957974426123</v>
      </c>
    </row>
    <row r="2603" spans="3:7">
      <c r="C2603">
        <f ca="1"/>
        <v>-1.4264710725983363</v>
      </c>
      <c r="D2603">
        <f ca="1"/>
        <v>-0.62402268797305771</v>
      </c>
      <c r="E2603">
        <f ca="1"/>
        <v>6.7682879529778667E-2</v>
      </c>
      <c r="G2603">
        <f ca="1"/>
        <v>2.4288050082464108</v>
      </c>
    </row>
    <row r="2604" spans="3:7">
      <c r="C2604">
        <f ca="1"/>
        <v>0.59196560955027711</v>
      </c>
      <c r="D2604">
        <f ca="1"/>
        <v>-1.3801949129593722</v>
      </c>
      <c r="E2604">
        <f ca="1"/>
        <v>-1.2606266526059937</v>
      </c>
      <c r="G2604">
        <f ca="1"/>
        <v>3.8445408379097525</v>
      </c>
    </row>
    <row r="2605" spans="3:7">
      <c r="C2605">
        <f ca="1"/>
        <v>0.64134741078558222</v>
      </c>
      <c r="D2605">
        <f ca="1"/>
        <v>0.32896311983616433</v>
      </c>
      <c r="E2605">
        <f ca="1"/>
        <v>0.26843422184284038</v>
      </c>
      <c r="G2605">
        <f ca="1"/>
        <v>0.59160016699008422</v>
      </c>
    </row>
    <row r="2606" spans="3:7">
      <c r="C2606">
        <f ca="1"/>
        <v>-8.8446378352202232E-2</v>
      </c>
      <c r="D2606">
        <f ca="1"/>
        <v>0.42053113188261609</v>
      </c>
      <c r="E2606">
        <f ca="1"/>
        <v>1.942758500305962</v>
      </c>
      <c r="G2606">
        <f ca="1"/>
        <v>3.9589797852371658</v>
      </c>
    </row>
    <row r="2607" spans="3:7">
      <c r="C2607">
        <f ca="1"/>
        <v>1.5348079798329046</v>
      </c>
      <c r="D2607">
        <f ca="1"/>
        <v>-0.48706915356198388</v>
      </c>
      <c r="E2607">
        <f ca="1"/>
        <v>0.74122750352647648</v>
      </c>
      <c r="G2607">
        <f ca="1"/>
        <v>3.1422901072944418</v>
      </c>
    </row>
    <row r="2608" spans="3:7">
      <c r="C2608">
        <f ca="1"/>
        <v>0.50259314354610829</v>
      </c>
      <c r="D2608">
        <f ca="1"/>
        <v>0.14818429008570563</v>
      </c>
      <c r="E2608">
        <f ca="1"/>
        <v>-0.12224387118340101</v>
      </c>
      <c r="G2608">
        <f ca="1"/>
        <v>0.2895020158096675</v>
      </c>
    </row>
    <row r="2609" spans="3:7">
      <c r="C2609">
        <f ca="1"/>
        <v>-2.3451292778543711</v>
      </c>
      <c r="D2609">
        <f ca="1"/>
        <v>1.257807327973143</v>
      </c>
      <c r="E2609">
        <f ca="1"/>
        <v>-0.39882388330688451</v>
      </c>
      <c r="G2609">
        <f ca="1"/>
        <v>7.2407710940486858</v>
      </c>
    </row>
    <row r="2610" spans="3:7">
      <c r="C2610">
        <f ca="1"/>
        <v>-1.5420453223187696</v>
      </c>
      <c r="D2610">
        <f ca="1"/>
        <v>0.3911315129666213</v>
      </c>
      <c r="E2610">
        <f ca="1"/>
        <v>-1.500145765103797</v>
      </c>
      <c r="G2610">
        <f ca="1"/>
        <v>4.7813249530796131</v>
      </c>
    </row>
    <row r="2611" spans="3:7">
      <c r="C2611">
        <f ca="1"/>
        <v>0.18805912672313393</v>
      </c>
      <c r="D2611">
        <f ca="1"/>
        <v>7.7071879090184203E-2</v>
      </c>
      <c r="E2611">
        <f ca="1"/>
        <v>0.15036411721253767</v>
      </c>
      <c r="G2611">
        <f ca="1"/>
        <v>6.3915677435465487E-2</v>
      </c>
    </row>
    <row r="2612" spans="3:7">
      <c r="C2612">
        <f ca="1"/>
        <v>-0.55760832725923482</v>
      </c>
      <c r="D2612">
        <f ca="1"/>
        <v>-0.38673394887028606</v>
      </c>
      <c r="E2612">
        <f ca="1"/>
        <v>-9.069031988436764E-2</v>
      </c>
      <c r="G2612">
        <f ca="1"/>
        <v>0.46871492795837588</v>
      </c>
    </row>
    <row r="2613" spans="3:7">
      <c r="C2613">
        <f ca="1"/>
        <v>0.66253247358273437</v>
      </c>
      <c r="D2613">
        <f ca="1"/>
        <v>1.4166154214207978</v>
      </c>
      <c r="E2613">
        <f ca="1"/>
        <v>-1.0652594876182473</v>
      </c>
      <c r="G2613">
        <f ca="1"/>
        <v>3.5805263067195714</v>
      </c>
    </row>
    <row r="2614" spans="3:7">
      <c r="C2614">
        <f ca="1"/>
        <v>-8.8680372052453466E-2</v>
      </c>
      <c r="D2614">
        <f ca="1"/>
        <v>1.1024134722291614</v>
      </c>
      <c r="E2614">
        <f ca="1"/>
        <v>-0.7810690393576164</v>
      </c>
      <c r="G2614">
        <f ca="1"/>
        <v>1.8332485163827472</v>
      </c>
    </row>
    <row r="2615" spans="3:7">
      <c r="C2615">
        <f ca="1"/>
        <v>-1.2517664917659832</v>
      </c>
      <c r="D2615">
        <f ca="1"/>
        <v>-0.62747809523801734</v>
      </c>
      <c r="E2615">
        <f ca="1"/>
        <v>1.7350543698329211</v>
      </c>
      <c r="G2615">
        <f ca="1"/>
        <v>4.9710617761879625</v>
      </c>
    </row>
    <row r="2616" spans="3:7">
      <c r="C2616">
        <f ca="1"/>
        <v>-0.35487966180506186</v>
      </c>
      <c r="D2616">
        <f ca="1"/>
        <v>-0.31312091642503598</v>
      </c>
      <c r="E2616">
        <f ca="1"/>
        <v>0.57988611568600756</v>
      </c>
      <c r="G2616">
        <f ca="1"/>
        <v>0.56025218983113523</v>
      </c>
    </row>
    <row r="2617" spans="3:7">
      <c r="C2617">
        <f ca="1"/>
        <v>-0.20293764699949318</v>
      </c>
      <c r="D2617">
        <f ca="1"/>
        <v>-0.57062256747027895</v>
      </c>
      <c r="E2617">
        <f ca="1"/>
        <v>-0.41192119364170848</v>
      </c>
      <c r="G2617">
        <f ca="1"/>
        <v>0.53647287284727385</v>
      </c>
    </row>
    <row r="2618" spans="3:7">
      <c r="C2618">
        <f ca="1"/>
        <v>-0.19074022071948896</v>
      </c>
      <c r="D2618">
        <f ca="1"/>
        <v>-1.5557795042957378E-2</v>
      </c>
      <c r="E2618">
        <f ca="1"/>
        <v>0.53091725981931248</v>
      </c>
      <c r="G2618">
        <f ca="1"/>
        <v>0.31849701356076537</v>
      </c>
    </row>
    <row r="2619" spans="3:7">
      <c r="C2619">
        <f ca="1"/>
        <v>0.30570609246574781</v>
      </c>
      <c r="D2619">
        <f ca="1"/>
        <v>-0.21945465732665756</v>
      </c>
      <c r="E2619">
        <f ca="1"/>
        <v>0.863722563298288</v>
      </c>
      <c r="G2619">
        <f ca="1"/>
        <v>0.88763322794360222</v>
      </c>
    </row>
    <row r="2620" spans="3:7">
      <c r="C2620">
        <f ca="1"/>
        <v>1.8695031036383001</v>
      </c>
      <c r="D2620">
        <f ca="1"/>
        <v>-1.0107261792185962</v>
      </c>
      <c r="E2620">
        <f ca="1"/>
        <v>-0.62941686225709648</v>
      </c>
      <c r="G2620">
        <f ca="1"/>
        <v>4.9127748503646274</v>
      </c>
    </row>
    <row r="2621" spans="3:7">
      <c r="C2621">
        <f ca="1"/>
        <v>0.2747284215785758</v>
      </c>
      <c r="D2621">
        <f ca="1"/>
        <v>-0.76524529150178655</v>
      </c>
      <c r="E2621">
        <f ca="1"/>
        <v>0.94058448629082392</v>
      </c>
      <c r="G2621">
        <f ca="1"/>
        <v>1.5457752376396829</v>
      </c>
    </row>
    <row r="2622" spans="3:7">
      <c r="C2622">
        <f ca="1"/>
        <v>-0.81777401853606879</v>
      </c>
      <c r="D2622">
        <f ca="1"/>
        <v>0.24204812648970053</v>
      </c>
      <c r="E2622">
        <f ca="1"/>
        <v>-0.19319268342345208</v>
      </c>
      <c r="G2622">
        <f ca="1"/>
        <v>0.76466505385815875</v>
      </c>
    </row>
    <row r="2623" spans="3:7">
      <c r="C2623">
        <f ca="1"/>
        <v>1.2458156592582947</v>
      </c>
      <c r="D2623">
        <f ca="1"/>
        <v>-2.1239435612766012E-2</v>
      </c>
      <c r="E2623">
        <f ca="1"/>
        <v>-0.71202454475706844</v>
      </c>
      <c r="G2623">
        <f ca="1"/>
        <v>2.0594867228148388</v>
      </c>
    </row>
    <row r="2624" spans="3:7">
      <c r="C2624">
        <f ca="1"/>
        <v>1.5567366120702819</v>
      </c>
      <c r="D2624">
        <f ca="1"/>
        <v>-0.23927064106364673</v>
      </c>
      <c r="E2624">
        <f ca="1"/>
        <v>-0.72211745902320756</v>
      </c>
      <c r="G2624">
        <f ca="1"/>
        <v>3.0021329436612021</v>
      </c>
    </row>
    <row r="2625" spans="3:7">
      <c r="C2625">
        <f ca="1"/>
        <v>0.35065509038613041</v>
      </c>
      <c r="D2625">
        <f ca="1"/>
        <v>6.5359518881183035E-2</v>
      </c>
      <c r="E2625">
        <f ca="1"/>
        <v>4.80105145927993E-2</v>
      </c>
      <c r="G2625">
        <f ca="1"/>
        <v>0.12953586863355041</v>
      </c>
    </row>
    <row r="2626" spans="3:7">
      <c r="C2626">
        <f ca="1"/>
        <v>-1.9243976066531485E-2</v>
      </c>
      <c r="D2626">
        <f ca="1"/>
        <v>0.10114806909746712</v>
      </c>
      <c r="E2626">
        <f ca="1"/>
        <v>1.0954579785358056</v>
      </c>
      <c r="G2626">
        <f ca="1"/>
        <v>1.2106294452347486</v>
      </c>
    </row>
    <row r="2627" spans="3:7">
      <c r="C2627">
        <f ca="1"/>
        <v>-0.34175989742157736</v>
      </c>
      <c r="D2627">
        <f ca="1"/>
        <v>0.84719161435404633</v>
      </c>
      <c r="E2627">
        <f ca="1"/>
        <v>7.3505282510490863E-2</v>
      </c>
      <c r="G2627">
        <f ca="1"/>
        <v>0.83993648547436928</v>
      </c>
    </row>
    <row r="2628" spans="3:7">
      <c r="C2628">
        <f ca="1"/>
        <v>-1.5370031238174</v>
      </c>
      <c r="D2628">
        <f ca="1"/>
        <v>0.16465360508297899</v>
      </c>
      <c r="E2628">
        <f ca="1"/>
        <v>-1.6879656844678355</v>
      </c>
      <c r="G2628">
        <f ca="1"/>
        <v>5.2387175642322354</v>
      </c>
    </row>
    <row r="2629" spans="3:7">
      <c r="C2629">
        <f ca="1"/>
        <v>-0.68872027808488823</v>
      </c>
      <c r="D2629">
        <f ca="1"/>
        <v>-1.7506013134910348</v>
      </c>
      <c r="E2629">
        <f ca="1"/>
        <v>-0.76183198233691851</v>
      </c>
      <c r="G2629">
        <f ca="1"/>
        <v>4.119328549553261</v>
      </c>
    </row>
    <row r="2630" spans="3:7">
      <c r="C2630">
        <f ca="1"/>
        <v>0.71407939154392508</v>
      </c>
      <c r="D2630">
        <f ca="1"/>
        <v>-1.5565419136495557</v>
      </c>
      <c r="E2630">
        <f ca="1"/>
        <v>-1.1479902183783399</v>
      </c>
      <c r="G2630">
        <f ca="1"/>
        <v>4.2506136478679117</v>
      </c>
    </row>
    <row r="2631" spans="3:7">
      <c r="C2631">
        <f ca="1"/>
        <v>1.822119922943245</v>
      </c>
      <c r="D2631">
        <f ca="1"/>
        <v>-0.69876795263437574</v>
      </c>
      <c r="E2631">
        <f ca="1"/>
        <v>-0.23761768928178187</v>
      </c>
      <c r="G2631">
        <f ca="1"/>
        <v>3.8648598314751474</v>
      </c>
    </row>
    <row r="2632" spans="3:7">
      <c r="C2632">
        <f ca="1"/>
        <v>0.83288096350407759</v>
      </c>
      <c r="D2632">
        <f ca="1"/>
        <v>0.80065047379768572</v>
      </c>
      <c r="E2632">
        <f ca="1"/>
        <v>-0.47293892664126086</v>
      </c>
      <c r="G2632">
        <f ca="1"/>
        <v>1.5584031088925272</v>
      </c>
    </row>
    <row r="2633" spans="3:7">
      <c r="C2633">
        <f ca="1"/>
        <v>-0.76104123761670306</v>
      </c>
      <c r="D2633">
        <f ca="1"/>
        <v>-1.127091162925562</v>
      </c>
      <c r="E2633">
        <f ca="1"/>
        <v>-1.1246053212458362</v>
      </c>
      <c r="G2633">
        <f ca="1"/>
        <v>3.1142553834725093</v>
      </c>
    </row>
    <row r="2634" spans="3:7">
      <c r="C2634">
        <f ca="1"/>
        <v>-1.6711578698904497</v>
      </c>
      <c r="D2634">
        <f ca="1"/>
        <v>-2.1666232419466646E-2</v>
      </c>
      <c r="E2634">
        <f ca="1"/>
        <v>1.1137691314851537</v>
      </c>
      <c r="G2634">
        <f ca="1"/>
        <v>4.0337197299732326</v>
      </c>
    </row>
    <row r="2635" spans="3:7">
      <c r="C2635">
        <f ca="1"/>
        <v>-0.15897124554090661</v>
      </c>
      <c r="D2635">
        <f ca="1"/>
        <v>-0.1672475867924314</v>
      </c>
      <c r="E2635">
        <f ca="1"/>
        <v>4.2037118216163807E-2</v>
      </c>
      <c r="G2635">
        <f ca="1"/>
        <v>5.5010731504638824E-2</v>
      </c>
    </row>
    <row r="2636" spans="3:7">
      <c r="C2636">
        <f ca="1"/>
        <v>0.54662693580997235</v>
      </c>
      <c r="D2636">
        <f ca="1"/>
        <v>1.5542361123079402</v>
      </c>
      <c r="E2636">
        <f ca="1"/>
        <v>2.0017855320948515E-2</v>
      </c>
      <c r="G2636">
        <f ca="1"/>
        <v>2.7148516142867503</v>
      </c>
    </row>
    <row r="2637" spans="3:7">
      <c r="C2637">
        <f ca="1"/>
        <v>7.0827287597231767E-2</v>
      </c>
      <c r="D2637">
        <f ca="1"/>
        <v>-0.14576635639905641</v>
      </c>
      <c r="E2637">
        <f ca="1"/>
        <v>0.2063578742596569</v>
      </c>
      <c r="G2637">
        <f ca="1"/>
        <v>6.8847907595202082E-2</v>
      </c>
    </row>
    <row r="2638" spans="3:7">
      <c r="C2638">
        <f ca="1"/>
        <v>0.66062230020185131</v>
      </c>
      <c r="D2638">
        <f ca="1"/>
        <v>-2.1104534796015009</v>
      </c>
      <c r="E2638">
        <f ca="1"/>
        <v>0.33648936186970091</v>
      </c>
      <c r="G2638">
        <f ca="1"/>
        <v>5.0036608037375458</v>
      </c>
    </row>
    <row r="2639" spans="3:7">
      <c r="C2639">
        <f ca="1"/>
        <v>-0.5045465724060928</v>
      </c>
      <c r="D2639">
        <f ca="1"/>
        <v>0.25883207702440159</v>
      </c>
      <c r="E2639">
        <f ca="1"/>
        <v>1.0717714858518574</v>
      </c>
      <c r="G2639">
        <f ca="1"/>
        <v>1.4702554057086006</v>
      </c>
    </row>
    <row r="2640" spans="3:7">
      <c r="C2640">
        <f ca="1"/>
        <v>-0.16399214663789843</v>
      </c>
      <c r="D2640">
        <f ca="1"/>
        <v>-0.43235835971199843</v>
      </c>
      <c r="E2640">
        <f ca="1"/>
        <v>-0.93715613353652982</v>
      </c>
      <c r="G2640">
        <f ca="1"/>
        <v>1.092088793996894</v>
      </c>
    </row>
    <row r="2641" spans="3:7">
      <c r="C2641">
        <f ca="1"/>
        <v>-2.1662418839077224</v>
      </c>
      <c r="D2641">
        <f ca="1"/>
        <v>1.0528686338511819</v>
      </c>
      <c r="E2641">
        <f ca="1"/>
        <v>-7.3616067278194183E-2</v>
      </c>
      <c r="G2641">
        <f ca="1"/>
        <v>5.8065555851052402</v>
      </c>
    </row>
    <row r="2642" spans="3:7">
      <c r="C2642">
        <f ca="1"/>
        <v>0.73366963568003341</v>
      </c>
      <c r="D2642">
        <f ca="1"/>
        <v>-1.312020897986814</v>
      </c>
      <c r="E2642">
        <f ca="1"/>
        <v>-1.5742992867013874</v>
      </c>
      <c r="G2642">
        <f ca="1"/>
        <v>4.7380882151814951</v>
      </c>
    </row>
    <row r="2643" spans="3:7">
      <c r="C2643">
        <f ca="1"/>
        <v>-1.3334622957784672</v>
      </c>
      <c r="D2643">
        <f ca="1"/>
        <v>0.26585581236786338</v>
      </c>
      <c r="E2643">
        <f ca="1"/>
        <v>0.34797661395013629</v>
      </c>
      <c r="G2643">
        <f ca="1"/>
        <v>1.9698887310887592</v>
      </c>
    </row>
    <row r="2644" spans="3:7">
      <c r="C2644">
        <f ca="1"/>
        <v>-9.94087868845073E-2</v>
      </c>
      <c r="D2644">
        <f ca="1"/>
        <v>-0.29512600461714589</v>
      </c>
      <c r="E2644">
        <f ca="1"/>
        <v>-1.3801101998661125</v>
      </c>
      <c r="G2644">
        <f ca="1"/>
        <v>2.00168562928561</v>
      </c>
    </row>
    <row r="2645" spans="3:7">
      <c r="C2645">
        <f ca="1"/>
        <v>0.23870092849829264</v>
      </c>
      <c r="D2645">
        <f ca="1"/>
        <v>-0.86244393215680037</v>
      </c>
      <c r="E2645">
        <f ca="1"/>
        <v>0.39546059191004507</v>
      </c>
      <c r="G2645">
        <f ca="1"/>
        <v>0.95717674913387396</v>
      </c>
    </row>
    <row r="2646" spans="3:7">
      <c r="C2646">
        <f ca="1"/>
        <v>-7.3487617438007177E-2</v>
      </c>
      <c r="D2646">
        <f ca="1"/>
        <v>-0.94662160196326839</v>
      </c>
      <c r="E2646">
        <f ca="1"/>
        <v>-0.48775527993525458</v>
      </c>
      <c r="G2646">
        <f ca="1"/>
        <v>1.139398100324938</v>
      </c>
    </row>
    <row r="2647" spans="3:7">
      <c r="C2647">
        <f ca="1"/>
        <v>-0.96251630764623275</v>
      </c>
      <c r="D2647">
        <f ca="1"/>
        <v>0.138264155144422</v>
      </c>
      <c r="E2647">
        <f ca="1"/>
        <v>-0.48153377311995854</v>
      </c>
      <c r="G2647">
        <f ca="1"/>
        <v>1.1774293937378817</v>
      </c>
    </row>
    <row r="2648" spans="3:7">
      <c r="C2648">
        <f ca="1"/>
        <v>0.2418675176167161</v>
      </c>
      <c r="D2648">
        <f ca="1"/>
        <v>-2.4158827952440443E-2</v>
      </c>
      <c r="E2648">
        <f ca="1"/>
        <v>1.9050011731731638</v>
      </c>
      <c r="G2648">
        <f ca="1"/>
        <v>3.6881130148372381</v>
      </c>
    </row>
    <row r="2649" spans="3:7">
      <c r="C2649">
        <f ca="1"/>
        <v>1.5191388925035691</v>
      </c>
      <c r="D2649">
        <f ca="1"/>
        <v>-1.1367549780811939</v>
      </c>
      <c r="E2649">
        <f ca="1"/>
        <v>-0.23511705960517321</v>
      </c>
      <c r="G2649">
        <f ca="1"/>
        <v>3.6552748866267288</v>
      </c>
    </row>
    <row r="2650" spans="3:7">
      <c r="C2650">
        <f ca="1"/>
        <v>0.97332665579331112</v>
      </c>
      <c r="D2650">
        <f ca="1"/>
        <v>0.6719643023032964</v>
      </c>
      <c r="E2650">
        <f ca="1"/>
        <v>-6.4979799482611039E-2</v>
      </c>
      <c r="G2650">
        <f ca="1"/>
        <v>1.403123176788547</v>
      </c>
    </row>
    <row r="2651" spans="3:7">
      <c r="C2651">
        <f ca="1"/>
        <v>0.48739483465781597</v>
      </c>
      <c r="D2651">
        <f ca="1"/>
        <v>-0.33327277422792234</v>
      </c>
      <c r="E2651">
        <f ca="1"/>
        <v>-1.2143499594479223</v>
      </c>
      <c r="G2651">
        <f ca="1"/>
        <v>1.8232702909038661</v>
      </c>
    </row>
    <row r="2652" spans="3:7">
      <c r="C2652">
        <f ca="1"/>
        <v>0.94456261686896337</v>
      </c>
      <c r="D2652">
        <f ca="1"/>
        <v>0.23833014327112051</v>
      </c>
      <c r="E2652">
        <f ca="1"/>
        <v>-0.16032087835840125</v>
      </c>
      <c r="G2652">
        <f ca="1"/>
        <v>0.97470257841558627</v>
      </c>
    </row>
    <row r="2653" spans="3:7">
      <c r="C2653">
        <f ca="1"/>
        <v>2.5404287972770128</v>
      </c>
      <c r="D2653">
        <f ca="1"/>
        <v>-0.17634227491183888</v>
      </c>
      <c r="E2653">
        <f ca="1"/>
        <v>-6.639249266810196E-2</v>
      </c>
      <c r="G2653">
        <f ca="1"/>
        <v>6.4892830350380963</v>
      </c>
    </row>
    <row r="2654" spans="3:7">
      <c r="C2654">
        <f ca="1"/>
        <v>-0.19057008728164446</v>
      </c>
      <c r="D2654">
        <f ca="1"/>
        <v>2.2766590024731706E-2</v>
      </c>
      <c r="E2654">
        <f ca="1"/>
        <v>0.39620839501201627</v>
      </c>
      <c r="G2654">
        <f ca="1"/>
        <v>0.19381636806588573</v>
      </c>
    </row>
    <row r="2655" spans="3:7">
      <c r="C2655">
        <f ca="1"/>
        <v>1.3180288276375416</v>
      </c>
      <c r="D2655">
        <f ca="1"/>
        <v>0.69909793813147314</v>
      </c>
      <c r="E2655">
        <f ca="1"/>
        <v>1.1895070962545187</v>
      </c>
      <c r="G2655">
        <f ca="1"/>
        <v>3.6408650496231258</v>
      </c>
    </row>
    <row r="2656" spans="3:7">
      <c r="C2656">
        <f ca="1"/>
        <v>-0.24841458438989011</v>
      </c>
      <c r="D2656">
        <f ca="1"/>
        <v>1.5080978119868489</v>
      </c>
      <c r="E2656">
        <f ca="1"/>
        <v>-1.4403823524611736</v>
      </c>
      <c r="G2656">
        <f ca="1"/>
        <v>4.4107701375387069</v>
      </c>
    </row>
    <row r="2657" spans="3:7">
      <c r="C2657">
        <f ca="1"/>
        <v>-0.15680826620030702</v>
      </c>
      <c r="D2657">
        <f ca="1"/>
        <v>-0.84275230623703623</v>
      </c>
      <c r="E2657">
        <f ca="1"/>
        <v>1.5474399428376637</v>
      </c>
      <c r="G2657">
        <f ca="1"/>
        <v>3.1293906587060216</v>
      </c>
    </row>
    <row r="2658" spans="3:7">
      <c r="C2658">
        <f ca="1"/>
        <v>0.14809195983546938</v>
      </c>
      <c r="D2658">
        <f ca="1"/>
        <v>1.0663132531177477</v>
      </c>
      <c r="E2658">
        <f ca="1"/>
        <v>-1.3824747835148408</v>
      </c>
      <c r="G2658">
        <f ca="1"/>
        <v>3.07019170939687</v>
      </c>
    </row>
    <row r="2659" spans="3:7">
      <c r="C2659">
        <f ca="1"/>
        <v>0.24875028696743282</v>
      </c>
      <c r="D2659">
        <f ca="1"/>
        <v>-0.67695844058261645</v>
      </c>
      <c r="E2659">
        <f ca="1"/>
        <v>-2.2257014088591682</v>
      </c>
      <c r="G2659">
        <f ca="1"/>
        <v>5.4738961969401139</v>
      </c>
    </row>
    <row r="2660" spans="3:7">
      <c r="C2660">
        <f ca="1"/>
        <v>3.9724686831403469E-2</v>
      </c>
      <c r="D2660">
        <f ca="1"/>
        <v>-0.32621124723148914</v>
      </c>
      <c r="E2660">
        <f ca="1"/>
        <v>0.28444880914688986</v>
      </c>
      <c r="G2660">
        <f ca="1"/>
        <v>0.18890295358926057</v>
      </c>
    </row>
    <row r="2661" spans="3:7">
      <c r="C2661">
        <f ca="1"/>
        <v>-1.0032587151168593</v>
      </c>
      <c r="D2661">
        <f ca="1"/>
        <v>-1.5302072652383705</v>
      </c>
      <c r="E2661">
        <f ca="1"/>
        <v>0.98854067118518374</v>
      </c>
      <c r="G2661">
        <f ca="1"/>
        <v>4.325274982633478</v>
      </c>
    </row>
    <row r="2662" spans="3:7">
      <c r="C2662">
        <f ca="1"/>
        <v>1.6105182842595478</v>
      </c>
      <c r="D2662">
        <f ca="1"/>
        <v>-0.80712952524259252</v>
      </c>
      <c r="E2662">
        <f ca="1"/>
        <v>0.21182516582030303</v>
      </c>
      <c r="G2662">
        <f ca="1"/>
        <v>3.2900971153274496</v>
      </c>
    </row>
    <row r="2663" spans="3:7">
      <c r="C2663">
        <f ca="1"/>
        <v>-0.18683157542745241</v>
      </c>
      <c r="D2663">
        <f ca="1"/>
        <v>-1.9191026610164625</v>
      </c>
      <c r="E2663">
        <f ca="1"/>
        <v>-7.4409832497686318E-2</v>
      </c>
      <c r="G2663">
        <f ca="1"/>
        <v>3.723397884269505</v>
      </c>
    </row>
    <row r="2664" spans="3:7">
      <c r="C2664">
        <f ca="1"/>
        <v>0.7250068367446223</v>
      </c>
      <c r="D2664">
        <f ca="1"/>
        <v>0.3243010905766443</v>
      </c>
      <c r="E2664">
        <f ca="1"/>
        <v>0.79941799809138625</v>
      </c>
      <c r="G2664">
        <f ca="1"/>
        <v>1.269875246348084</v>
      </c>
    </row>
    <row r="2665" spans="3:7">
      <c r="C2665">
        <f ca="1"/>
        <v>-0.52037573573414675</v>
      </c>
      <c r="D2665">
        <f ca="1"/>
        <v>-1.5721232556416163</v>
      </c>
      <c r="E2665">
        <f ca="1"/>
        <v>0.73422862030933234</v>
      </c>
      <c r="G2665">
        <f ca="1"/>
        <v>3.2814541041513952</v>
      </c>
    </row>
    <row r="2666" spans="3:7">
      <c r="C2666">
        <f ca="1"/>
        <v>-1.7464305869602565</v>
      </c>
      <c r="D2666">
        <f ca="1"/>
        <v>-0.73823196400120294</v>
      </c>
      <c r="E2666">
        <f ca="1"/>
        <v>-0.76037832519733017</v>
      </c>
      <c r="G2666">
        <f ca="1"/>
        <v>4.1731814251733166</v>
      </c>
    </row>
    <row r="2667" spans="3:7">
      <c r="C2667">
        <f ca="1"/>
        <v>-0.86823253047368765</v>
      </c>
      <c r="D2667">
        <f ca="1"/>
        <v>0.73180416187864217</v>
      </c>
      <c r="E2667">
        <f ca="1"/>
        <v>1.8923477134679294</v>
      </c>
      <c r="G2667">
        <f ca="1"/>
        <v>4.8703449269829449</v>
      </c>
    </row>
    <row r="2668" spans="3:7">
      <c r="C2668">
        <f ca="1"/>
        <v>1.0458670344975405</v>
      </c>
      <c r="D2668">
        <f ca="1"/>
        <v>0.47879205197970992</v>
      </c>
      <c r="E2668">
        <f ca="1"/>
        <v>1.243227501059738</v>
      </c>
      <c r="G2668">
        <f ca="1"/>
        <v>2.8686943022788616</v>
      </c>
    </row>
    <row r="2669" spans="3:7">
      <c r="C2669">
        <f ca="1"/>
        <v>0.24470767040103311</v>
      </c>
      <c r="D2669">
        <f ca="1"/>
        <v>2.2914328997461677</v>
      </c>
      <c r="E2669">
        <f ca="1"/>
        <v>1.4909165548864305</v>
      </c>
      <c r="G2669">
        <f ca="1"/>
        <v>7.5333787516266542</v>
      </c>
    </row>
    <row r="2670" spans="3:7">
      <c r="C2670">
        <f ca="1"/>
        <v>1.1496750280262897</v>
      </c>
      <c r="D2670">
        <f ca="1"/>
        <v>-0.79266202949698006</v>
      </c>
      <c r="E2670">
        <f ca="1"/>
        <v>-0.41686492300616879</v>
      </c>
      <c r="G2670">
        <f ca="1"/>
        <v>2.1238421271064603</v>
      </c>
    </row>
    <row r="2671" spans="3:7">
      <c r="C2671">
        <f ca="1"/>
        <v>-0.35176728728983692</v>
      </c>
      <c r="D2671">
        <f ca="1"/>
        <v>0.34181317044599807</v>
      </c>
      <c r="E2671">
        <f ca="1"/>
        <v>0.41823332195919538</v>
      </c>
      <c r="G2671">
        <f ca="1"/>
        <v>0.41549557949461957</v>
      </c>
    </row>
    <row r="2672" spans="3:7">
      <c r="C2672">
        <f ca="1"/>
        <v>1.7691763573267905</v>
      </c>
      <c r="D2672">
        <f ca="1"/>
        <v>-1.0144473069211393</v>
      </c>
      <c r="E2672">
        <f ca="1"/>
        <v>-0.18043187955557446</v>
      </c>
      <c r="G2672">
        <f ca="1"/>
        <v>4.1916439850036014</v>
      </c>
    </row>
    <row r="2673" spans="3:7">
      <c r="C2673">
        <f ca="1"/>
        <v>-0.74490886295280301</v>
      </c>
      <c r="D2673">
        <f ca="1"/>
        <v>-1.2814668133741032</v>
      </c>
      <c r="E2673">
        <f ca="1"/>
        <v>-0.95341688188084106</v>
      </c>
      <c r="G2673">
        <f ca="1"/>
        <v>3.1060501585402021</v>
      </c>
    </row>
    <row r="2674" spans="3:7">
      <c r="C2674">
        <f ca="1"/>
        <v>0.30124125508425587</v>
      </c>
      <c r="D2674">
        <f ca="1"/>
        <v>0.17027604869664301</v>
      </c>
      <c r="E2674">
        <f ca="1"/>
        <v>-0.76087203570222983</v>
      </c>
      <c r="G2674">
        <f ca="1"/>
        <v>0.69866648123813457</v>
      </c>
    </row>
    <row r="2675" spans="3:7">
      <c r="C2675">
        <f ca="1"/>
        <v>-0.85112249716447486</v>
      </c>
      <c r="D2675">
        <f ca="1"/>
        <v>0.46371073197868568</v>
      </c>
      <c r="E2675">
        <f ca="1"/>
        <v>-0.81569702672145905</v>
      </c>
      <c r="G2675">
        <f ca="1"/>
        <v>1.6047987875339287</v>
      </c>
    </row>
    <row r="2676" spans="3:7">
      <c r="C2676">
        <f ca="1"/>
        <v>1.2515491665346612</v>
      </c>
      <c r="D2676">
        <f ca="1"/>
        <v>1.2952763869751269</v>
      </c>
      <c r="E2676">
        <f ca="1"/>
        <v>-0.68123703195066199</v>
      </c>
      <c r="G2676">
        <f ca="1"/>
        <v>3.7082001286098913</v>
      </c>
    </row>
    <row r="2677" spans="3:7">
      <c r="C2677">
        <f ca="1"/>
        <v>0.65007454647101504</v>
      </c>
      <c r="D2677">
        <f ca="1"/>
        <v>-0.18814790132745018</v>
      </c>
      <c r="E2677">
        <f ca="1"/>
        <v>0.2109437741993373</v>
      </c>
      <c r="G2677">
        <f ca="1"/>
        <v>0.50249382461688086</v>
      </c>
    </row>
    <row r="2678" spans="3:7">
      <c r="C2678">
        <f ca="1"/>
        <v>1.2680558996279347</v>
      </c>
      <c r="D2678">
        <f ca="1"/>
        <v>-0.51630588099914609</v>
      </c>
      <c r="E2678">
        <f ca="1"/>
        <v>-0.55269406904110252</v>
      </c>
      <c r="G2678">
        <f ca="1"/>
        <v>2.1800082612887266</v>
      </c>
    </row>
    <row r="2679" spans="3:7">
      <c r="C2679">
        <f ca="1"/>
        <v>-0.73237922414038326</v>
      </c>
      <c r="D2679">
        <f ca="1"/>
        <v>0.40874724593453166</v>
      </c>
      <c r="E2679">
        <f ca="1"/>
        <v>0.3517362807589382</v>
      </c>
      <c r="G2679">
        <f ca="1"/>
        <v>0.8271720502136648</v>
      </c>
    </row>
    <row r="2680" spans="3:7">
      <c r="C2680">
        <f ca="1"/>
        <v>1.0426791074818169</v>
      </c>
      <c r="D2680">
        <f ca="1"/>
        <v>1.2491490117275186</v>
      </c>
      <c r="E2680">
        <f ca="1"/>
        <v>-0.64831390238783204</v>
      </c>
      <c r="G2680">
        <f ca="1"/>
        <v>3.0678638907082538</v>
      </c>
    </row>
    <row r="2681" spans="3:7">
      <c r="C2681">
        <f ca="1"/>
        <v>1.0556011687365228</v>
      </c>
      <c r="D2681">
        <f ca="1"/>
        <v>-0.65963083925400878</v>
      </c>
      <c r="E2681">
        <f ca="1"/>
        <v>0.32761213998270067</v>
      </c>
      <c r="G2681">
        <f ca="1"/>
        <v>1.6567363857969053</v>
      </c>
    </row>
    <row r="2682" spans="3:7">
      <c r="C2682">
        <f ca="1"/>
        <v>-5.5677546028804654E-2</v>
      </c>
      <c r="D2682">
        <f ca="1"/>
        <v>-1.2211891518429396</v>
      </c>
      <c r="E2682">
        <f ca="1"/>
        <v>-0.8282486415545145</v>
      </c>
      <c r="G2682">
        <f ca="1"/>
        <v>2.1803987459475667</v>
      </c>
    </row>
    <row r="2683" spans="3:7">
      <c r="C2683">
        <f ca="1"/>
        <v>2.1655434043858564</v>
      </c>
      <c r="D2683">
        <f ca="1"/>
        <v>0.66607326504489617</v>
      </c>
      <c r="E2683">
        <f ca="1"/>
        <v>0.37096975637028939</v>
      </c>
      <c r="G2683">
        <f ca="1"/>
        <v>5.2708503908280848</v>
      </c>
    </row>
    <row r="2684" spans="3:7">
      <c r="C2684">
        <f ca="1"/>
        <v>1.0660303401395397</v>
      </c>
      <c r="D2684">
        <f ca="1"/>
        <v>1.7947168711227677</v>
      </c>
      <c r="E2684">
        <f ca="1"/>
        <v>-0.31046062548111075</v>
      </c>
      <c r="G2684">
        <f ca="1"/>
        <v>4.4538151335648415</v>
      </c>
    </row>
    <row r="2685" spans="3:7">
      <c r="C2685">
        <f ca="1"/>
        <v>-2.0639602709309348</v>
      </c>
      <c r="D2685">
        <f ca="1"/>
        <v>-0.31903531113770789</v>
      </c>
      <c r="E2685">
        <f ca="1"/>
        <v>-0.64219948297887253</v>
      </c>
      <c r="G2685">
        <f ca="1"/>
        <v>4.7741357056723634</v>
      </c>
    </row>
    <row r="2686" spans="3:7">
      <c r="C2686">
        <f ca="1"/>
        <v>0.66520931143809581</v>
      </c>
      <c r="D2686">
        <f ca="1"/>
        <v>-0.16806346754916662</v>
      </c>
      <c r="E2686">
        <f ca="1"/>
        <v>-0.83338877082654972</v>
      </c>
      <c r="G2686">
        <f ca="1"/>
        <v>1.1652856004883827</v>
      </c>
    </row>
    <row r="2687" spans="3:7">
      <c r="C2687">
        <f ca="1"/>
        <v>-1.5409301271844853</v>
      </c>
      <c r="D2687">
        <f ca="1"/>
        <v>-1.5022890545941976</v>
      </c>
      <c r="E2687">
        <f ca="1"/>
        <v>-0.36819972227710557</v>
      </c>
      <c r="G2687">
        <f ca="1"/>
        <v>4.7669090959032596</v>
      </c>
    </row>
    <row r="2688" spans="3:7">
      <c r="C2688">
        <f ca="1"/>
        <v>-0.45027869473123411</v>
      </c>
      <c r="D2688">
        <f ca="1"/>
        <v>-0.17912222516114099</v>
      </c>
      <c r="E2688">
        <f ca="1"/>
        <v>0.22808692365786445</v>
      </c>
      <c r="G2688">
        <f ca="1"/>
        <v>0.2868593192192509</v>
      </c>
    </row>
    <row r="2689" spans="3:7">
      <c r="C2689">
        <f ca="1"/>
        <v>0.76386417423073993</v>
      </c>
      <c r="D2689">
        <f ca="1"/>
        <v>0.61351663399515932</v>
      </c>
      <c r="E2689">
        <f ca="1"/>
        <v>0.19069471267312926</v>
      </c>
      <c r="G2689">
        <f ca="1"/>
        <v>0.99625561030344778</v>
      </c>
    </row>
    <row r="2690" spans="3:7">
      <c r="C2690">
        <f ca="1"/>
        <v>0.88006824779744364</v>
      </c>
      <c r="D2690">
        <f ca="1"/>
        <v>-0.67945612907857422</v>
      </c>
      <c r="E2690">
        <f ca="1"/>
        <v>0.77929602309677903</v>
      </c>
      <c r="G2690">
        <f ca="1"/>
        <v>1.8434830437381584</v>
      </c>
    </row>
    <row r="2691" spans="3:7">
      <c r="C2691">
        <f ca="1"/>
        <v>0.26631986845333627</v>
      </c>
      <c r="D2691">
        <f ca="1"/>
        <v>-0.74876287326362856</v>
      </c>
      <c r="E2691">
        <f ca="1"/>
        <v>1.0672688007148419</v>
      </c>
      <c r="G2691">
        <f ca="1"/>
        <v>1.7706348056903038</v>
      </c>
    </row>
    <row r="2692" spans="3:7">
      <c r="C2692">
        <f ca="1"/>
        <v>8.1099218277753723E-2</v>
      </c>
      <c r="D2692">
        <f ca="1"/>
        <v>-0.93733424449229474</v>
      </c>
      <c r="E2692">
        <f ca="1"/>
        <v>0.27440903881981538</v>
      </c>
      <c r="G2692">
        <f ca="1"/>
        <v>0.96047288968921873</v>
      </c>
    </row>
    <row r="2693" spans="3:7">
      <c r="C2693">
        <f ca="1"/>
        <v>-0.99328874776108622</v>
      </c>
      <c r="D2693">
        <f ca="1"/>
        <v>4.7991962754159699E-3</v>
      </c>
      <c r="E2693">
        <f ca="1"/>
        <v>-0.5068834239889497</v>
      </c>
      <c r="G2693">
        <f ca="1"/>
        <v>1.243576374228438</v>
      </c>
    </row>
    <row r="2694" spans="3:7">
      <c r="C2694">
        <f ca="1"/>
        <v>1.3606350724900653</v>
      </c>
      <c r="D2694">
        <f ca="1"/>
        <v>0.54980685387122874</v>
      </c>
      <c r="E2694">
        <f ca="1"/>
        <v>1.9717251382489302E-2</v>
      </c>
      <c r="G2694">
        <f ca="1"/>
        <v>2.1540041470559044</v>
      </c>
    </row>
    <row r="2695" spans="3:7">
      <c r="C2695">
        <f ca="1"/>
        <v>2.4281967293390436</v>
      </c>
      <c r="D2695">
        <f ca="1"/>
        <v>-0.27288515381012146</v>
      </c>
      <c r="E2695">
        <f ca="1"/>
        <v>-0.52889750107234867</v>
      </c>
      <c r="G2695">
        <f ca="1"/>
        <v>6.2503382301833783</v>
      </c>
    </row>
    <row r="2696" spans="3:7">
      <c r="C2696">
        <f ca="1"/>
        <v>-1.2679603784706812</v>
      </c>
      <c r="D2696">
        <f ca="1"/>
        <v>0.74716235057487324</v>
      </c>
      <c r="E2696">
        <f ca="1"/>
        <v>-1.6612292450053454</v>
      </c>
      <c r="G2696">
        <f ca="1"/>
        <v>4.9256577039491134</v>
      </c>
    </row>
    <row r="2697" spans="3:7">
      <c r="C2697">
        <f ca="1"/>
        <v>9.1988360525848287E-2</v>
      </c>
      <c r="D2697">
        <f ca="1"/>
        <v>-0.97026066590416726</v>
      </c>
      <c r="E2697">
        <f ca="1"/>
        <v>-0.50213651010401494</v>
      </c>
      <c r="G2697">
        <f ca="1"/>
        <v>1.2020086930524712</v>
      </c>
    </row>
    <row r="2698" spans="3:7">
      <c r="C2698">
        <f ca="1"/>
        <v>-0.4849565109560236</v>
      </c>
      <c r="D2698">
        <f ca="1"/>
        <v>-1.4187301922285973</v>
      </c>
      <c r="E2698">
        <f ca="1"/>
        <v>1.06477330015192</v>
      </c>
      <c r="G2698">
        <f ca="1"/>
        <v>3.381720356576043</v>
      </c>
    </row>
    <row r="2699" spans="3:7">
      <c r="C2699">
        <f ca="1"/>
        <v>-0.11175891172387444</v>
      </c>
      <c r="D2699">
        <f ca="1"/>
        <v>-0.9597991211348168</v>
      </c>
      <c r="E2699">
        <f ca="1"/>
        <v>1.3740707472163505</v>
      </c>
      <c r="G2699">
        <f ca="1"/>
        <v>2.8217748256365711</v>
      </c>
    </row>
    <row r="2700" spans="3:7">
      <c r="C2700">
        <f ca="1"/>
        <v>1.094167352363564</v>
      </c>
      <c r="D2700">
        <f ca="1"/>
        <v>0.77006826451852006</v>
      </c>
      <c r="E2700">
        <f ca="1"/>
        <v>0.35071656986087185</v>
      </c>
      <c r="G2700">
        <f ca="1"/>
        <v>1.9132094393718329</v>
      </c>
    </row>
    <row r="2701" spans="3:7">
      <c r="C2701">
        <f ca="1"/>
        <v>1.5061706328241036</v>
      </c>
      <c r="D2701">
        <f ca="1"/>
        <v>1.9237341627905007</v>
      </c>
      <c r="E2701">
        <f ca="1"/>
        <v>0.15810938648303818</v>
      </c>
      <c r="G2701">
        <f ca="1"/>
        <v>5.9943016823630719</v>
      </c>
    </row>
    <row r="2702" spans="3:7">
      <c r="C2702">
        <f ca="1"/>
        <v>-0.20879936156101508</v>
      </c>
      <c r="D2702">
        <f ca="1"/>
        <v>0.17123951081327651</v>
      </c>
      <c r="E2702">
        <f ca="1"/>
        <v>9.4822993917570708E-3</v>
      </c>
      <c r="G2702">
        <f ca="1"/>
        <v>7.3010057453612651E-2</v>
      </c>
    </row>
    <row r="2703" spans="3:7">
      <c r="C2703">
        <f ca="1"/>
        <v>0.78818130265444941</v>
      </c>
      <c r="D2703">
        <f ca="1"/>
        <v>-1.0683115696815182</v>
      </c>
      <c r="E2703">
        <f ca="1"/>
        <v>0.22253211121753627</v>
      </c>
      <c r="G2703">
        <f ca="1"/>
        <v>1.8120399162923879</v>
      </c>
    </row>
    <row r="2704" spans="3:7">
      <c r="C2704">
        <f ca="1"/>
        <v>1.1803230700139471</v>
      </c>
      <c r="D2704">
        <f ca="1"/>
        <v>-0.10847026011480558</v>
      </c>
      <c r="E2704">
        <f ca="1"/>
        <v>0.88509116579242553</v>
      </c>
      <c r="G2704">
        <f ca="1"/>
        <v>2.1883147187003176</v>
      </c>
    </row>
    <row r="2705" spans="3:7">
      <c r="C2705">
        <f ca="1"/>
        <v>-0.34680097721590519</v>
      </c>
      <c r="D2705">
        <f ca="1"/>
        <v>-0.63517475452341177</v>
      </c>
      <c r="E2705">
        <f ca="1"/>
        <v>-2.6265818502252878E-2</v>
      </c>
      <c r="G2705">
        <f ca="1"/>
        <v>0.52440777980337649</v>
      </c>
    </row>
    <row r="2706" spans="3:7">
      <c r="C2706">
        <f ca="1"/>
        <v>0.72341934970762001</v>
      </c>
      <c r="D2706">
        <f ca="1"/>
        <v>0.90706085007946591</v>
      </c>
      <c r="E2706">
        <f ca="1"/>
        <v>0.71874853819888196</v>
      </c>
      <c r="G2706">
        <f ca="1"/>
        <v>1.862694402441309</v>
      </c>
    </row>
    <row r="2707" spans="3:7">
      <c r="C2707">
        <f ca="1"/>
        <v>-0.68516655669113335</v>
      </c>
      <c r="D2707">
        <f ca="1"/>
        <v>0.69515228802721862</v>
      </c>
      <c r="E2707">
        <f ca="1"/>
        <v>9.4524238568301791E-2</v>
      </c>
      <c r="G2707">
        <f ca="1"/>
        <v>0.96162474563437839</v>
      </c>
    </row>
    <row r="2708" spans="3:7">
      <c r="C2708">
        <f ca="1"/>
        <v>0.65948032721040495</v>
      </c>
      <c r="D2708">
        <f ca="1"/>
        <v>0.13903499154332016</v>
      </c>
      <c r="E2708">
        <f ca="1"/>
        <v>-0.41872615755273257</v>
      </c>
      <c r="G2708">
        <f ca="1"/>
        <v>0.62957662586986973</v>
      </c>
    </row>
    <row r="2709" spans="3:7">
      <c r="C2709">
        <f ca="1"/>
        <v>-0.17797971328050224</v>
      </c>
      <c r="D2709">
        <f ca="1"/>
        <v>1.7558978647946217</v>
      </c>
      <c r="E2709">
        <f ca="1"/>
        <v>3.7788078219640676E-2</v>
      </c>
      <c r="G2709">
        <f ca="1"/>
        <v>3.1162820287852555</v>
      </c>
    </row>
    <row r="2710" spans="3:7">
      <c r="C2710">
        <f ca="1"/>
        <v>3.151199110068271</v>
      </c>
      <c r="D2710">
        <f ca="1"/>
        <v>6.0866034823096556E-2</v>
      </c>
      <c r="E2710">
        <f ca="1"/>
        <v>0.10638412128125109</v>
      </c>
      <c r="G2710">
        <f ca="1"/>
        <v>9.9450780867509323</v>
      </c>
    </row>
    <row r="2711" spans="3:7">
      <c r="C2711">
        <f ca="1"/>
        <v>-0.80127883628314422</v>
      </c>
      <c r="D2711">
        <f ca="1"/>
        <v>0.40230025624040944</v>
      </c>
      <c r="E2711">
        <f ca="1"/>
        <v>0.1583000605406864</v>
      </c>
      <c r="G2711">
        <f ca="1"/>
        <v>0.82895217881355399</v>
      </c>
    </row>
    <row r="2712" spans="3:7">
      <c r="C2712">
        <f ca="1"/>
        <v>1.0592254779482582</v>
      </c>
      <c r="D2712">
        <f ca="1"/>
        <v>0.94198104554000006</v>
      </c>
      <c r="E2712">
        <f ca="1"/>
        <v>-1.8652210502212083</v>
      </c>
      <c r="G2712">
        <f ca="1"/>
        <v>5.4883364694796546</v>
      </c>
    </row>
    <row r="2713" spans="3:7">
      <c r="C2713">
        <f ca="1"/>
        <v>-9.6127204523675833E-2</v>
      </c>
      <c r="D2713">
        <f ca="1"/>
        <v>-0.78927775492648711</v>
      </c>
      <c r="E2713">
        <f ca="1"/>
        <v>0.57355735199883262</v>
      </c>
      <c r="G2713">
        <f ca="1"/>
        <v>0.96116784990324522</v>
      </c>
    </row>
    <row r="2714" spans="3:7">
      <c r="C2714">
        <f ca="1"/>
        <v>0.30340268655928559</v>
      </c>
      <c r="D2714">
        <f ca="1"/>
        <v>0.33835260884959462</v>
      </c>
      <c r="E2714">
        <f ca="1"/>
        <v>-2.0703661768458193</v>
      </c>
      <c r="G2714">
        <f ca="1"/>
        <v>4.4929517843538926</v>
      </c>
    </row>
    <row r="2715" spans="3:7">
      <c r="C2715">
        <f ca="1"/>
        <v>1.9207491420628875</v>
      </c>
      <c r="D2715">
        <f ca="1"/>
        <v>0.741541698025459</v>
      </c>
      <c r="E2715">
        <f ca="1"/>
        <v>0.89647579471701766</v>
      </c>
      <c r="G2715">
        <f ca="1"/>
        <v>5.0428302071593079</v>
      </c>
    </row>
    <row r="2716" spans="3:7">
      <c r="C2716">
        <f ca="1"/>
        <v>1.2379477548776763</v>
      </c>
      <c r="D2716">
        <f ca="1"/>
        <v>0.92738871998629124</v>
      </c>
      <c r="E2716">
        <f ca="1"/>
        <v>0.42917918724389909</v>
      </c>
      <c r="G2716">
        <f ca="1"/>
        <v>2.5767592565278248</v>
      </c>
    </row>
    <row r="2717" spans="3:7">
      <c r="C2717">
        <f ca="1"/>
        <v>-1.9067888549272931</v>
      </c>
      <c r="D2717">
        <f ca="1"/>
        <v>-1.396159811445314</v>
      </c>
      <c r="E2717">
        <f ca="1"/>
        <v>-1.0924143108576934</v>
      </c>
      <c r="G2717">
        <f ca="1"/>
        <v>6.7784749829366415</v>
      </c>
    </row>
    <row r="2718" spans="3:7">
      <c r="C2718">
        <f ca="1"/>
        <v>-0.96732708273850321</v>
      </c>
      <c r="D2718">
        <f ca="1"/>
        <v>1.3494467680677067</v>
      </c>
      <c r="E2718">
        <f ca="1"/>
        <v>-0.43704468704336391</v>
      </c>
      <c r="G2718">
        <f ca="1"/>
        <v>2.9477363233205942</v>
      </c>
    </row>
    <row r="2719" spans="3:7">
      <c r="C2719">
        <f ca="1"/>
        <v>-0.24263924029460998</v>
      </c>
      <c r="D2719">
        <f ca="1"/>
        <v>0.22418971184747999</v>
      </c>
      <c r="E2719">
        <f ca="1"/>
        <v>-1.3702707996849199</v>
      </c>
      <c r="G2719">
        <f ca="1"/>
        <v>1.9867768922981517</v>
      </c>
    </row>
    <row r="2720" spans="3:7">
      <c r="C2720">
        <f ca="1"/>
        <v>1.0897916809910919</v>
      </c>
      <c r="D2720">
        <f ca="1"/>
        <v>0.28841491767524258</v>
      </c>
      <c r="E2720">
        <f ca="1"/>
        <v>-1.3172431048656825</v>
      </c>
      <c r="G2720">
        <f ca="1"/>
        <v>3.0059584700111901</v>
      </c>
    </row>
    <row r="2721" spans="3:7">
      <c r="C2721">
        <f ca="1"/>
        <v>1.884111741035595</v>
      </c>
      <c r="D2721">
        <f ca="1"/>
        <v>-1.1701650283262204</v>
      </c>
      <c r="E2721">
        <f ca="1"/>
        <v>-0.42743909446773554</v>
      </c>
      <c r="G2721">
        <f ca="1"/>
        <v>5.101867425705283</v>
      </c>
    </row>
    <row r="2722" spans="3:7">
      <c r="C2722">
        <f ca="1"/>
        <v>-0.63224757995066916</v>
      </c>
      <c r="D2722">
        <f ca="1"/>
        <v>-0.422317672855271</v>
      </c>
      <c r="E2722">
        <f ca="1"/>
        <v>-0.65033133465980397</v>
      </c>
      <c r="G2722">
        <f ca="1"/>
        <v>1.0010200639997715</v>
      </c>
    </row>
    <row r="2723" spans="3:7">
      <c r="C2723">
        <f ca="1"/>
        <v>1.0570729693413821</v>
      </c>
      <c r="D2723">
        <f ca="1"/>
        <v>1.1582412520392709</v>
      </c>
      <c r="E2723">
        <f ca="1"/>
        <v>0.10973300577802657</v>
      </c>
      <c r="G2723">
        <f ca="1"/>
        <v>2.4709673929947851</v>
      </c>
    </row>
    <row r="2724" spans="3:7">
      <c r="C2724">
        <f ca="1"/>
        <v>7.332197607387821E-3</v>
      </c>
      <c r="D2724">
        <f ca="1"/>
        <v>9.5010062257652711E-2</v>
      </c>
      <c r="E2724">
        <f ca="1"/>
        <v>0.43233807603503005</v>
      </c>
      <c r="G2724">
        <f ca="1"/>
        <v>0.19599688504162827</v>
      </c>
    </row>
    <row r="2725" spans="3:7">
      <c r="C2725">
        <f ca="1"/>
        <v>1.231299794536062</v>
      </c>
      <c r="D2725">
        <f ca="1"/>
        <v>-1.2137149799011289</v>
      </c>
      <c r="E2725">
        <f ca="1"/>
        <v>0.82231774791394596</v>
      </c>
      <c r="G2725">
        <f ca="1"/>
        <v>3.6654097149952096</v>
      </c>
    </row>
    <row r="2726" spans="3:7">
      <c r="C2726">
        <f ca="1"/>
        <v>0.43610616914567923</v>
      </c>
      <c r="D2726">
        <f ca="1"/>
        <v>-1.4949290446656252</v>
      </c>
      <c r="E2726">
        <f ca="1"/>
        <v>-1.5164829986605861</v>
      </c>
      <c r="G2726">
        <f ca="1"/>
        <v>4.7247221245784017</v>
      </c>
    </row>
    <row r="2727" spans="3:7">
      <c r="C2727">
        <f ca="1"/>
        <v>0.52933464406082731</v>
      </c>
      <c r="D2727">
        <f ca="1"/>
        <v>-0.80232099310437122</v>
      </c>
      <c r="E2727">
        <f ca="1"/>
        <v>1.1866646188550529</v>
      </c>
      <c r="G2727">
        <f ca="1"/>
        <v>2.3320870590213953</v>
      </c>
    </row>
    <row r="2728" spans="3:7">
      <c r="C2728">
        <f ca="1"/>
        <v>-1.3154037626975383</v>
      </c>
      <c r="D2728">
        <f ca="1"/>
        <v>0.16823911545066103</v>
      </c>
      <c r="E2728">
        <f ca="1"/>
        <v>-1.6203840187597949</v>
      </c>
      <c r="G2728">
        <f ca="1"/>
        <v>4.3842358271386059</v>
      </c>
    </row>
    <row r="2729" spans="3:7">
      <c r="C2729">
        <f ca="1"/>
        <v>-2.1767622384029397</v>
      </c>
      <c r="D2729">
        <f ca="1"/>
        <v>0.7023618355204152</v>
      </c>
      <c r="E2729">
        <f ca="1"/>
        <v>1.4315291799967604</v>
      </c>
      <c r="G2729">
        <f ca="1"/>
        <v>7.280881783714781</v>
      </c>
    </row>
    <row r="2730" spans="3:7">
      <c r="C2730">
        <f ca="1"/>
        <v>1.0551278390752015</v>
      </c>
      <c r="D2730">
        <f ca="1"/>
        <v>0.18037665896891597</v>
      </c>
      <c r="E2730">
        <f ca="1"/>
        <v>-1.5738433524132271</v>
      </c>
      <c r="G2730">
        <f ca="1"/>
        <v>3.6228133938275984</v>
      </c>
    </row>
    <row r="2731" spans="3:7">
      <c r="C2731">
        <f ca="1"/>
        <v>0.76752045142617897</v>
      </c>
      <c r="D2731">
        <f ca="1"/>
        <v>-0.44319091382652798</v>
      </c>
      <c r="E2731">
        <f ca="1"/>
        <v>0.83003030206637085</v>
      </c>
      <c r="G2731">
        <f ca="1"/>
        <v>1.4744561318042293</v>
      </c>
    </row>
    <row r="2732" spans="3:7">
      <c r="C2732">
        <f ca="1"/>
        <v>0.47741782150624018</v>
      </c>
      <c r="D2732">
        <f ca="1"/>
        <v>-0.91793358707635764</v>
      </c>
      <c r="E2732">
        <f ca="1"/>
        <v>0.99803226355244545</v>
      </c>
      <c r="G2732">
        <f ca="1"/>
        <v>2.0665982456662513</v>
      </c>
    </row>
    <row r="2733" spans="3:7">
      <c r="C2733">
        <f ca="1"/>
        <v>0.84234971570464301</v>
      </c>
      <c r="D2733">
        <f ca="1"/>
        <v>0.64123578637750678</v>
      </c>
      <c r="E2733">
        <f ca="1"/>
        <v>-1.2701446928173745</v>
      </c>
      <c r="G2733">
        <f ca="1"/>
        <v>2.7340039179710152</v>
      </c>
    </row>
    <row r="2734" spans="3:7">
      <c r="C2734">
        <f ca="1"/>
        <v>1.617222944697039</v>
      </c>
      <c r="D2734">
        <f ca="1"/>
        <v>1.0667195098434725</v>
      </c>
      <c r="E2734">
        <f ca="1"/>
        <v>0.73656446686748756</v>
      </c>
      <c r="G2734">
        <f ca="1"/>
        <v>4.2958277793870456</v>
      </c>
    </row>
    <row r="2735" spans="3:7">
      <c r="C2735">
        <f ca="1"/>
        <v>-1.6099506449865659</v>
      </c>
      <c r="D2735">
        <f ca="1"/>
        <v>-0.42474263195258588</v>
      </c>
      <c r="E2735">
        <f ca="1"/>
        <v>1.1050186769116028</v>
      </c>
      <c r="G2735">
        <f ca="1"/>
        <v>3.9934136590141387</v>
      </c>
    </row>
    <row r="2736" spans="3:7">
      <c r="C2736">
        <f ca="1"/>
        <v>-0.62809517560047345</v>
      </c>
      <c r="D2736">
        <f ca="1"/>
        <v>0.44224318106552063</v>
      </c>
      <c r="E2736">
        <f ca="1"/>
        <v>1.1622524027372725</v>
      </c>
      <c r="G2736">
        <f ca="1"/>
        <v>1.9409132284801034</v>
      </c>
    </row>
    <row r="2737" spans="3:7">
      <c r="C2737">
        <f ca="1"/>
        <v>0.5797091286213929</v>
      </c>
      <c r="D2737">
        <f ca="1"/>
        <v>1.3486213586607101</v>
      </c>
      <c r="E2737">
        <f ca="1"/>
        <v>-0.44413329711172383</v>
      </c>
      <c r="G2737">
        <f ca="1"/>
        <v>2.3520966284461648</v>
      </c>
    </row>
    <row r="2738" spans="3:7">
      <c r="C2738">
        <f ca="1"/>
        <v>1.129975698019591</v>
      </c>
      <c r="D2738">
        <f ca="1"/>
        <v>0.56509748182648056</v>
      </c>
      <c r="E2738">
        <f ca="1"/>
        <v>0.74467900520111652</v>
      </c>
      <c r="G2738">
        <f ca="1"/>
        <v>2.1507270628688158</v>
      </c>
    </row>
    <row r="2739" spans="3:7">
      <c r="C2739">
        <f ca="1"/>
        <v>-0.67390998458156581</v>
      </c>
      <c r="D2739">
        <f ca="1"/>
        <v>-2.2217822560948419</v>
      </c>
      <c r="E2739">
        <f ca="1"/>
        <v>-0.71312467182379735</v>
      </c>
      <c r="G2739">
        <f ca="1"/>
        <v>5.8990178583804109</v>
      </c>
    </row>
    <row r="2740" spans="3:7">
      <c r="C2740">
        <f ca="1"/>
        <v>0.62146697691417752</v>
      </c>
      <c r="D2740">
        <f ca="1"/>
        <v>0.90039142173418885</v>
      </c>
      <c r="E2740">
        <f ca="1"/>
        <v>-4.6220561340680283E-2</v>
      </c>
      <c r="G2740">
        <f ca="1"/>
        <v>1.1990622560180084</v>
      </c>
    </row>
    <row r="2741" spans="3:7">
      <c r="C2741">
        <f ca="1"/>
        <v>-0.35055808795796867</v>
      </c>
      <c r="D2741">
        <f ca="1"/>
        <v>0.36946049092791133</v>
      </c>
      <c r="E2741">
        <f ca="1"/>
        <v>0.9487899755679603</v>
      </c>
      <c r="G2741">
        <f ca="1"/>
        <v>1.1595944451276909</v>
      </c>
    </row>
    <row r="2742" spans="3:7">
      <c r="C2742">
        <f ca="1"/>
        <v>0.41324690798089803</v>
      </c>
      <c r="D2742">
        <f ca="1"/>
        <v>2.3784242356442924</v>
      </c>
      <c r="E2742">
        <f ca="1"/>
        <v>-0.27678874262414893</v>
      </c>
      <c r="G2742">
        <f ca="1"/>
        <v>5.9042868596993667</v>
      </c>
    </row>
    <row r="2743" spans="3:7">
      <c r="C2743">
        <f ca="1"/>
        <v>0.982759282915045</v>
      </c>
      <c r="D2743">
        <f ca="1"/>
        <v>-0.57319294868075688</v>
      </c>
      <c r="E2743">
        <f ca="1"/>
        <v>-2.7552789707879488</v>
      </c>
      <c r="G2743">
        <f ca="1"/>
        <v>8.8859281714393337</v>
      </c>
    </row>
    <row r="2744" spans="3:7">
      <c r="C2744">
        <f ca="1"/>
        <v>-0.3760525540806095</v>
      </c>
      <c r="D2744">
        <f ca="1"/>
        <v>1.7719644454168271</v>
      </c>
      <c r="E2744">
        <f ca="1"/>
        <v>0.982775026623253</v>
      </c>
      <c r="G2744">
        <f ca="1"/>
        <v>4.2471202722062493</v>
      </c>
    </row>
    <row r="2745" spans="3:7">
      <c r="C2745">
        <f ca="1"/>
        <v>-5.0399595618787658E-2</v>
      </c>
      <c r="D2745">
        <f ca="1"/>
        <v>0.94286967274982669</v>
      </c>
      <c r="E2745">
        <f ca="1"/>
        <v>-8.3638376612432688E-2</v>
      </c>
      <c r="G2745">
        <f ca="1"/>
        <v>0.89853871707226585</v>
      </c>
    </row>
    <row r="2746" spans="3:7">
      <c r="C2746">
        <f ca="1"/>
        <v>-0.3450995925768055</v>
      </c>
      <c r="D2746">
        <f ca="1"/>
        <v>0.4860062073176234</v>
      </c>
      <c r="E2746">
        <f ca="1"/>
        <v>-1.2330256796437513</v>
      </c>
      <c r="G2746">
        <f ca="1"/>
        <v>1.8756480890088727</v>
      </c>
    </row>
    <row r="2747" spans="3:7">
      <c r="C2747">
        <f ca="1"/>
        <v>0.54068925739484797</v>
      </c>
      <c r="D2747">
        <f ca="1"/>
        <v>-1.020099997687594</v>
      </c>
      <c r="E2747">
        <f ca="1"/>
        <v>-0.11815370851092008</v>
      </c>
      <c r="G2747">
        <f ca="1"/>
        <v>1.3469091771793047</v>
      </c>
    </row>
    <row r="2748" spans="3:7">
      <c r="C2748">
        <f ca="1"/>
        <v>-2.1855265373423993</v>
      </c>
      <c r="D2748">
        <f ca="1"/>
        <v>0.19205045898312034</v>
      </c>
      <c r="E2748">
        <f ca="1"/>
        <v>-1.1347760079091762</v>
      </c>
      <c r="G2748">
        <f ca="1"/>
        <v>6.1011262123497723</v>
      </c>
    </row>
    <row r="2749" spans="3:7">
      <c r="C2749">
        <f ca="1"/>
        <v>-0.5504875822614258</v>
      </c>
      <c r="D2749">
        <f ca="1"/>
        <v>-0.49313142116627284</v>
      </c>
      <c r="E2749">
        <f ca="1"/>
        <v>-1.474138567462044</v>
      </c>
      <c r="G2749">
        <f ca="1"/>
        <v>2.7192996928445452</v>
      </c>
    </row>
    <row r="2750" spans="3:7">
      <c r="C2750">
        <f ca="1"/>
        <v>0.47981409694137023</v>
      </c>
      <c r="D2750">
        <f ca="1"/>
        <v>3.9579220055493171E-2</v>
      </c>
      <c r="E2750">
        <f ca="1"/>
        <v>0.18636620128283918</v>
      </c>
      <c r="G2750">
        <f ca="1"/>
        <v>0.26652044326445951</v>
      </c>
    </row>
    <row r="2751" spans="3:7">
      <c r="C2751">
        <f ca="1"/>
        <v>-0.49857430877817943</v>
      </c>
      <c r="D2751">
        <f ca="1"/>
        <v>-1.3180452773262372</v>
      </c>
      <c r="E2751">
        <f ca="1"/>
        <v>-0.24720456233133231</v>
      </c>
      <c r="G2751">
        <f ca="1"/>
        <v>2.0469297900930625</v>
      </c>
    </row>
    <row r="2752" spans="3:7">
      <c r="C2752">
        <f ca="1"/>
        <v>4.8916239290970956E-2</v>
      </c>
      <c r="D2752">
        <f ca="1"/>
        <v>-0.26934254776479882</v>
      </c>
      <c r="E2752">
        <f ca="1"/>
        <v>0.47565236539847888</v>
      </c>
      <c r="G2752">
        <f ca="1"/>
        <v>0.30118337921197252</v>
      </c>
    </row>
    <row r="2753" spans="3:7">
      <c r="C2753">
        <f ca="1"/>
        <v>0.57640329498061105</v>
      </c>
      <c r="D2753">
        <f ca="1"/>
        <v>-1.0562410078123403</v>
      </c>
      <c r="E2753">
        <f ca="1"/>
        <v>-1.0944267718060439</v>
      </c>
      <c r="G2753">
        <f ca="1"/>
        <v>2.6456557838947319</v>
      </c>
    </row>
    <row r="2754" spans="3:7">
      <c r="C2754">
        <f ca="1"/>
        <v>8.9417195115960885E-2</v>
      </c>
      <c r="D2754">
        <f ca="1"/>
        <v>0.52668288326727331</v>
      </c>
      <c r="E2754">
        <f ca="1"/>
        <v>-0.41044184337317058</v>
      </c>
      <c r="G2754">
        <f ca="1"/>
        <v>0.45385280110070036</v>
      </c>
    </row>
    <row r="2755" spans="3:7">
      <c r="C2755">
        <f ca="1"/>
        <v>2.0236163246703032</v>
      </c>
      <c r="D2755">
        <f ca="1"/>
        <v>-0.30733024614978088</v>
      </c>
      <c r="E2755">
        <f ca="1"/>
        <v>-1.177915417964712</v>
      </c>
      <c r="G2755">
        <f ca="1"/>
        <v>5.576959641549613</v>
      </c>
    </row>
    <row r="2756" spans="3:7">
      <c r="C2756">
        <f ca="1"/>
        <v>0.21117363334908143</v>
      </c>
      <c r="D2756">
        <f ca="1"/>
        <v>-0.6732903991530037</v>
      </c>
      <c r="E2756">
        <f ca="1"/>
        <v>0.51594798963242627</v>
      </c>
      <c r="G2756">
        <f ca="1"/>
        <v>0.76411659301920554</v>
      </c>
    </row>
    <row r="2757" spans="3:7">
      <c r="C2757">
        <f ca="1"/>
        <v>2.4703786673520161</v>
      </c>
      <c r="D2757">
        <f ca="1"/>
        <v>-0.40865791719619482</v>
      </c>
      <c r="E2757">
        <f ca="1"/>
        <v>-0.61595841268327223</v>
      </c>
      <c r="G2757">
        <f ca="1"/>
        <v>6.6491768195503518</v>
      </c>
    </row>
    <row r="2758" spans="3:7">
      <c r="C2758">
        <f ca="1"/>
        <v>-0.83780428309133581</v>
      </c>
      <c r="D2758">
        <f ca="1"/>
        <v>2.8801773654526444</v>
      </c>
      <c r="E2758">
        <f ca="1"/>
        <v>1.1539371668433804</v>
      </c>
      <c r="G2758">
        <f ca="1"/>
        <v>10.328908658254452</v>
      </c>
    </row>
    <row r="2759" spans="3:7">
      <c r="C2759">
        <f ca="1"/>
        <v>-4.1207367771458621E-2</v>
      </c>
      <c r="D2759">
        <f ca="1"/>
        <v>-2.2951412424978663</v>
      </c>
      <c r="E2759">
        <f ca="1"/>
        <v>1.6737215591630348</v>
      </c>
      <c r="G2759">
        <f ca="1"/>
        <v>8.0707152277804433</v>
      </c>
    </row>
    <row r="2760" spans="3:7">
      <c r="C2760">
        <f ca="1"/>
        <v>-0.39532327990321109</v>
      </c>
      <c r="D2760">
        <f ca="1"/>
        <v>0.84278004426097264</v>
      </c>
      <c r="E2760">
        <f ca="1"/>
        <v>0.49257816597367393</v>
      </c>
      <c r="G2760">
        <f ca="1"/>
        <v>1.1091919482319479</v>
      </c>
    </row>
    <row r="2761" spans="3:7">
      <c r="C2761">
        <f ca="1"/>
        <v>0.85557602129572152</v>
      </c>
      <c r="D2761">
        <f ca="1"/>
        <v>0.48458038096939787</v>
      </c>
      <c r="E2761">
        <f ca="1"/>
        <v>1.2464711782018185</v>
      </c>
      <c r="G2761">
        <f ca="1"/>
        <v>2.5205188719244935</v>
      </c>
    </row>
    <row r="2762" spans="3:7">
      <c r="C2762">
        <f ca="1"/>
        <v>0.89826107011541279</v>
      </c>
      <c r="D2762">
        <f ca="1"/>
        <v>-0.1544561567998517</v>
      </c>
      <c r="E2762">
        <f ca="1"/>
        <v>-1.2722656059065107</v>
      </c>
      <c r="G2762">
        <f ca="1"/>
        <v>2.4493894264309279</v>
      </c>
    </row>
    <row r="2763" spans="3:7">
      <c r="C2763">
        <f ca="1"/>
        <v>-1.8620501370853901</v>
      </c>
      <c r="D2763">
        <f ca="1"/>
        <v>-1.5769119326271082</v>
      </c>
      <c r="E2763">
        <f ca="1"/>
        <v>-0.59685469804035562</v>
      </c>
      <c r="G2763">
        <f ca="1"/>
        <v>6.3101174868543257</v>
      </c>
    </row>
    <row r="2764" spans="3:7">
      <c r="C2764">
        <f ca="1"/>
        <v>0.91650549250155033</v>
      </c>
      <c r="D2764">
        <f ca="1"/>
        <v>0.28919439969934296</v>
      </c>
      <c r="E2764">
        <f ca="1"/>
        <v>0.52143277151492295</v>
      </c>
      <c r="G2764">
        <f ca="1"/>
        <v>1.1955078538127066</v>
      </c>
    </row>
    <row r="2765" spans="3:7">
      <c r="C2765">
        <f ca="1"/>
        <v>1.5377143575314618</v>
      </c>
      <c r="D2765">
        <f ca="1"/>
        <v>0.98974255901386943</v>
      </c>
      <c r="E2765">
        <f ca="1"/>
        <v>0.81036741540219071</v>
      </c>
      <c r="G2765">
        <f ca="1"/>
        <v>4.0008511264273459</v>
      </c>
    </row>
    <row r="2766" spans="3:7">
      <c r="C2766">
        <f ca="1"/>
        <v>3.2603461707027046</v>
      </c>
      <c r="D2766">
        <f ca="1"/>
        <v>0.76130918414624726</v>
      </c>
      <c r="E2766">
        <f ca="1"/>
        <v>0.45171290716343376</v>
      </c>
      <c r="G2766">
        <f ca="1"/>
        <v>11.413493377179256</v>
      </c>
    </row>
    <row r="2767" spans="3:7">
      <c r="C2767">
        <f ca="1"/>
        <v>0.76580557964326434</v>
      </c>
      <c r="D2767">
        <f ca="1"/>
        <v>1.8313011235316801</v>
      </c>
      <c r="E2767">
        <f ca="1"/>
        <v>0.57048162235078181</v>
      </c>
      <c r="G2767">
        <f ca="1"/>
        <v>4.2655712723011296</v>
      </c>
    </row>
    <row r="2768" spans="3:7">
      <c r="C2768">
        <f ca="1"/>
        <v>0.15935914439417417</v>
      </c>
      <c r="D2768">
        <f ca="1"/>
        <v>0.22578708689250679</v>
      </c>
      <c r="E2768">
        <f ca="1"/>
        <v>1.4616607730552238</v>
      </c>
      <c r="G2768">
        <f ca="1"/>
        <v>2.2128273609978422</v>
      </c>
    </row>
    <row r="2769" spans="3:7">
      <c r="C2769">
        <f ca="1"/>
        <v>-1.1334635606266579</v>
      </c>
      <c r="D2769">
        <f ca="1"/>
        <v>0.36206833707489311</v>
      </c>
      <c r="E2769">
        <f ca="1"/>
        <v>-0.40899188056148045</v>
      </c>
      <c r="G2769">
        <f ca="1"/>
        <v>1.583107482345856</v>
      </c>
    </row>
    <row r="2770" spans="3:7">
      <c r="C2770">
        <f ca="1"/>
        <v>2.0126816934206544</v>
      </c>
      <c r="D2770">
        <f ca="1"/>
        <v>0.81259897707325923</v>
      </c>
      <c r="E2770">
        <f ca="1"/>
        <v>1.1532712524681643</v>
      </c>
      <c r="G2770">
        <f ca="1"/>
        <v>6.0412392783406288</v>
      </c>
    </row>
    <row r="2771" spans="3:7">
      <c r="C2771">
        <f ca="1"/>
        <v>1.3556266345124102</v>
      </c>
      <c r="D2771">
        <f ca="1"/>
        <v>2.3089462655335082</v>
      </c>
      <c r="E2771">
        <f ca="1"/>
        <v>-0.48030294576945515</v>
      </c>
      <c r="G2771">
        <f ca="1"/>
        <v>7.3996473490353942</v>
      </c>
    </row>
    <row r="2772" spans="3:7">
      <c r="C2772">
        <f ca="1"/>
        <v>-0.11279883170810627</v>
      </c>
      <c r="D2772">
        <f ca="1"/>
        <v>-1.3632054278136603</v>
      </c>
      <c r="E2772">
        <f ca="1"/>
        <v>0.56079005321901509</v>
      </c>
      <c r="G2772">
        <f ca="1"/>
        <v>2.1855380986447241</v>
      </c>
    </row>
    <row r="2773" spans="3:7">
      <c r="C2773">
        <f ca="1"/>
        <v>-0.20911298086309721</v>
      </c>
      <c r="D2773">
        <f ca="1"/>
        <v>0.16878487841904724</v>
      </c>
      <c r="E2773">
        <f ca="1"/>
        <v>-0.63787534297714199</v>
      </c>
      <c r="G2773">
        <f ca="1"/>
        <v>0.47910152712658916</v>
      </c>
    </row>
    <row r="2774" spans="3:7">
      <c r="C2774">
        <f ca="1"/>
        <v>-0.10130212419287951</v>
      </c>
      <c r="D2774">
        <f ca="1"/>
        <v>1.152193486202107</v>
      </c>
      <c r="E2774">
        <f ca="1"/>
        <v>-0.51332714870937113</v>
      </c>
      <c r="G2774">
        <f ca="1"/>
        <v>1.6013167116146474</v>
      </c>
    </row>
    <row r="2775" spans="3:7">
      <c r="C2775">
        <f ca="1"/>
        <v>-0.14357159759178253</v>
      </c>
      <c r="D2775">
        <f ca="1"/>
        <v>0.95181718148888117</v>
      </c>
      <c r="E2775">
        <f ca="1"/>
        <v>0.87576291771622072</v>
      </c>
      <c r="G2775">
        <f ca="1"/>
        <v>1.6935294386593225</v>
      </c>
    </row>
    <row r="2776" spans="3:7">
      <c r="C2776">
        <f ca="1"/>
        <v>3.7482231390875108E-2</v>
      </c>
      <c r="D2776">
        <f ca="1"/>
        <v>2.1867884409829712E-2</v>
      </c>
      <c r="E2776">
        <f ca="1"/>
        <v>-0.25831746022324742</v>
      </c>
      <c r="G2776">
        <f ca="1"/>
        <v>6.8611032294789792E-2</v>
      </c>
    </row>
    <row r="2777" spans="3:7">
      <c r="C2777">
        <f ca="1"/>
        <v>-1.1857614560365535</v>
      </c>
      <c r="D2777">
        <f ca="1"/>
        <v>0.3455716594754179</v>
      </c>
      <c r="E2777">
        <f ca="1"/>
        <v>0.22706393220260707</v>
      </c>
      <c r="G2777">
        <f ca="1"/>
        <v>1.5770080317618318</v>
      </c>
    </row>
    <row r="2778" spans="3:7">
      <c r="C2778">
        <f ca="1"/>
        <v>-0.33297927639218466</v>
      </c>
      <c r="D2778">
        <f ca="1"/>
        <v>-0.30265222842818978</v>
      </c>
      <c r="E2778">
        <f ca="1"/>
        <v>-0.64768081364620878</v>
      </c>
      <c r="G2778">
        <f ca="1"/>
        <v>0.62196400624462711</v>
      </c>
    </row>
    <row r="2779" spans="3:7">
      <c r="C2779">
        <f ca="1"/>
        <v>-0.68764335097243023</v>
      </c>
      <c r="D2779">
        <f ca="1"/>
        <v>0.80139649310338912</v>
      </c>
      <c r="E2779">
        <f ca="1"/>
        <v>-0.49588319087739291</v>
      </c>
      <c r="G2779">
        <f ca="1"/>
        <v>1.360989856289748</v>
      </c>
    </row>
    <row r="2780" spans="3:7">
      <c r="C2780">
        <f ca="1"/>
        <v>0.97864717869526352</v>
      </c>
      <c r="D2780">
        <f ca="1"/>
        <v>-7.2863381253648413E-2</v>
      </c>
      <c r="E2780">
        <f ca="1"/>
        <v>-2.0363519881825112</v>
      </c>
      <c r="G2780">
        <f ca="1"/>
        <v>5.1097887924707797</v>
      </c>
    </row>
    <row r="2781" spans="3:7">
      <c r="C2781">
        <f ca="1"/>
        <v>0.73654420659741959</v>
      </c>
      <c r="D2781">
        <f ca="1"/>
        <v>-2.027651791201706</v>
      </c>
      <c r="E2781">
        <f ca="1"/>
        <v>-1.8475795753793405</v>
      </c>
      <c r="G2781">
        <f ca="1"/>
        <v>8.0674194419946126</v>
      </c>
    </row>
    <row r="2782" spans="3:7">
      <c r="C2782">
        <f ca="1"/>
        <v>1.4467471303312176</v>
      </c>
      <c r="D2782">
        <f ca="1"/>
        <v>7.7978486651494053E-2</v>
      </c>
      <c r="E2782">
        <f ca="1"/>
        <v>1.089692613213034</v>
      </c>
      <c r="G2782">
        <f ca="1"/>
        <v>3.2865878947931213</v>
      </c>
    </row>
    <row r="2783" spans="3:7">
      <c r="C2783">
        <f ca="1"/>
        <v>-0.87769674510545992</v>
      </c>
      <c r="D2783">
        <f ca="1"/>
        <v>-0.26395649932883281</v>
      </c>
      <c r="E2783">
        <f ca="1"/>
        <v>1.4336036398197215E-2</v>
      </c>
      <c r="G2783">
        <f ca="1"/>
        <v>0.84023013184626116</v>
      </c>
    </row>
    <row r="2784" spans="3:7">
      <c r="C2784">
        <f ca="1"/>
        <v>-0.33313047879557145</v>
      </c>
      <c r="D2784">
        <f ca="1"/>
        <v>-0.36081173401432404</v>
      </c>
      <c r="E2784">
        <f ca="1"/>
        <v>0.18787492216699764</v>
      </c>
      <c r="G2784">
        <f ca="1"/>
        <v>0.27645800968424544</v>
      </c>
    </row>
    <row r="2785" spans="3:7">
      <c r="C2785">
        <f ca="1"/>
        <v>-0.51570321633084892</v>
      </c>
      <c r="D2785">
        <f ca="1"/>
        <v>0.54037082362501188</v>
      </c>
      <c r="E2785">
        <f ca="1"/>
        <v>0.3206964788934219</v>
      </c>
      <c r="G2785">
        <f ca="1"/>
        <v>0.66079666593379516</v>
      </c>
    </row>
    <row r="2786" spans="3:7">
      <c r="C2786">
        <f ca="1"/>
        <v>0.67862377504178262</v>
      </c>
      <c r="D2786">
        <f ca="1"/>
        <v>0.16249892345726813</v>
      </c>
      <c r="E2786">
        <f ca="1"/>
        <v>-3.5159165428970011E-2</v>
      </c>
      <c r="G2786">
        <f ca="1"/>
        <v>0.48817229509039273</v>
      </c>
    </row>
    <row r="2787" spans="3:7">
      <c r="C2787">
        <f ca="1"/>
        <v>0.24387507987547699</v>
      </c>
      <c r="D2787">
        <f ca="1"/>
        <v>1.0530197972791662</v>
      </c>
      <c r="E2787">
        <f ca="1"/>
        <v>0.64719458834372334</v>
      </c>
      <c r="G2787">
        <f ca="1"/>
        <v>1.587186583227528</v>
      </c>
    </row>
    <row r="2788" spans="3:7">
      <c r="C2788">
        <f ca="1"/>
        <v>1.0572847011558157</v>
      </c>
      <c r="D2788">
        <f ca="1"/>
        <v>0.51157941857714739</v>
      </c>
      <c r="E2788">
        <f ca="1"/>
        <v>-1.8706518091118345</v>
      </c>
      <c r="G2788">
        <f ca="1"/>
        <v>4.8789026317432542</v>
      </c>
    </row>
    <row r="2789" spans="3:7">
      <c r="C2789">
        <f ca="1"/>
        <v>-1.4988126239738362</v>
      </c>
      <c r="D2789">
        <f ca="1"/>
        <v>1.3375540160291617</v>
      </c>
      <c r="E2789">
        <f ca="1"/>
        <v>-1.0060870366514341</v>
      </c>
      <c r="G2789">
        <f ca="1"/>
        <v>5.0477011528971394</v>
      </c>
    </row>
    <row r="2790" spans="3:7">
      <c r="C2790">
        <f ca="1"/>
        <v>0.73135303833358423</v>
      </c>
      <c r="D2790">
        <f ca="1"/>
        <v>-0.63487070089358477</v>
      </c>
      <c r="E2790">
        <f ca="1"/>
        <v>0.90373139989507789</v>
      </c>
      <c r="G2790">
        <f ca="1"/>
        <v>1.7546685166891938</v>
      </c>
    </row>
    <row r="2791" spans="3:7">
      <c r="C2791">
        <f ca="1"/>
        <v>-1.2917866696047697</v>
      </c>
      <c r="D2791">
        <f ca="1"/>
        <v>-0.48168414563892653</v>
      </c>
      <c r="E2791">
        <f ca="1"/>
        <v>1.1318495897679237</v>
      </c>
      <c r="G2791">
        <f ca="1"/>
        <v>3.1818159097863026</v>
      </c>
    </row>
    <row r="2792" spans="3:7">
      <c r="C2792">
        <f ca="1"/>
        <v>-1.4779699544212228</v>
      </c>
      <c r="D2792">
        <f ca="1"/>
        <v>0.92968210604280443</v>
      </c>
      <c r="E2792">
        <f ca="1"/>
        <v>0.68888349659736847</v>
      </c>
      <c r="G2792">
        <f ca="1"/>
        <v>3.5232644763522725</v>
      </c>
    </row>
    <row r="2793" spans="3:7">
      <c r="C2793">
        <f ca="1"/>
        <v>-0.14317728431852589</v>
      </c>
      <c r="D2793">
        <f ca="1"/>
        <v>-0.47533928601344805</v>
      </c>
      <c r="E2793">
        <f ca="1"/>
        <v>1.6270676865104001</v>
      </c>
      <c r="G2793">
        <f ca="1"/>
        <v>2.8937964280589084</v>
      </c>
    </row>
    <row r="2794" spans="3:7">
      <c r="C2794">
        <f ca="1"/>
        <v>-0.91928073151877798</v>
      </c>
      <c r="D2794">
        <f ca="1"/>
        <v>0.23208664764888687</v>
      </c>
      <c r="E2794">
        <f ca="1"/>
        <v>1.6285532888370822</v>
      </c>
      <c r="G2794">
        <f ca="1"/>
        <v>3.5511270899406746</v>
      </c>
    </row>
    <row r="2795" spans="3:7">
      <c r="C2795">
        <f ca="1"/>
        <v>1.1588810435655259</v>
      </c>
      <c r="D2795">
        <f ca="1"/>
        <v>1.774014511014022</v>
      </c>
      <c r="E2795">
        <f ca="1"/>
        <v>-1.6884257894190775E-3</v>
      </c>
      <c r="G2795">
        <f ca="1"/>
        <v>4.4901356092054883</v>
      </c>
    </row>
    <row r="2796" spans="3:7">
      <c r="C2796">
        <f ca="1"/>
        <v>-0.37583854485711488</v>
      </c>
      <c r="D2796">
        <f ca="1"/>
        <v>0.38357066167353349</v>
      </c>
      <c r="E2796">
        <f ca="1"/>
        <v>0.69306423216457447</v>
      </c>
      <c r="G2796">
        <f ca="1"/>
        <v>0.768719094202857</v>
      </c>
    </row>
    <row r="2797" spans="3:7">
      <c r="C2797">
        <f ca="1"/>
        <v>-0.57399061657764816</v>
      </c>
      <c r="D2797">
        <f ca="1"/>
        <v>-0.13162114262268301</v>
      </c>
      <c r="E2797">
        <f ca="1"/>
        <v>2.160818894779712</v>
      </c>
      <c r="G2797">
        <f ca="1"/>
        <v>5.0159276491415055</v>
      </c>
    </row>
    <row r="2798" spans="3:7">
      <c r="C2798">
        <f ca="1"/>
        <v>0.7690063019496749</v>
      </c>
      <c r="D2798">
        <f ca="1"/>
        <v>0.89669637409879299</v>
      </c>
      <c r="E2798">
        <f ca="1"/>
        <v>0.87840776004986076</v>
      </c>
      <c r="G2798">
        <f ca="1"/>
        <v>2.1670352726760509</v>
      </c>
    </row>
    <row r="2799" spans="3:7">
      <c r="C2799">
        <f ca="1"/>
        <v>0.67691863048906142</v>
      </c>
      <c r="D2799">
        <f ca="1"/>
        <v>0.52391150056022318</v>
      </c>
      <c r="E2799">
        <f ca="1"/>
        <v>-0.9362922042178109</v>
      </c>
      <c r="G2799">
        <f ca="1"/>
        <v>1.6093451844014981</v>
      </c>
    </row>
    <row r="2800" spans="3:7">
      <c r="C2800">
        <f ca="1"/>
        <v>-0.9464572566238868</v>
      </c>
      <c r="D2800">
        <f ca="1"/>
        <v>0.7508990622839733</v>
      </c>
      <c r="E2800">
        <f ca="1"/>
        <v>-0.21811335278521649</v>
      </c>
      <c r="G2800">
        <f ca="1"/>
        <v>1.5072041750181726</v>
      </c>
    </row>
    <row r="2801" spans="3:7">
      <c r="C2801">
        <f ca="1"/>
        <v>0.75586233944093073</v>
      </c>
      <c r="D2801">
        <f ca="1"/>
        <v>-0.43791834933010815</v>
      </c>
      <c r="E2801">
        <f ca="1"/>
        <v>0.97963453722452798</v>
      </c>
      <c r="G2801">
        <f ca="1"/>
        <v>1.7227841833882387</v>
      </c>
    </row>
    <row r="2802" spans="3:7">
      <c r="C2802">
        <f ca="1"/>
        <v>-0.95115793583180452</v>
      </c>
      <c r="D2802">
        <f ca="1"/>
        <v>-0.97770535713123097</v>
      </c>
      <c r="E2802">
        <f ca="1"/>
        <v>1.1823841207144222E-2</v>
      </c>
      <c r="G2802">
        <f ca="1"/>
        <v>1.8607489874798187</v>
      </c>
    </row>
    <row r="2803" spans="3:7">
      <c r="C2803">
        <f ca="1"/>
        <v>-1.5936663310360621</v>
      </c>
      <c r="D2803">
        <f ca="1"/>
        <v>-1.4424380315161811</v>
      </c>
      <c r="E2803">
        <f ca="1"/>
        <v>0.83162985397517186</v>
      </c>
      <c r="G2803">
        <f ca="1"/>
        <v>5.312008063464984</v>
      </c>
    </row>
    <row r="2804" spans="3:7">
      <c r="C2804">
        <f ca="1"/>
        <v>0.20201459605472316</v>
      </c>
      <c r="D2804">
        <f ca="1"/>
        <v>-1.564627826987063</v>
      </c>
      <c r="E2804">
        <f ca="1"/>
        <v>-1.1801522841699323</v>
      </c>
      <c r="G2804">
        <f ca="1"/>
        <v>3.8816295478329206</v>
      </c>
    </row>
    <row r="2805" spans="3:7">
      <c r="C2805">
        <f ca="1"/>
        <v>-0.36953198567482887</v>
      </c>
      <c r="D2805">
        <f ca="1"/>
        <v>-1.2070569911251106</v>
      </c>
      <c r="E2805">
        <f ca="1"/>
        <v>-0.29480671607698511</v>
      </c>
      <c r="G2805">
        <f ca="1"/>
        <v>1.680451468104883</v>
      </c>
    </row>
    <row r="2806" spans="3:7">
      <c r="C2806">
        <f ca="1"/>
        <v>-0.51559180758358447</v>
      </c>
      <c r="D2806">
        <f ca="1"/>
        <v>-2.1504653339679574</v>
      </c>
      <c r="E2806">
        <f ca="1"/>
        <v>-1.6445910401933086</v>
      </c>
      <c r="G2806">
        <f ca="1"/>
        <v>7.5950157541293351</v>
      </c>
    </row>
    <row r="2807" spans="3:7">
      <c r="C2807">
        <f ca="1"/>
        <v>-0.39920041957341745</v>
      </c>
      <c r="D2807">
        <f ca="1"/>
        <v>0.93939683984893962</v>
      </c>
      <c r="E2807">
        <f ca="1"/>
        <v>-0.60978669699142596</v>
      </c>
      <c r="G2807">
        <f ca="1"/>
        <v>1.41366721353348</v>
      </c>
    </row>
    <row r="2808" spans="3:7">
      <c r="C2808">
        <f ca="1"/>
        <v>-1.3269524544702467</v>
      </c>
      <c r="D2808">
        <f ca="1"/>
        <v>-0.28204766966447947</v>
      </c>
      <c r="E2808">
        <f ca="1"/>
        <v>-1.1966226456107087</v>
      </c>
      <c r="G2808">
        <f ca="1"/>
        <v>3.272259460376147</v>
      </c>
    </row>
    <row r="2809" spans="3:7">
      <c r="C2809">
        <f ca="1"/>
        <v>1.4548358261786434</v>
      </c>
      <c r="D2809">
        <f ca="1"/>
        <v>1.2832922793321615</v>
      </c>
      <c r="E2809">
        <f ca="1"/>
        <v>-0.98595780444766956</v>
      </c>
      <c r="G2809">
        <f ca="1"/>
        <v>4.7354991474776993</v>
      </c>
    </row>
    <row r="2810" spans="3:7">
      <c r="C2810">
        <f ca="1"/>
        <v>0.29971775244448978</v>
      </c>
      <c r="D2810">
        <f ca="1"/>
        <v>-0.48768843061599604</v>
      </c>
      <c r="E2810">
        <f ca="1"/>
        <v>0.38484249452202285</v>
      </c>
      <c r="G2810">
        <f ca="1"/>
        <v>0.47577448207700279</v>
      </c>
    </row>
    <row r="2811" spans="3:7">
      <c r="C2811">
        <f ca="1"/>
        <v>0.39169735251120835</v>
      </c>
      <c r="D2811">
        <f ca="1"/>
        <v>-0.17093315793721273</v>
      </c>
      <c r="E2811">
        <f ca="1"/>
        <v>0.92512855202069444</v>
      </c>
      <c r="G2811">
        <f ca="1"/>
        <v>1.0385077982105846</v>
      </c>
    </row>
    <row r="2812" spans="3:7">
      <c r="C2812">
        <f ca="1"/>
        <v>-0.19043215492618593</v>
      </c>
      <c r="D2812">
        <f ca="1"/>
        <v>-1.4165965792727253</v>
      </c>
      <c r="E2812">
        <f ca="1"/>
        <v>-1.2859581747752191</v>
      </c>
      <c r="G2812">
        <f ca="1"/>
        <v>3.6966987013082302</v>
      </c>
    </row>
    <row r="2813" spans="3:7">
      <c r="C2813">
        <f ca="1"/>
        <v>0.68743235769167854</v>
      </c>
      <c r="D2813">
        <f ca="1"/>
        <v>-2.0410852831129578</v>
      </c>
      <c r="E2813">
        <f ca="1"/>
        <v>0.32740877767045029</v>
      </c>
      <c r="G2813">
        <f ca="1"/>
        <v>4.7457888870375013</v>
      </c>
    </row>
    <row r="2814" spans="3:7">
      <c r="C2814">
        <f ca="1"/>
        <v>0.14455280716606606</v>
      </c>
      <c r="D2814">
        <f ca="1"/>
        <v>1.7818437012283905</v>
      </c>
      <c r="E2814">
        <f ca="1"/>
        <v>0.45275703051801547</v>
      </c>
      <c r="G2814">
        <f ca="1"/>
        <v>3.4008514183503711</v>
      </c>
    </row>
    <row r="2815" spans="3:7">
      <c r="C2815">
        <f ca="1"/>
        <v>0.46503451039130406</v>
      </c>
      <c r="D2815">
        <f ca="1"/>
        <v>-1.7124623084570432</v>
      </c>
      <c r="E2815">
        <f ca="1"/>
        <v>1.1176651740944596</v>
      </c>
      <c r="G2815">
        <f ca="1"/>
        <v>4.3979596951245039</v>
      </c>
    </row>
    <row r="2816" spans="3:7">
      <c r="C2816">
        <f ca="1"/>
        <v>0.32029026464665816</v>
      </c>
      <c r="D2816">
        <f ca="1"/>
        <v>-0.54124637883034277</v>
      </c>
      <c r="E2816">
        <f ca="1"/>
        <v>0.72593502835988477</v>
      </c>
      <c r="G2816">
        <f ca="1"/>
        <v>0.92251516162425196</v>
      </c>
    </row>
    <row r="2817" spans="3:7">
      <c r="C2817">
        <f ca="1"/>
        <v>1.3785299076018136</v>
      </c>
      <c r="D2817">
        <f ca="1"/>
        <v>-0.29231551821838886</v>
      </c>
      <c r="E2817">
        <f ca="1"/>
        <v>0.47230621826089919</v>
      </c>
      <c r="G2817">
        <f ca="1"/>
        <v>2.2088662321518622</v>
      </c>
    </row>
    <row r="2818" spans="3:7">
      <c r="C2818">
        <f ca="1"/>
        <v>-0.90291357779866044</v>
      </c>
      <c r="D2818">
        <f ca="1"/>
        <v>0.96096518871267866</v>
      </c>
      <c r="E2818">
        <f ca="1"/>
        <v>-9.4986373185673212E-2</v>
      </c>
      <c r="G2818">
        <f ca="1"/>
        <v>1.7477294339817397</v>
      </c>
    </row>
    <row r="2819" spans="3:7">
      <c r="C2819">
        <f ca="1"/>
        <v>-0.14376945124685253</v>
      </c>
      <c r="D2819">
        <f ca="1"/>
        <v>0.62338490057178642</v>
      </c>
      <c r="E2819">
        <f ca="1"/>
        <v>0.38588342730248709</v>
      </c>
      <c r="G2819">
        <f ca="1"/>
        <v>0.55818440883943099</v>
      </c>
    </row>
    <row r="2820" spans="3:7">
      <c r="C2820">
        <f ca="1"/>
        <v>-3.2062854639578016E-3</v>
      </c>
      <c r="D2820">
        <f ca="1"/>
        <v>1.2429980723306455</v>
      </c>
      <c r="E2820">
        <f ca="1"/>
        <v>-6.5858918768933059E-2</v>
      </c>
      <c r="G2820">
        <f ca="1"/>
        <v>1.5493918852655899</v>
      </c>
    </row>
    <row r="2821" spans="3:7">
      <c r="C2821">
        <f ca="1"/>
        <v>1.0243627511431259</v>
      </c>
      <c r="D2821">
        <f ca="1"/>
        <v>0.16819475335054082</v>
      </c>
      <c r="E2821">
        <f ca="1"/>
        <v>2.148755261818486</v>
      </c>
      <c r="G2821">
        <f ca="1"/>
        <v>5.6947576961767936</v>
      </c>
    </row>
    <row r="2822" spans="3:7">
      <c r="C2822">
        <f ca="1"/>
        <v>0.13875903598012074</v>
      </c>
      <c r="D2822">
        <f ca="1"/>
        <v>1.180855171215238</v>
      </c>
      <c r="E2822">
        <f ca="1"/>
        <v>-2.4776177196827898</v>
      </c>
      <c r="G2822">
        <f ca="1"/>
        <v>7.5522625703380486</v>
      </c>
    </row>
    <row r="2823" spans="3:7">
      <c r="C2823">
        <f ca="1"/>
        <v>1.524229789707829</v>
      </c>
      <c r="D2823">
        <f ca="1"/>
        <v>-0.56706248052327557</v>
      </c>
      <c r="E2823">
        <f ca="1"/>
        <v>-9.6882830204863518E-2</v>
      </c>
      <c r="G2823">
        <f ca="1"/>
        <v>2.6542225914384869</v>
      </c>
    </row>
    <row r="2824" spans="3:7">
      <c r="C2824">
        <f ca="1"/>
        <v>-0.5700200140918984</v>
      </c>
      <c r="D2824">
        <f ca="1"/>
        <v>0.10773918536140083</v>
      </c>
      <c r="E2824">
        <f ca="1"/>
        <v>-9.7067624419010234E-2</v>
      </c>
      <c r="G2824">
        <f ca="1"/>
        <v>0.34595267223801635</v>
      </c>
    </row>
    <row r="2825" spans="3:7">
      <c r="C2825">
        <f ca="1"/>
        <v>-1.2956574717894225</v>
      </c>
      <c r="D2825">
        <f ca="1"/>
        <v>-1.3851220806495061</v>
      </c>
      <c r="E2825">
        <f ca="1"/>
        <v>0.55871061643409281</v>
      </c>
      <c r="G2825">
        <f ca="1"/>
        <v>3.909449015422739</v>
      </c>
    </row>
    <row r="2826" spans="3:7">
      <c r="C2826">
        <f ca="1"/>
        <v>0.26439183072692113</v>
      </c>
      <c r="D2826">
        <f ca="1"/>
        <v>1.1857781109411833</v>
      </c>
      <c r="E2826">
        <f ca="1"/>
        <v>0.64312873566646855</v>
      </c>
      <c r="G2826">
        <f ca="1"/>
        <v>1.8895873391823246</v>
      </c>
    </row>
    <row r="2827" spans="3:7">
      <c r="C2827">
        <f ca="1"/>
        <v>0.7848454537199564</v>
      </c>
      <c r="D2827">
        <f ca="1"/>
        <v>-0.78834860631212234</v>
      </c>
      <c r="E2827">
        <f ca="1"/>
        <v>0.82068979093340144</v>
      </c>
      <c r="G2827">
        <f ca="1"/>
        <v>1.9110076442414599</v>
      </c>
    </row>
    <row r="2828" spans="3:7">
      <c r="C2828">
        <f ca="1"/>
        <v>0.21565540512294537</v>
      </c>
      <c r="D2828">
        <f ca="1"/>
        <v>-0.99003172946689166</v>
      </c>
      <c r="E2828">
        <f ca="1"/>
        <v>-0.80640025523985881</v>
      </c>
      <c r="G2828">
        <f ca="1"/>
        <v>1.6769514507608558</v>
      </c>
    </row>
    <row r="2829" spans="3:7">
      <c r="C2829">
        <f ca="1"/>
        <v>6.0735804001978616E-2</v>
      </c>
      <c r="D2829">
        <f ca="1"/>
        <v>0.90634999918591241</v>
      </c>
      <c r="E2829">
        <f ca="1"/>
        <v>-0.50381021761484635</v>
      </c>
      <c r="G2829">
        <f ca="1"/>
        <v>1.078983894285189</v>
      </c>
    </row>
    <row r="2830" spans="3:7">
      <c r="C2830">
        <f ca="1"/>
        <v>0.27538208532602448</v>
      </c>
      <c r="D2830">
        <f ca="1"/>
        <v>-0.40882341414093792</v>
      </c>
      <c r="E2830">
        <f ca="1"/>
        <v>0.52543814762875818</v>
      </c>
      <c r="G2830">
        <f ca="1"/>
        <v>0.51905712385190339</v>
      </c>
    </row>
    <row r="2831" spans="3:7">
      <c r="C2831">
        <f ca="1"/>
        <v>-0.79829704576630911</v>
      </c>
      <c r="D2831">
        <f ca="1"/>
        <v>0.33880775032301413</v>
      </c>
      <c r="E2831">
        <f ca="1"/>
        <v>-1.0039558052565078</v>
      </c>
      <c r="G2831">
        <f ca="1"/>
        <v>1.7599961238664017</v>
      </c>
    </row>
    <row r="2832" spans="3:7">
      <c r="C2832">
        <f ca="1"/>
        <v>0.47034884385114972</v>
      </c>
      <c r="D2832">
        <f ca="1"/>
        <v>2.1388987235721055</v>
      </c>
      <c r="E2832">
        <f ca="1"/>
        <v>0.37511790443598697</v>
      </c>
      <c r="G2832">
        <f ca="1"/>
        <v>4.9368292268389418</v>
      </c>
    </row>
    <row r="2833" spans="3:7">
      <c r="C2833">
        <f ca="1"/>
        <v>1.3520767390817399</v>
      </c>
      <c r="D2833">
        <f ca="1"/>
        <v>1.7805244875152961</v>
      </c>
      <c r="E2833">
        <f ca="1"/>
        <v>-0.55099418194678085</v>
      </c>
      <c r="G2833">
        <f ca="1"/>
        <v>5.301973547546722</v>
      </c>
    </row>
    <row r="2834" spans="3:7">
      <c r="C2834">
        <f ca="1"/>
        <v>-1.2973670837365374</v>
      </c>
      <c r="D2834">
        <f ca="1"/>
        <v>-0.69796818567246255</v>
      </c>
      <c r="E2834">
        <f ca="1"/>
        <v>-0.30705060610175805</v>
      </c>
      <c r="G2834">
        <f ca="1"/>
        <v>2.264601012881414</v>
      </c>
    </row>
    <row r="2835" spans="3:7">
      <c r="C2835">
        <f ca="1"/>
        <v>1.3483728891274944</v>
      </c>
      <c r="D2835">
        <f ca="1"/>
        <v>1.0510414821388527</v>
      </c>
      <c r="E2835">
        <f ca="1"/>
        <v>-1.3075104908466118</v>
      </c>
      <c r="G2835">
        <f ca="1"/>
        <v>4.6323813289846107</v>
      </c>
    </row>
    <row r="2836" spans="3:7">
      <c r="C2836">
        <f ca="1"/>
        <v>0.78782275464573182</v>
      </c>
      <c r="D2836">
        <f ca="1"/>
        <v>0.62687313445090476</v>
      </c>
      <c r="E2836">
        <f ca="1"/>
        <v>-0.68336185660718185</v>
      </c>
      <c r="G2836">
        <f ca="1"/>
        <v>1.4806180464995056</v>
      </c>
    </row>
    <row r="2837" spans="3:7">
      <c r="C2837">
        <f ca="1"/>
        <v>1.4205152607057179</v>
      </c>
      <c r="D2837">
        <f ca="1"/>
        <v>-0.37971568894263119</v>
      </c>
      <c r="E2837">
        <f ca="1"/>
        <v>0.85719853437337068</v>
      </c>
      <c r="G2837">
        <f ca="1"/>
        <v>2.8968369376588652</v>
      </c>
    </row>
    <row r="2838" spans="3:7">
      <c r="C2838">
        <f ca="1"/>
        <v>-0.9440816953538701</v>
      </c>
      <c r="D2838">
        <f ca="1"/>
        <v>0.5554791604165541</v>
      </c>
      <c r="E2838">
        <f ca="1"/>
        <v>-1.6237025216215721</v>
      </c>
      <c r="G2838">
        <f ca="1"/>
        <v>3.8362572238795698</v>
      </c>
    </row>
    <row r="2839" spans="3:7">
      <c r="C2839">
        <f ca="1"/>
        <v>2.4011620649442467</v>
      </c>
      <c r="D2839">
        <f ca="1"/>
        <v>3.3622169536535206E-2</v>
      </c>
      <c r="E2839">
        <f ca="1"/>
        <v>0.24286593378177362</v>
      </c>
      <c r="G2839">
        <f ca="1"/>
        <v>5.8256935742033553</v>
      </c>
    </row>
    <row r="2840" spans="3:7">
      <c r="C2840">
        <f ca="1"/>
        <v>-0.63206626951559497</v>
      </c>
      <c r="D2840">
        <f ca="1"/>
        <v>0.69703240534189748</v>
      </c>
      <c r="E2840">
        <f ca="1"/>
        <v>0.23471244379653292</v>
      </c>
      <c r="G2840">
        <f ca="1"/>
        <v>0.94045187442901257</v>
      </c>
    </row>
    <row r="2841" spans="3:7">
      <c r="C2841">
        <f ca="1"/>
        <v>2.0740381021081573</v>
      </c>
      <c r="D2841">
        <f ca="1"/>
        <v>-1.1998620188703748</v>
      </c>
      <c r="E2841">
        <f ca="1"/>
        <v>0.90909206232412409</v>
      </c>
      <c r="G2841">
        <f ca="1"/>
        <v>6.5677512911048277</v>
      </c>
    </row>
    <row r="2842" spans="3:7">
      <c r="C2842">
        <f ca="1"/>
        <v>9.7305253857286625E-2</v>
      </c>
      <c r="D2842">
        <f ca="1"/>
        <v>-1.2851938127205365</v>
      </c>
      <c r="E2842">
        <f ca="1"/>
        <v>1.4895061132837535</v>
      </c>
      <c r="G2842">
        <f ca="1"/>
        <v>3.8798199101930546</v>
      </c>
    </row>
    <row r="2843" spans="3:7">
      <c r="C2843">
        <f ca="1"/>
        <v>0.17273872812648086</v>
      </c>
      <c r="D2843">
        <f ca="1"/>
        <v>0.37294088948362375</v>
      </c>
      <c r="E2843">
        <f ca="1"/>
        <v>-0.20980125058194518</v>
      </c>
      <c r="G2843">
        <f ca="1"/>
        <v>0.21294013998933892</v>
      </c>
    </row>
    <row r="2844" spans="3:7">
      <c r="C2844">
        <f ca="1"/>
        <v>-0.10741507059993399</v>
      </c>
      <c r="D2844">
        <f ca="1"/>
        <v>0.93692735371606095</v>
      </c>
      <c r="E2844">
        <f ca="1"/>
        <v>1.8710816506905845</v>
      </c>
      <c r="G2844">
        <f ca="1"/>
        <v>4.390317407084372</v>
      </c>
    </row>
    <row r="2845" spans="3:7">
      <c r="C2845">
        <f ca="1"/>
        <v>0.84898418290246658</v>
      </c>
      <c r="D2845">
        <f ca="1"/>
        <v>0.16014459085608615</v>
      </c>
      <c r="E2845">
        <f ca="1"/>
        <v>1.313425936406436</v>
      </c>
      <c r="G2845">
        <f ca="1"/>
        <v>2.4715081232241554</v>
      </c>
    </row>
    <row r="2846" spans="3:7">
      <c r="C2846">
        <f ca="1"/>
        <v>0.40393211266287443</v>
      </c>
      <c r="D2846">
        <f ca="1"/>
        <v>-0.45205543663781383</v>
      </c>
      <c r="E2846">
        <f ca="1"/>
        <v>0.12473255969368977</v>
      </c>
      <c r="G2846">
        <f ca="1"/>
        <v>0.38307348088183751</v>
      </c>
    </row>
    <row r="2847" spans="3:7">
      <c r="C2847">
        <f ca="1"/>
        <v>1.6239532660565688</v>
      </c>
      <c r="D2847">
        <f ca="1"/>
        <v>-1.6636155090457767</v>
      </c>
      <c r="E2847">
        <f ca="1"/>
        <v>-0.36325735346814658</v>
      </c>
      <c r="G2847">
        <f ca="1"/>
        <v>5.5367966771221173</v>
      </c>
    </row>
    <row r="2848" spans="3:7">
      <c r="C2848">
        <f ca="1"/>
        <v>-8.6164268128088778E-2</v>
      </c>
      <c r="D2848">
        <f ca="1"/>
        <v>-0.30167440811911711</v>
      </c>
      <c r="E2848">
        <f ca="1"/>
        <v>-2.3368798904462884</v>
      </c>
      <c r="G2848">
        <f ca="1"/>
        <v>5.5594393519883258</v>
      </c>
    </row>
    <row r="2849" spans="3:7">
      <c r="C2849">
        <f ca="1"/>
        <v>-1.4136089345669132</v>
      </c>
      <c r="D2849">
        <f ca="1"/>
        <v>0.76603041064117616</v>
      </c>
      <c r="E2849">
        <f ca="1"/>
        <v>-1.0142625611291978E-2</v>
      </c>
      <c r="G2849">
        <f ca="1"/>
        <v>2.585195682768783</v>
      </c>
    </row>
    <row r="2850" spans="3:7">
      <c r="C2850">
        <f ca="1"/>
        <v>1.2096441040147758</v>
      </c>
      <c r="D2850">
        <f ca="1"/>
        <v>0.20677032694437869</v>
      </c>
      <c r="E2850">
        <f ca="1"/>
        <v>-2.0244295861450379</v>
      </c>
      <c r="G2850">
        <f ca="1"/>
        <v>5.6043079757417651</v>
      </c>
    </row>
    <row r="2851" spans="3:7">
      <c r="C2851">
        <f ca="1"/>
        <v>-0.80479627039635593</v>
      </c>
      <c r="D2851">
        <f ca="1"/>
        <v>-0.24414279729561456</v>
      </c>
      <c r="E2851">
        <f ca="1"/>
        <v>0.92691892819646426</v>
      </c>
      <c r="G2851">
        <f ca="1"/>
        <v>1.566481441764094</v>
      </c>
    </row>
    <row r="2852" spans="3:7">
      <c r="C2852">
        <f ca="1"/>
        <v>-0.78637323884084909</v>
      </c>
      <c r="D2852">
        <f ca="1"/>
        <v>-1.1931814328405064</v>
      </c>
      <c r="E2852">
        <f ca="1"/>
        <v>-0.10227806475662635</v>
      </c>
      <c r="G2852">
        <f ca="1"/>
        <v>2.0525256049707314</v>
      </c>
    </row>
    <row r="2853" spans="3:7">
      <c r="C2853">
        <f ca="1"/>
        <v>0.78145699646898759</v>
      </c>
      <c r="D2853">
        <f ca="1"/>
        <v>-0.39322879732610472</v>
      </c>
      <c r="E2853">
        <f ca="1"/>
        <v>2.0402267377899586</v>
      </c>
      <c r="G2853">
        <f ca="1"/>
        <v>4.927829065969922</v>
      </c>
    </row>
    <row r="2854" spans="3:7">
      <c r="C2854">
        <f ca="1"/>
        <v>0.65742574384060304</v>
      </c>
      <c r="D2854">
        <f ca="1"/>
        <v>-1.1363662903909799</v>
      </c>
      <c r="E2854">
        <f ca="1"/>
        <v>-0.70738530582913972</v>
      </c>
      <c r="G2854">
        <f ca="1"/>
        <v>2.2239309255043125</v>
      </c>
    </row>
    <row r="2855" spans="3:7">
      <c r="C2855">
        <f ca="1"/>
        <v>1.6436386375546157</v>
      </c>
      <c r="D2855">
        <f ca="1"/>
        <v>0.72563968446862737</v>
      </c>
      <c r="E2855">
        <f ca="1"/>
        <v>0.61015195072442219</v>
      </c>
      <c r="G2855">
        <f ca="1"/>
        <v>3.6003863255109398</v>
      </c>
    </row>
    <row r="2856" spans="3:7">
      <c r="C2856">
        <f ca="1"/>
        <v>8.1820257623508905E-2</v>
      </c>
      <c r="D2856">
        <f ca="1"/>
        <v>0.27960305630928589</v>
      </c>
      <c r="E2856">
        <f ca="1"/>
        <v>1.4419459280170066</v>
      </c>
      <c r="G2856">
        <f ca="1"/>
        <v>2.1640804829798972</v>
      </c>
    </row>
    <row r="2857" spans="3:7">
      <c r="C2857">
        <f ca="1"/>
        <v>-0.88452150631209814</v>
      </c>
      <c r="D2857">
        <f ca="1"/>
        <v>-1.1847188861917142</v>
      </c>
      <c r="E2857">
        <f ca="1"/>
        <v>2.2557983791171726E-2</v>
      </c>
      <c r="G2857">
        <f ca="1"/>
        <v>2.186445997060682</v>
      </c>
    </row>
    <row r="2858" spans="3:7">
      <c r="C2858">
        <f ca="1"/>
        <v>0.70644977974780609</v>
      </c>
      <c r="D2858">
        <f ca="1"/>
        <v>1.7330876513990559</v>
      </c>
      <c r="E2858">
        <f ca="1"/>
        <v>-1.0736790281248467</v>
      </c>
      <c r="G2858">
        <f ca="1"/>
        <v>4.655450754172735</v>
      </c>
    </row>
    <row r="2859" spans="3:7">
      <c r="C2859">
        <f ca="1"/>
        <v>-0.57196665436705296</v>
      </c>
      <c r="D2859">
        <f ca="1"/>
        <v>-0.38596899585864647</v>
      </c>
      <c r="E2859">
        <f ca="1"/>
        <v>-0.251083295256605</v>
      </c>
      <c r="G2859">
        <f ca="1"/>
        <v>0.53916074062888719</v>
      </c>
    </row>
    <row r="2860" spans="3:7">
      <c r="C2860">
        <f ca="1"/>
        <v>0.6099307168044158</v>
      </c>
      <c r="D2860">
        <f ca="1"/>
        <v>1.2451301368130323</v>
      </c>
      <c r="E2860">
        <f ca="1"/>
        <v>-0.21483818109520447</v>
      </c>
      <c r="G2860">
        <f ca="1"/>
        <v>1.9685199809578848</v>
      </c>
    </row>
    <row r="2861" spans="3:7">
      <c r="C2861">
        <f ca="1"/>
        <v>0.73864581202477853</v>
      </c>
      <c r="D2861">
        <f ca="1"/>
        <v>1.3821761949846936</v>
      </c>
      <c r="E2861">
        <f ca="1"/>
        <v>0.64959947309060095</v>
      </c>
      <c r="G2861">
        <f ca="1"/>
        <v>2.8779881450436964</v>
      </c>
    </row>
    <row r="2862" spans="3:7">
      <c r="C2862">
        <f ca="1"/>
        <v>1.3869577612316191</v>
      </c>
      <c r="D2862">
        <f ca="1"/>
        <v>0.94293616584718432</v>
      </c>
      <c r="E2862">
        <f ca="1"/>
        <v>0.31671275697517676</v>
      </c>
      <c r="G2862">
        <f ca="1"/>
        <v>2.9130874147340307</v>
      </c>
    </row>
    <row r="2863" spans="3:7">
      <c r="C2863">
        <f ca="1"/>
        <v>-1.3479526096859711</v>
      </c>
      <c r="D2863">
        <f ca="1"/>
        <v>-0.55936806913453774</v>
      </c>
      <c r="E2863">
        <f ca="1"/>
        <v>-6.9275859455636621E-3</v>
      </c>
      <c r="G2863">
        <f ca="1"/>
        <v>2.1299168661735539</v>
      </c>
    </row>
    <row r="2864" spans="3:7">
      <c r="C2864">
        <f ca="1"/>
        <v>1.020711675723734</v>
      </c>
      <c r="D2864">
        <f ca="1"/>
        <v>-0.19382702171544883</v>
      </c>
      <c r="E2864">
        <f ca="1"/>
        <v>9.4254871368924034E-2</v>
      </c>
      <c r="G2864">
        <f ca="1"/>
        <v>1.0883052200826064</v>
      </c>
    </row>
    <row r="2865" spans="3:7">
      <c r="C2865">
        <f ca="1"/>
        <v>-0.79235161825027611</v>
      </c>
      <c r="D2865">
        <f ca="1"/>
        <v>-1.5145181601218793</v>
      </c>
      <c r="E2865">
        <f ca="1"/>
        <v>0.91086842085616282</v>
      </c>
      <c r="G2865">
        <f ca="1"/>
        <v>3.7512676243957936</v>
      </c>
    </row>
    <row r="2866" spans="3:7">
      <c r="C2866">
        <f ca="1"/>
        <v>-4.0989642334635638E-4</v>
      </c>
      <c r="D2866">
        <f ca="1"/>
        <v>-0.17118869904832443</v>
      </c>
      <c r="E2866">
        <f ca="1"/>
        <v>0.78622604747054281</v>
      </c>
      <c r="G2866">
        <f ca="1"/>
        <v>0.64745713641808789</v>
      </c>
    </row>
    <row r="2867" spans="3:7">
      <c r="C2867">
        <f ca="1"/>
        <v>-2.2425588111176396</v>
      </c>
      <c r="D2867">
        <f ca="1"/>
        <v>-0.73374804506494207</v>
      </c>
      <c r="E2867">
        <f ca="1"/>
        <v>-0.37213401828890741</v>
      </c>
      <c r="G2867">
        <f ca="1"/>
        <v>5.7059399425258333</v>
      </c>
    </row>
    <row r="2868" spans="3:7">
      <c r="C2868">
        <f ca="1"/>
        <v>0.66354993519208527</v>
      </c>
      <c r="D2868">
        <f ca="1"/>
        <v>-1.1836398199593545</v>
      </c>
      <c r="E2868">
        <f ca="1"/>
        <v>-0.76305112765201</v>
      </c>
      <c r="G2868">
        <f ca="1"/>
        <v>2.4235487632978376</v>
      </c>
    </row>
    <row r="2869" spans="3:7">
      <c r="C2869">
        <f ca="1"/>
        <v>1.1987774474028257</v>
      </c>
      <c r="D2869">
        <f ca="1"/>
        <v>1.1021437666742901</v>
      </c>
      <c r="E2869">
        <f ca="1"/>
        <v>-1.8112257249988708</v>
      </c>
      <c r="G2869">
        <f ca="1"/>
        <v>5.932326877718312</v>
      </c>
    </row>
    <row r="2870" spans="3:7">
      <c r="C2870">
        <f ca="1"/>
        <v>1.4055575142429213</v>
      </c>
      <c r="D2870">
        <f ca="1"/>
        <v>-0.80888292257715855</v>
      </c>
      <c r="E2870">
        <f ca="1"/>
        <v>0.38387000094112406</v>
      </c>
      <c r="G2870">
        <f ca="1"/>
        <v>2.7772396859042439</v>
      </c>
    </row>
    <row r="2871" spans="3:7">
      <c r="C2871">
        <f ca="1"/>
        <v>0.12153158464580174</v>
      </c>
      <c r="D2871">
        <f ca="1"/>
        <v>1.1125336088082494</v>
      </c>
      <c r="E2871">
        <f ca="1"/>
        <v>-1.1169534488159438</v>
      </c>
      <c r="G2871">
        <f ca="1"/>
        <v>2.5000859636162578</v>
      </c>
    </row>
    <row r="2872" spans="3:7">
      <c r="C2872">
        <f ca="1"/>
        <v>0.53624273526262056</v>
      </c>
      <c r="D2872">
        <f ca="1"/>
        <v>0.80299146530086629</v>
      </c>
      <c r="E2872">
        <f ca="1"/>
        <v>1.3727643165063041</v>
      </c>
      <c r="G2872">
        <f ca="1"/>
        <v>2.8168334331409897</v>
      </c>
    </row>
    <row r="2873" spans="3:7">
      <c r="C2873">
        <f ca="1"/>
        <v>2.3134976428565226</v>
      </c>
      <c r="D2873">
        <f ca="1"/>
        <v>0.18021846433878796</v>
      </c>
      <c r="E2873">
        <f ca="1"/>
        <v>-1.5320605490153654</v>
      </c>
      <c r="G2873">
        <f ca="1"/>
        <v>7.7319595642405794</v>
      </c>
    </row>
    <row r="2874" spans="3:7">
      <c r="C2874">
        <f ca="1"/>
        <v>-0.80136178779216272</v>
      </c>
      <c r="D2874">
        <f ca="1"/>
        <v>0.42333425748669418</v>
      </c>
      <c r="E2874">
        <f ca="1"/>
        <v>-0.32818677934043478</v>
      </c>
      <c r="G2874">
        <f ca="1"/>
        <v>0.92909917062910907</v>
      </c>
    </row>
    <row r="2875" spans="3:7">
      <c r="C2875">
        <f ca="1"/>
        <v>-0.28994461814167699</v>
      </c>
      <c r="D2875">
        <f ca="1"/>
        <v>-9.9130017570168358E-2</v>
      </c>
      <c r="E2875">
        <f ca="1"/>
        <v>2.2464759551651694</v>
      </c>
      <c r="G2875">
        <f ca="1"/>
        <v>5.140548859108045</v>
      </c>
    </row>
    <row r="2876" spans="3:7">
      <c r="C2876">
        <f ca="1"/>
        <v>-2.0806694058459203</v>
      </c>
      <c r="D2876">
        <f ca="1"/>
        <v>0.86147611838247129</v>
      </c>
      <c r="E2876">
        <f ca="1"/>
        <v>-9.187267214184365E-2</v>
      </c>
      <c r="G2876">
        <f ca="1"/>
        <v>5.0797668668530278</v>
      </c>
    </row>
    <row r="2877" spans="3:7">
      <c r="C2877">
        <f ca="1"/>
        <v>0.48811148261864745</v>
      </c>
      <c r="D2877">
        <f ca="1"/>
        <v>-0.6463234260447579</v>
      </c>
      <c r="E2877">
        <f ca="1"/>
        <v>3.6221328750325119</v>
      </c>
      <c r="G2877">
        <f ca="1"/>
        <v>13.775833354909699</v>
      </c>
    </row>
    <row r="2878" spans="3:7">
      <c r="C2878">
        <f ca="1"/>
        <v>-0.99638330846049528</v>
      </c>
      <c r="D2878">
        <f ca="1"/>
        <v>0.84860498180493193</v>
      </c>
      <c r="E2878">
        <f ca="1"/>
        <v>-0.97123715347186723</v>
      </c>
      <c r="G2878">
        <f ca="1"/>
        <v>2.6562117208069669</v>
      </c>
    </row>
    <row r="2879" spans="3:7">
      <c r="C2879">
        <f ca="1"/>
        <v>0.98100828375875704</v>
      </c>
      <c r="D2879">
        <f ca="1"/>
        <v>8.1395158625192005E-2</v>
      </c>
      <c r="E2879">
        <f ca="1"/>
        <v>7.9549513057933272E-2</v>
      </c>
      <c r="G2879">
        <f ca="1"/>
        <v>0.97533054967867638</v>
      </c>
    </row>
    <row r="2880" spans="3:7">
      <c r="C2880">
        <f ca="1"/>
        <v>0.14744006017988265</v>
      </c>
      <c r="D2880">
        <f ca="1"/>
        <v>-0.70958068648434514</v>
      </c>
      <c r="E2880">
        <f ca="1"/>
        <v>1.7200228562343969</v>
      </c>
      <c r="G2880">
        <f ca="1"/>
        <v>3.483721947946175</v>
      </c>
    </row>
    <row r="2881" spans="3:7">
      <c r="C2881">
        <f ca="1"/>
        <v>0.60750963784111922</v>
      </c>
      <c r="D2881">
        <f ca="1"/>
        <v>0.34801442621710466</v>
      </c>
      <c r="E2881">
        <f ca="1"/>
        <v>0.70132783185380665</v>
      </c>
      <c r="G2881">
        <f ca="1"/>
        <v>0.98204272865782971</v>
      </c>
    </row>
    <row r="2882" spans="3:7">
      <c r="C2882">
        <f ca="1"/>
        <v>0.70651825592917361</v>
      </c>
      <c r="D2882">
        <f ca="1"/>
        <v>1.042530994933583</v>
      </c>
      <c r="E2882">
        <f ca="1"/>
        <v>-0.40901851364397745</v>
      </c>
      <c r="G2882">
        <f ca="1"/>
        <v>1.7533350658619362</v>
      </c>
    </row>
    <row r="2883" spans="3:7">
      <c r="C2883">
        <f ca="1"/>
        <v>0.26300883665228725</v>
      </c>
      <c r="D2883">
        <f ca="1"/>
        <v>-1.1858012123779058</v>
      </c>
      <c r="E2883">
        <f ca="1"/>
        <v>0.60395651223205959</v>
      </c>
      <c r="G2883">
        <f ca="1"/>
        <v>1.840061632101615</v>
      </c>
    </row>
    <row r="2884" spans="3:7">
      <c r="C2884">
        <f ca="1"/>
        <v>1.3234289156164842</v>
      </c>
      <c r="D2884">
        <f ca="1"/>
        <v>0.96506140611865221</v>
      </c>
      <c r="E2884">
        <f ca="1"/>
        <v>-1.6681661314543614</v>
      </c>
      <c r="G2884">
        <f ca="1"/>
        <v>5.4655858544009437</v>
      </c>
    </row>
    <row r="2885" spans="3:7">
      <c r="C2885">
        <f ca="1"/>
        <v>-0.7481988498938289</v>
      </c>
      <c r="D2885">
        <f ca="1"/>
        <v>-1.990304414359432</v>
      </c>
      <c r="E2885">
        <f ca="1"/>
        <v>-1.6376710032258213</v>
      </c>
      <c r="G2885">
        <f ca="1"/>
        <v>7.2030794956077573</v>
      </c>
    </row>
    <row r="2886" spans="3:7">
      <c r="C2886">
        <f ca="1"/>
        <v>0.66348422440071608</v>
      </c>
      <c r="D2886">
        <f ca="1"/>
        <v>0.12139099380368876</v>
      </c>
      <c r="E2886">
        <f ca="1"/>
        <v>-0.40935650249849165</v>
      </c>
      <c r="G2886">
        <f ca="1"/>
        <v>0.62251983554306456</v>
      </c>
    </row>
    <row r="2887" spans="3:7">
      <c r="C2887">
        <f ca="1"/>
        <v>-0.66779274461276461</v>
      </c>
      <c r="D2887">
        <f ca="1"/>
        <v>6.8133481259379375E-2</v>
      </c>
      <c r="E2887">
        <f ca="1"/>
        <v>0.50336681418166118</v>
      </c>
      <c r="G2887">
        <f ca="1"/>
        <v>0.70396747064536624</v>
      </c>
    </row>
    <row r="2888" spans="3:7">
      <c r="C2888">
        <f ca="1"/>
        <v>-1.1181004350411563</v>
      </c>
      <c r="D2888">
        <f ca="1"/>
        <v>1.7096740074463845</v>
      </c>
      <c r="E2888">
        <f ca="1"/>
        <v>0.1007683210307819</v>
      </c>
      <c r="G2888">
        <f ca="1"/>
        <v>4.1832880491003657</v>
      </c>
    </row>
    <row r="2889" spans="3:7">
      <c r="C2889">
        <f ca="1"/>
        <v>0.50664646237082023</v>
      </c>
      <c r="D2889">
        <f ca="1"/>
        <v>-0.38607979343101639</v>
      </c>
      <c r="E2889">
        <f ca="1"/>
        <v>-0.53805809209745359</v>
      </c>
      <c r="G2889">
        <f ca="1"/>
        <v>0.69525475520015512</v>
      </c>
    </row>
    <row r="2890" spans="3:7">
      <c r="C2890">
        <f ca="1"/>
        <v>-0.84690963812076836</v>
      </c>
      <c r="D2890">
        <f ca="1"/>
        <v>-1.6075992444787028</v>
      </c>
      <c r="E2890">
        <f ca="1"/>
        <v>0.28579645549352967</v>
      </c>
      <c r="G2890">
        <f ca="1"/>
        <v>3.3833108799630121</v>
      </c>
    </row>
    <row r="2891" spans="3:7">
      <c r="C2891">
        <f ca="1"/>
        <v>-0.39261847117852527</v>
      </c>
      <c r="D2891">
        <f ca="1"/>
        <v>0.66589229490829394</v>
      </c>
      <c r="E2891">
        <f ca="1"/>
        <v>-1.2127387967883652</v>
      </c>
      <c r="G2891">
        <f ca="1"/>
        <v>2.0682972015644885</v>
      </c>
    </row>
    <row r="2892" spans="3:7">
      <c r="C2892">
        <f ca="1"/>
        <v>0.96385974520966755</v>
      </c>
      <c r="D2892">
        <f ca="1"/>
        <v>-0.87559091097147201</v>
      </c>
      <c r="E2892">
        <f ca="1"/>
        <v>0.34132994322097043</v>
      </c>
      <c r="G2892">
        <f ca="1"/>
        <v>1.8121911819507284</v>
      </c>
    </row>
    <row r="2893" spans="3:7">
      <c r="C2893">
        <f ca="1"/>
        <v>8.0620787661972421E-2</v>
      </c>
      <c r="D2893">
        <f ca="1"/>
        <v>-0.59215535720856793</v>
      </c>
      <c r="E2893">
        <f ca="1"/>
        <v>-6.9738011999203403E-2</v>
      </c>
      <c r="G2893">
        <f ca="1"/>
        <v>0.36201106879164457</v>
      </c>
    </row>
    <row r="2894" spans="3:7">
      <c r="C2894">
        <f ca="1"/>
        <v>1.3958922710726549</v>
      </c>
      <c r="D2894">
        <f ca="1"/>
        <v>0.5101547366221405</v>
      </c>
      <c r="E2894">
        <f ca="1"/>
        <v>-1.1563522842623015</v>
      </c>
      <c r="G2894">
        <f ca="1"/>
        <v>3.5459236930570226</v>
      </c>
    </row>
    <row r="2895" spans="3:7">
      <c r="C2895">
        <f ca="1"/>
        <v>-2.5539802124308544</v>
      </c>
      <c r="D2895">
        <f ca="1"/>
        <v>-1.0557593887857155</v>
      </c>
      <c r="E2895">
        <f ca="1"/>
        <v>-5.8089761660308978E-3</v>
      </c>
      <c r="G2895">
        <f ca="1"/>
        <v>7.6374765567016372</v>
      </c>
    </row>
    <row r="2896" spans="3:7">
      <c r="C2896">
        <f ca="1"/>
        <v>-1.051218072521203</v>
      </c>
      <c r="D2896">
        <f ca="1"/>
        <v>-0.50023648184673353</v>
      </c>
      <c r="E2896">
        <f ca="1"/>
        <v>-0.48726824252341472</v>
      </c>
      <c r="G2896">
        <f ca="1"/>
        <v>1.5927263139374481</v>
      </c>
    </row>
    <row r="2897" spans="3:7">
      <c r="C2897">
        <f ca="1"/>
        <v>-1.0564730451368716</v>
      </c>
      <c r="D2897">
        <f ca="1"/>
        <v>-1.5674671748525706</v>
      </c>
      <c r="E2897">
        <f ca="1"/>
        <v>-9.3317754530541155E-2</v>
      </c>
      <c r="G2897">
        <f ca="1"/>
        <v>3.5817968426516962</v>
      </c>
    </row>
    <row r="2898" spans="3:7">
      <c r="C2898">
        <f ca="1"/>
        <v>1.3182421694166166</v>
      </c>
      <c r="D2898">
        <f ca="1"/>
        <v>-0.27721079462160697</v>
      </c>
      <c r="E2898">
        <f ca="1"/>
        <v>-1.2981349670777973</v>
      </c>
      <c r="G2898">
        <f ca="1"/>
        <v>3.4997626346330444</v>
      </c>
    </row>
    <row r="2899" spans="3:7">
      <c r="C2899">
        <f ca="1"/>
        <v>-0.77905726514122631</v>
      </c>
      <c r="D2899">
        <f ca="1"/>
        <v>-0.72117008472469746</v>
      </c>
      <c r="E2899">
        <f ca="1"/>
        <v>-0.55585740755432278</v>
      </c>
      <c r="G2899">
        <f ca="1"/>
        <v>1.4359939710041667</v>
      </c>
    </row>
    <row r="2900" spans="3:7">
      <c r="C2900">
        <f ca="1"/>
        <v>0.47310065182915662</v>
      </c>
      <c r="D2900">
        <f ca="1"/>
        <v>0.80507704073587272</v>
      </c>
      <c r="E2900">
        <f ca="1"/>
        <v>1.5068232561952875</v>
      </c>
      <c r="G2900">
        <f ca="1"/>
        <v>3.1424895936921722</v>
      </c>
    </row>
    <row r="2901" spans="3:7">
      <c r="C2901">
        <f ca="1"/>
        <v>1.573752734768268</v>
      </c>
      <c r="D2901">
        <f ca="1"/>
        <v>-0.20031812863642992</v>
      </c>
      <c r="E2901">
        <f ca="1"/>
        <v>-5.3911713146932112E-2</v>
      </c>
      <c r="G2901">
        <f ca="1"/>
        <v>2.5197314956654413</v>
      </c>
    </row>
    <row r="2902" spans="3:7">
      <c r="C2902">
        <f ca="1"/>
        <v>-0.16202003637920753</v>
      </c>
      <c r="D2902">
        <f ca="1"/>
        <v>1.4189224535955409</v>
      </c>
      <c r="E2902">
        <f ca="1"/>
        <v>1.7961696412013841</v>
      </c>
      <c r="G2902">
        <f ca="1"/>
        <v>5.2658168014794189</v>
      </c>
    </row>
    <row r="2903" spans="3:7">
      <c r="C2903">
        <f ca="1"/>
        <v>-0.14877629298862022</v>
      </c>
      <c r="D2903">
        <f ca="1"/>
        <v>0.8400254798344633</v>
      </c>
      <c r="E2903">
        <f ca="1"/>
        <v>6.7648056418184652E-2</v>
      </c>
      <c r="G2903">
        <f ca="1"/>
        <v>0.73235345166371402</v>
      </c>
    </row>
    <row r="2904" spans="3:7">
      <c r="C2904">
        <f ca="1"/>
        <v>0.69299369183745618</v>
      </c>
      <c r="D2904">
        <f ca="1"/>
        <v>-0.5312458153799271</v>
      </c>
      <c r="E2904">
        <f ca="1"/>
        <v>-1.4832525145432207</v>
      </c>
      <c r="G2904">
        <f ca="1"/>
        <v>2.9625003951839783</v>
      </c>
    </row>
    <row r="2905" spans="3:7">
      <c r="C2905">
        <f ca="1"/>
        <v>-1.4696173639494934</v>
      </c>
      <c r="D2905">
        <f ca="1"/>
        <v>0.62502956209652516</v>
      </c>
      <c r="E2905">
        <f ca="1"/>
        <v>0.46830557018094049</v>
      </c>
      <c r="G2905">
        <f ca="1"/>
        <v>2.7697472569789277</v>
      </c>
    </row>
    <row r="2906" spans="3:7">
      <c r="C2906">
        <f ca="1"/>
        <v>0.78603805457910803</v>
      </c>
      <c r="D2906">
        <f ca="1"/>
        <v>1.3071482471850042</v>
      </c>
      <c r="E2906">
        <f ca="1"/>
        <v>-1.2127334108936443</v>
      </c>
      <c r="G2906">
        <f ca="1"/>
        <v>3.7972146892630705</v>
      </c>
    </row>
    <row r="2907" spans="3:7">
      <c r="C2907">
        <f ca="1"/>
        <v>1.2999612224553472</v>
      </c>
      <c r="D2907">
        <f ca="1"/>
        <v>-1.02479374698094E-2</v>
      </c>
      <c r="E2907">
        <f ca="1"/>
        <v>-2.2980399856389431</v>
      </c>
      <c r="G2907">
        <f ca="1"/>
        <v>6.9709919757054193</v>
      </c>
    </row>
    <row r="2908" spans="3:7">
      <c r="C2908">
        <f ca="1"/>
        <v>0.64692261889092528</v>
      </c>
      <c r="D2908">
        <f ca="1"/>
        <v>6.5337976518016191E-2</v>
      </c>
      <c r="E2908">
        <f ca="1"/>
        <v>-1.847044716216895</v>
      </c>
      <c r="G2908">
        <f ca="1"/>
        <v>3.8343521097129125</v>
      </c>
    </row>
    <row r="2909" spans="3:7">
      <c r="C2909">
        <f ca="1"/>
        <v>0.12805423339697455</v>
      </c>
      <c r="D2909">
        <f ca="1"/>
        <v>-0.28185033309681445</v>
      </c>
      <c r="E2909">
        <f ca="1"/>
        <v>-7.4435688513942277E-2</v>
      </c>
      <c r="G2909">
        <f ca="1"/>
        <v>0.10137816868221673</v>
      </c>
    </row>
    <row r="2910" spans="3:7">
      <c r="C2910">
        <f ca="1"/>
        <v>1.7228945248617922</v>
      </c>
      <c r="D2910">
        <f ca="1"/>
        <v>0.79464129650372672</v>
      </c>
      <c r="E2910">
        <f ca="1"/>
        <v>-1.3478928320499377</v>
      </c>
      <c r="G2910">
        <f ca="1"/>
        <v>5.4166354205994658</v>
      </c>
    </row>
    <row r="2911" spans="3:7">
      <c r="C2911">
        <f ca="1"/>
        <v>-0.52760984119962573</v>
      </c>
      <c r="D2911">
        <f ca="1"/>
        <v>-3.5235763108060328E-2</v>
      </c>
      <c r="E2911">
        <f ca="1"/>
        <v>0.44339322567688599</v>
      </c>
      <c r="G2911">
        <f ca="1"/>
        <v>0.47621125610865556</v>
      </c>
    </row>
    <row r="2912" spans="3:7">
      <c r="C2912">
        <f ca="1"/>
        <v>1.3095881828806812</v>
      </c>
      <c r="D2912">
        <f ca="1"/>
        <v>-0.45320522465881791</v>
      </c>
      <c r="E2912">
        <f ca="1"/>
        <v>0.99598279654319832</v>
      </c>
      <c r="G2912">
        <f ca="1"/>
        <v>2.9123979154087842</v>
      </c>
    </row>
    <row r="2913" spans="3:7">
      <c r="C2913">
        <f ca="1"/>
        <v>-0.60405920215387143</v>
      </c>
      <c r="D2913">
        <f ca="1"/>
        <v>0.67270453693724597</v>
      </c>
      <c r="E2913">
        <f ca="1"/>
        <v>-0.88146988936957593</v>
      </c>
      <c r="G2913">
        <f ca="1"/>
        <v>1.5944080795879385</v>
      </c>
    </row>
    <row r="2914" spans="3:7">
      <c r="C2914">
        <f ca="1"/>
        <v>-2.1804752431891419E-2</v>
      </c>
      <c r="D2914">
        <f ca="1"/>
        <v>-0.77521674382463635</v>
      </c>
      <c r="E2914">
        <f ca="1"/>
        <v>-0.7881829833264421</v>
      </c>
      <c r="G2914">
        <f ca="1"/>
        <v>1.2226688623400586</v>
      </c>
    </row>
    <row r="2915" spans="3:7">
      <c r="C2915">
        <f ca="1"/>
        <v>0.88693680990392165</v>
      </c>
      <c r="D2915">
        <f ca="1"/>
        <v>-0.95846992122524333</v>
      </c>
      <c r="E2915">
        <f ca="1"/>
        <v>-0.1555450120199148</v>
      </c>
      <c r="G2915">
        <f ca="1"/>
        <v>1.7295157454203449</v>
      </c>
    </row>
    <row r="2916" spans="3:7">
      <c r="C2916">
        <f ca="1"/>
        <v>-0.3275604464338307</v>
      </c>
      <c r="D2916">
        <f ca="1"/>
        <v>-9.1606994339544431E-2</v>
      </c>
      <c r="E2916">
        <f ca="1"/>
        <v>2.1363131391125947</v>
      </c>
      <c r="G2916">
        <f ca="1"/>
        <v>4.6795215158249643</v>
      </c>
    </row>
    <row r="2917" spans="3:7">
      <c r="C2917">
        <f ca="1"/>
        <v>1.4610291729317686</v>
      </c>
      <c r="D2917">
        <f ca="1"/>
        <v>-1.6341227001663174</v>
      </c>
      <c r="E2917">
        <f ca="1"/>
        <v>1.0132279974674838</v>
      </c>
      <c r="G2917">
        <f ca="1"/>
        <v>5.8315942182085108</v>
      </c>
    </row>
    <row r="2918" spans="3:7">
      <c r="C2918">
        <f ca="1"/>
        <v>-2.407415221588006</v>
      </c>
      <c r="D2918">
        <f ca="1"/>
        <v>1.4759387422614412</v>
      </c>
      <c r="E2918">
        <f ca="1"/>
        <v>-9.1253412032388168E-2</v>
      </c>
      <c r="G2918">
        <f ca="1"/>
        <v>7.9823704052494655</v>
      </c>
    </row>
    <row r="2919" spans="3:7">
      <c r="C2919">
        <f ca="1"/>
        <v>-1.3548869745987664</v>
      </c>
      <c r="D2919">
        <f ca="1"/>
        <v>-0.56347068238697795</v>
      </c>
      <c r="E2919">
        <f ca="1"/>
        <v>-1.1180577507137262</v>
      </c>
      <c r="G2919">
        <f ca="1"/>
        <v>3.4032710577780811</v>
      </c>
    </row>
    <row r="2920" spans="3:7">
      <c r="C2920">
        <f ca="1"/>
        <v>0.15720854873461432</v>
      </c>
      <c r="D2920">
        <f ca="1"/>
        <v>0.67103344084155159</v>
      </c>
      <c r="E2920">
        <f ca="1"/>
        <v>0.50290184587949727</v>
      </c>
      <c r="G2920">
        <f ca="1"/>
        <v>0.72791067311190139</v>
      </c>
    </row>
    <row r="2921" spans="3:7">
      <c r="C2921">
        <f ca="1"/>
        <v>0.65324221291015061</v>
      </c>
      <c r="D2921">
        <f ca="1"/>
        <v>0.5989962929644117</v>
      </c>
      <c r="E2921">
        <f ca="1"/>
        <v>0.69880607727500155</v>
      </c>
      <c r="G2921">
        <f ca="1"/>
        <v>1.2738518813493334</v>
      </c>
    </row>
    <row r="2922" spans="3:7">
      <c r="C2922">
        <f ca="1"/>
        <v>-0.1264626999556788</v>
      </c>
      <c r="D2922">
        <f ca="1"/>
        <v>-0.43560524462421157</v>
      </c>
      <c r="E2922">
        <f ca="1"/>
        <v>-0.30487531675558011</v>
      </c>
      <c r="G2922">
        <f ca="1"/>
        <v>0.29869370239101456</v>
      </c>
    </row>
    <row r="2923" spans="3:7">
      <c r="C2923">
        <f ca="1"/>
        <v>0.80983049910426408</v>
      </c>
      <c r="D2923">
        <f ca="1"/>
        <v>0.45480196064879364</v>
      </c>
      <c r="E2923">
        <f ca="1"/>
        <v>0.50323370791423327</v>
      </c>
      <c r="G2923">
        <f ca="1"/>
        <v>1.1159144254705562</v>
      </c>
    </row>
    <row r="2924" spans="3:7">
      <c r="C2924">
        <f ca="1"/>
        <v>-2.1671582896601147</v>
      </c>
      <c r="D2924">
        <f ca="1"/>
        <v>-1.3699402027339351</v>
      </c>
      <c r="E2924">
        <f ca="1"/>
        <v>0.96221771484785779</v>
      </c>
      <c r="G2924">
        <f ca="1"/>
        <v>7.4991741422762823</v>
      </c>
    </row>
    <row r="2925" spans="3:7">
      <c r="C2925">
        <f ca="1"/>
        <v>-1.1666167542978929</v>
      </c>
      <c r="D2925">
        <f ca="1"/>
        <v>-0.14327159957404367</v>
      </c>
      <c r="E2925">
        <f ca="1"/>
        <v>-3.9336614814029496E-2</v>
      </c>
      <c r="G2925">
        <f ca="1"/>
        <v>1.3830687719180828</v>
      </c>
    </row>
    <row r="2926" spans="3:7">
      <c r="C2926">
        <f ca="1"/>
        <v>0.22026086195599009</v>
      </c>
      <c r="D2926">
        <f ca="1"/>
        <v>0.32707455435998201</v>
      </c>
      <c r="E2926">
        <f ca="1"/>
        <v>-0.87589537766937331</v>
      </c>
      <c r="G2926">
        <f ca="1"/>
        <v>0.92268532404195069</v>
      </c>
    </row>
    <row r="2927" spans="3:7">
      <c r="C2927">
        <f ca="1"/>
        <v>-1.8860365790986195</v>
      </c>
      <c r="D2927">
        <f ca="1"/>
        <v>0.17472946828563465</v>
      </c>
      <c r="E2927">
        <f ca="1"/>
        <v>0.6525687392241708</v>
      </c>
      <c r="G2927">
        <f ca="1"/>
        <v>4.0135103241980277</v>
      </c>
    </row>
    <row r="2928" spans="3:7">
      <c r="C2928">
        <f ca="1"/>
        <v>3.5945654427594009</v>
      </c>
      <c r="D2928">
        <f ca="1"/>
        <v>-7.3179511597320279E-2</v>
      </c>
      <c r="E2928">
        <f ca="1"/>
        <v>-1.9473199893516073</v>
      </c>
      <c r="G2928">
        <f ca="1"/>
        <v>16.718311104126052</v>
      </c>
    </row>
    <row r="2929" spans="3:7">
      <c r="C2929">
        <f ca="1"/>
        <v>1.0715211618943477</v>
      </c>
      <c r="D2929">
        <f ca="1"/>
        <v>1.2596102299843028</v>
      </c>
      <c r="E2929">
        <f ca="1"/>
        <v>0.54238781603938813</v>
      </c>
      <c r="G2929">
        <f ca="1"/>
        <v>3.028960074856498</v>
      </c>
    </row>
    <row r="2930" spans="3:7">
      <c r="C2930">
        <f ca="1"/>
        <v>1.4769530329425891</v>
      </c>
      <c r="D2930">
        <f ca="1"/>
        <v>-0.15741027375212024</v>
      </c>
      <c r="E2930">
        <f ca="1"/>
        <v>-0.27750700347611801</v>
      </c>
      <c r="G2930">
        <f ca="1"/>
        <v>2.2831783927793241</v>
      </c>
    </row>
    <row r="2931" spans="3:7">
      <c r="C2931">
        <f ca="1"/>
        <v>2.1130200047727188</v>
      </c>
      <c r="D2931">
        <f ca="1"/>
        <v>1.0519460412514194</v>
      </c>
      <c r="E2931">
        <f ca="1"/>
        <v>0.2775205565435665</v>
      </c>
      <c r="G2931">
        <f ca="1"/>
        <v>5.6484616735784847</v>
      </c>
    </row>
    <row r="2932" spans="3:7">
      <c r="C2932">
        <f ca="1"/>
        <v>-0.7187175705020068</v>
      </c>
      <c r="D2932">
        <f ca="1"/>
        <v>-0.83097874970858399</v>
      </c>
      <c r="E2932">
        <f ca="1"/>
        <v>1.360287215967946</v>
      </c>
      <c r="G2932">
        <f ca="1"/>
        <v>3.0574619385413735</v>
      </c>
    </row>
    <row r="2933" spans="3:7">
      <c r="C2933">
        <f ca="1"/>
        <v>0.90434194438753601</v>
      </c>
      <c r="D2933">
        <f ca="1"/>
        <v>-9.6702445123472737E-3</v>
      </c>
      <c r="E2933">
        <f ca="1"/>
        <v>0.51859123112607197</v>
      </c>
      <c r="G2933">
        <f ca="1"/>
        <v>1.0868647310084127</v>
      </c>
    </row>
    <row r="2934" spans="3:7">
      <c r="C2934">
        <f ca="1"/>
        <v>1.3819619514384953</v>
      </c>
      <c r="D2934">
        <f ca="1"/>
        <v>0.64919131268046892</v>
      </c>
      <c r="E2934">
        <f ca="1"/>
        <v>-1.4440549552385038</v>
      </c>
      <c r="G2934">
        <f ca="1"/>
        <v>4.4165629094323613</v>
      </c>
    </row>
    <row r="2935" spans="3:7">
      <c r="C2935">
        <f ca="1"/>
        <v>-0.88371768044429799</v>
      </c>
      <c r="D2935">
        <f ca="1"/>
        <v>0.80547747028857219</v>
      </c>
      <c r="E2935">
        <f ca="1"/>
        <v>1.0920139293522315</v>
      </c>
      <c r="G2935">
        <f ca="1"/>
        <v>2.6222453157716288</v>
      </c>
    </row>
    <row r="2936" spans="3:7">
      <c r="C2936">
        <f ca="1"/>
        <v>1.3469180097137772</v>
      </c>
      <c r="D2936">
        <f ca="1"/>
        <v>-1.2147772829622545</v>
      </c>
      <c r="E2936">
        <f ca="1"/>
        <v>-5.3318718773947942E-2</v>
      </c>
      <c r="G2936">
        <f ca="1"/>
        <v>3.2927148578641754</v>
      </c>
    </row>
    <row r="2937" spans="3:7">
      <c r="C2937">
        <f ca="1"/>
        <v>0.20409354105538971</v>
      </c>
      <c r="D2937">
        <f ca="1"/>
        <v>-0.13346399657023422</v>
      </c>
      <c r="E2937">
        <f ca="1"/>
        <v>0.62578877263479493</v>
      </c>
      <c r="G2937">
        <f ca="1"/>
        <v>0.4510783998367906</v>
      </c>
    </row>
    <row r="2938" spans="3:7">
      <c r="C2938">
        <f ca="1"/>
        <v>-1.5745797006543805</v>
      </c>
      <c r="D2938">
        <f ca="1"/>
        <v>-0.44071604927539498</v>
      </c>
      <c r="E2938">
        <f ca="1"/>
        <v>-0.95968720470251501</v>
      </c>
      <c r="G2938">
        <f ca="1"/>
        <v>3.5945314006714777</v>
      </c>
    </row>
    <row r="2939" spans="3:7">
      <c r="C2939">
        <f ca="1"/>
        <v>1.1438799259766558E-2</v>
      </c>
      <c r="D2939">
        <f ca="1"/>
        <v>-0.90409726936625001</v>
      </c>
      <c r="E2939">
        <f ca="1"/>
        <v>-0.50830463286834138</v>
      </c>
      <c r="G2939">
        <f ca="1"/>
        <v>1.0758963183994341</v>
      </c>
    </row>
    <row r="2940" spans="3:7">
      <c r="C2940">
        <f ca="1"/>
        <v>0.45998208362020215</v>
      </c>
      <c r="D2940">
        <f ca="1"/>
        <v>1.2744881057199344</v>
      </c>
      <c r="E2940">
        <f ca="1"/>
        <v>1.5168854151340971</v>
      </c>
      <c r="G2940">
        <f ca="1"/>
        <v>4.1368448115197118</v>
      </c>
    </row>
    <row r="2941" spans="3:7">
      <c r="C2941">
        <f ca="1"/>
        <v>2.1153625104817102E-2</v>
      </c>
      <c r="D2941">
        <f ca="1"/>
        <v>-0.9380839912969845</v>
      </c>
      <c r="E2941">
        <f ca="1"/>
        <v>1.3272271335946295</v>
      </c>
      <c r="G2941">
        <f ca="1"/>
        <v>2.6419809147325726</v>
      </c>
    </row>
    <row r="2942" spans="3:7">
      <c r="C2942">
        <f ca="1"/>
        <v>2.3299330107330093E-2</v>
      </c>
      <c r="D2942">
        <f ca="1"/>
        <v>6.0575846802181949E-2</v>
      </c>
      <c r="E2942">
        <f ca="1"/>
        <v>0.73560341565555432</v>
      </c>
      <c r="G2942">
        <f ca="1"/>
        <v>0.54532467712336996</v>
      </c>
    </row>
    <row r="2943" spans="3:7">
      <c r="C2943">
        <f ca="1"/>
        <v>-0.40983856160720256</v>
      </c>
      <c r="D2943">
        <f ca="1"/>
        <v>1.5596728083104041</v>
      </c>
      <c r="E2943">
        <f ca="1"/>
        <v>-1.3732892577283971</v>
      </c>
      <c r="G2943">
        <f ca="1"/>
        <v>4.4864703009553351</v>
      </c>
    </row>
    <row r="2944" spans="3:7">
      <c r="C2944">
        <f ca="1"/>
        <v>2.3680652951772716</v>
      </c>
      <c r="D2944">
        <f ca="1"/>
        <v>0.41912273415307083</v>
      </c>
      <c r="E2944">
        <f ca="1"/>
        <v>-1.2835508386789554</v>
      </c>
      <c r="G2944">
        <f ca="1"/>
        <v>7.4308998639804136</v>
      </c>
    </row>
    <row r="2945" spans="3:7">
      <c r="C2945">
        <f ca="1"/>
        <v>-0.46863656050511732</v>
      </c>
      <c r="D2945">
        <f ca="1"/>
        <v>0.5190925626960925</v>
      </c>
      <c r="E2945">
        <f ca="1"/>
        <v>-1.0470551548119233</v>
      </c>
      <c r="G2945">
        <f ca="1"/>
        <v>1.5854018117066839</v>
      </c>
    </row>
    <row r="2946" spans="3:7">
      <c r="C2946">
        <f ca="1"/>
        <v>1.0370433651723032</v>
      </c>
      <c r="D2946">
        <f ca="1"/>
        <v>0.82886737279517941</v>
      </c>
      <c r="E2946">
        <f ca="1"/>
        <v>-0.6260867252251896</v>
      </c>
      <c r="G2946">
        <f ca="1"/>
        <v>2.1544646504354801</v>
      </c>
    </row>
    <row r="2947" spans="3:7">
      <c r="C2947">
        <f ca="1"/>
        <v>1.0363986825421618</v>
      </c>
      <c r="D2947">
        <f ca="1"/>
        <v>-0.59529433458226855</v>
      </c>
      <c r="E2947">
        <f ca="1"/>
        <v>6.3871365842670266E-2</v>
      </c>
      <c r="G2947">
        <f ca="1"/>
        <v>1.4325771253354826</v>
      </c>
    </row>
    <row r="2948" spans="3:7">
      <c r="C2948">
        <f ca="1"/>
        <v>0.4140603630729538</v>
      </c>
      <c r="D2948">
        <f ca="1"/>
        <v>0.44977573216358879</v>
      </c>
      <c r="E2948">
        <f ca="1"/>
        <v>0.24380757796791794</v>
      </c>
      <c r="G2948">
        <f ca="1"/>
        <v>0.43318632858598105</v>
      </c>
    </row>
    <row r="2949" spans="3:7">
      <c r="C2949">
        <f ca="1"/>
        <v>0.52984953498032294</v>
      </c>
      <c r="D2949">
        <f ca="1"/>
        <v>0.4793384261513382</v>
      </c>
      <c r="E2949">
        <f ca="1"/>
        <v>-1.7897410884897049</v>
      </c>
      <c r="G2949">
        <f ca="1"/>
        <v>3.7136790203324201</v>
      </c>
    </row>
    <row r="2950" spans="3:7">
      <c r="C2950">
        <f ca="1"/>
        <v>0.78400699520390404</v>
      </c>
      <c r="D2950">
        <f ca="1"/>
        <v>-0.89762601170175393</v>
      </c>
      <c r="E2950">
        <f ca="1"/>
        <v>3.3944709313926653</v>
      </c>
      <c r="G2950">
        <f ca="1"/>
        <v>12.942832329482041</v>
      </c>
    </row>
    <row r="2951" spans="3:7">
      <c r="C2951">
        <f ca="1"/>
        <v>-1.2623842513911701</v>
      </c>
      <c r="D2951">
        <f ca="1"/>
        <v>-0.31454340558845278</v>
      </c>
      <c r="E2951">
        <f ca="1"/>
        <v>-9.5575508761432559E-2</v>
      </c>
      <c r="G2951">
        <f ca="1"/>
        <v>1.7016862300346336</v>
      </c>
    </row>
    <row r="2952" spans="3:7">
      <c r="C2952">
        <f ca="1"/>
        <v>0.84109111700128625</v>
      </c>
      <c r="D2952">
        <f ca="1"/>
        <v>1.140081590853147</v>
      </c>
      <c r="E2952">
        <f ca="1"/>
        <v>0.29990823553313695</v>
      </c>
      <c r="G2952">
        <f ca="1"/>
        <v>2.0971652506413134</v>
      </c>
    </row>
    <row r="2953" spans="3:7">
      <c r="C2953">
        <f ca="1"/>
        <v>-1.0078978544411792</v>
      </c>
      <c r="D2953">
        <f ca="1"/>
        <v>-1.1053066812702299</v>
      </c>
      <c r="E2953">
        <f ca="1"/>
        <v>-1.8725464824605922</v>
      </c>
      <c r="G2953">
        <f ca="1"/>
        <v>5.743991273623279</v>
      </c>
    </row>
    <row r="2954" spans="3:7">
      <c r="C2954">
        <f ca="1"/>
        <v>-0.58943368370945493</v>
      </c>
      <c r="D2954">
        <f ca="1"/>
        <v>0.34576185168031215</v>
      </c>
      <c r="E2954">
        <f ca="1"/>
        <v>0.30770530426438047</v>
      </c>
      <c r="G2954">
        <f ca="1"/>
        <v>0.56166587984113092</v>
      </c>
    </row>
    <row r="2955" spans="3:7">
      <c r="C2955">
        <f ca="1"/>
        <v>-0.15022750932714002</v>
      </c>
      <c r="D2955">
        <f ca="1"/>
        <v>4.7950538383244312E-3</v>
      </c>
      <c r="E2955">
        <f ca="1"/>
        <v>0.12201082621624595</v>
      </c>
      <c r="G2955">
        <f ca="1"/>
        <v>3.7477938813919337E-2</v>
      </c>
    </row>
    <row r="2956" spans="3:7">
      <c r="C2956">
        <f ca="1"/>
        <v>-0.23907797727734176</v>
      </c>
      <c r="D2956">
        <f ca="1"/>
        <v>0.46990726554089601</v>
      </c>
      <c r="E2956">
        <f ca="1"/>
        <v>0.88640516323530316</v>
      </c>
      <c r="G2956">
        <f ca="1"/>
        <v>1.0636852308373519</v>
      </c>
    </row>
    <row r="2957" spans="3:7">
      <c r="C2957">
        <f ca="1"/>
        <v>-2.0677343040841913</v>
      </c>
      <c r="D2957">
        <f ca="1"/>
        <v>-8.0946624514310922E-2</v>
      </c>
      <c r="E2957">
        <f ca="1"/>
        <v>-0.69293706892389006</v>
      </c>
      <c r="G2957">
        <f ca="1"/>
        <v>4.7622392897956276</v>
      </c>
    </row>
    <row r="2958" spans="3:7">
      <c r="C2958">
        <f ca="1"/>
        <v>-0.2353880143920401</v>
      </c>
      <c r="D2958">
        <f ca="1"/>
        <v>-0.38672691983201246</v>
      </c>
      <c r="E2958">
        <f ca="1"/>
        <v>-2.1046632283880848</v>
      </c>
      <c r="G2958">
        <f ca="1"/>
        <v>4.6345725327711387</v>
      </c>
    </row>
    <row r="2959" spans="3:7">
      <c r="C2959">
        <f ca="1"/>
        <v>0.83611269617409678</v>
      </c>
      <c r="D2959">
        <f ca="1"/>
        <v>0.37600683144004859</v>
      </c>
      <c r="E2959">
        <f ca="1"/>
        <v>-0.66584534770409831</v>
      </c>
      <c r="G2959">
        <f ca="1"/>
        <v>1.2838156050522942</v>
      </c>
    </row>
    <row r="2960" spans="3:7">
      <c r="C2960">
        <f ca="1"/>
        <v>0.33869695677822909</v>
      </c>
      <c r="D2960">
        <f ca="1"/>
        <v>1.0754524372653909</v>
      </c>
      <c r="E2960">
        <f ca="1"/>
        <v>-0.27280187893894575</v>
      </c>
      <c r="G2960">
        <f ca="1"/>
        <v>1.3457344385035221</v>
      </c>
    </row>
    <row r="2961" spans="3:7">
      <c r="C2961">
        <f ca="1"/>
        <v>-0.79735102205187547</v>
      </c>
      <c r="D2961">
        <f ca="1"/>
        <v>-0.63891815787766049</v>
      </c>
      <c r="E2961">
        <f ca="1"/>
        <v>-0.64282493273876129</v>
      </c>
      <c r="G2961">
        <f ca="1"/>
        <v>1.4572089589835464</v>
      </c>
    </row>
    <row r="2962" spans="3:7">
      <c r="C2962">
        <f ca="1"/>
        <v>0.54039227034161719</v>
      </c>
      <c r="D2962">
        <f ca="1"/>
        <v>1.0855979765175172</v>
      </c>
      <c r="E2962">
        <f ca="1"/>
        <v>0.61742144103452401</v>
      </c>
      <c r="G2962">
        <f ca="1"/>
        <v>1.8517560083130435</v>
      </c>
    </row>
    <row r="2963" spans="3:7">
      <c r="C2963">
        <f ca="1"/>
        <v>-1.2492809446350539</v>
      </c>
      <c r="D2963">
        <f ca="1"/>
        <v>0.863055365792329</v>
      </c>
      <c r="E2963">
        <f ca="1"/>
        <v>-0.22659950140347429</v>
      </c>
      <c r="G2963">
        <f ca="1"/>
        <v>2.3569147770874865</v>
      </c>
    </row>
    <row r="2964" spans="3:7">
      <c r="C2964">
        <f ca="1"/>
        <v>0.88286399763390921</v>
      </c>
      <c r="D2964">
        <f ca="1"/>
        <v>-1.2782094527836703</v>
      </c>
      <c r="E2964">
        <f ca="1"/>
        <v>7.0442730479560553E-2</v>
      </c>
      <c r="G2964">
        <f ca="1"/>
        <v>2.4182304217810726</v>
      </c>
    </row>
    <row r="2965" spans="3:7">
      <c r="C2965">
        <f ca="1"/>
        <v>-0.30842755248532044</v>
      </c>
      <c r="D2965">
        <f ca="1"/>
        <v>-0.2838282583690917</v>
      </c>
      <c r="E2965">
        <f ca="1"/>
        <v>-1.4127025963077906</v>
      </c>
      <c r="G2965">
        <f ca="1"/>
        <v>2.1714146609956892</v>
      </c>
    </row>
    <row r="2966" spans="3:7">
      <c r="C2966">
        <f ca="1"/>
        <v>-1.3726109380763449</v>
      </c>
      <c r="D2966">
        <f ca="1"/>
        <v>0.4533159618498066</v>
      </c>
      <c r="E2966">
        <f ca="1"/>
        <v>-1.6713682354931505</v>
      </c>
      <c r="G2966">
        <f ca="1"/>
        <v>4.8830279272101258</v>
      </c>
    </row>
    <row r="2967" spans="3:7">
      <c r="C2967">
        <f ca="1"/>
        <v>0.7869588482305111</v>
      </c>
      <c r="D2967">
        <f ca="1"/>
        <v>-0.22130273521355218</v>
      </c>
      <c r="E2967">
        <f ca="1"/>
        <v>-4.2159840777848115E-3</v>
      </c>
      <c r="G2967">
        <f ca="1"/>
        <v>0.66829690394303631</v>
      </c>
    </row>
    <row r="2968" spans="3:7">
      <c r="C2968">
        <f ca="1"/>
        <v>-0.51272015133789262</v>
      </c>
      <c r="D2968">
        <f ca="1"/>
        <v>-3.5862568045708552E-2</v>
      </c>
      <c r="E2968">
        <f ca="1"/>
        <v>1.5281325255468425</v>
      </c>
      <c r="G2968">
        <f ca="1"/>
        <v>2.599357093008956</v>
      </c>
    </row>
    <row r="2969" spans="3:7">
      <c r="C2969">
        <f ca="1"/>
        <v>1.6176745962781727</v>
      </c>
      <c r="D2969">
        <f ca="1"/>
        <v>1.038849859593685</v>
      </c>
      <c r="E2969">
        <f ca="1"/>
        <v>1.7650962787584339</v>
      </c>
      <c r="G2969">
        <f ca="1"/>
        <v>6.8116450035084384</v>
      </c>
    </row>
    <row r="2970" spans="3:7">
      <c r="C2970">
        <f ca="1"/>
        <v>-1.3025174161462043</v>
      </c>
      <c r="D2970">
        <f ca="1"/>
        <v>-0.36783893826854008</v>
      </c>
      <c r="E2970">
        <f ca="1"/>
        <v>0.92451753828421623</v>
      </c>
      <c r="G2970">
        <f ca="1"/>
        <v>2.6865897824658185</v>
      </c>
    </row>
    <row r="2971" spans="3:7">
      <c r="C2971">
        <f ca="1"/>
        <v>-1.890832851609908</v>
      </c>
      <c r="D2971">
        <f ca="1"/>
        <v>0.12565890727742834</v>
      </c>
      <c r="E2971">
        <f ca="1"/>
        <v>0.26538120898711626</v>
      </c>
      <c r="G2971">
        <f ca="1"/>
        <v>3.6614662197888772</v>
      </c>
    </row>
    <row r="2972" spans="3:7">
      <c r="C2972">
        <f ca="1"/>
        <v>-0.46253295657586974</v>
      </c>
      <c r="D2972">
        <f ca="1"/>
        <v>0.68947183724496586</v>
      </c>
      <c r="E2972">
        <f ca="1"/>
        <v>-1.1702686848332227</v>
      </c>
      <c r="G2972">
        <f ca="1"/>
        <v>2.0588369449740447</v>
      </c>
    </row>
    <row r="2973" spans="3:7">
      <c r="C2973">
        <f ca="1"/>
        <v>-4.3943187089380198E-3</v>
      </c>
      <c r="D2973">
        <f ca="1"/>
        <v>-1.4993425860650762</v>
      </c>
      <c r="E2973">
        <f ca="1"/>
        <v>0.14624664767309875</v>
      </c>
      <c r="G2973">
        <f ca="1"/>
        <v>2.2694355823808459</v>
      </c>
    </row>
    <row r="2974" spans="3:7">
      <c r="C2974">
        <f ca="1"/>
        <v>-0.97797276081358475</v>
      </c>
      <c r="D2974">
        <f ca="1"/>
        <v>-1.2536296227107391</v>
      </c>
      <c r="E2974">
        <f ca="1"/>
        <v>1.4579767159217103</v>
      </c>
      <c r="G2974">
        <f ca="1"/>
        <v>4.6537140560010704</v>
      </c>
    </row>
    <row r="2975" spans="3:7">
      <c r="C2975">
        <f ca="1"/>
        <v>-0.52075472227616115</v>
      </c>
      <c r="D2975">
        <f ca="1"/>
        <v>-0.29537315824638521</v>
      </c>
      <c r="E2975">
        <f ca="1"/>
        <v>-0.344882406915063</v>
      </c>
      <c r="G2975">
        <f ca="1"/>
        <v>0.47737465798489293</v>
      </c>
    </row>
    <row r="2976" spans="3:7">
      <c r="C2976">
        <f ca="1"/>
        <v>-0.17419263559532275</v>
      </c>
      <c r="D2976">
        <f ca="1"/>
        <v>0.21509375453589941</v>
      </c>
      <c r="E2976">
        <f ca="1"/>
        <v>0.76854712239236911</v>
      </c>
      <c r="G2976">
        <f ca="1"/>
        <v>0.66727307687358584</v>
      </c>
    </row>
    <row r="2977" spans="3:7">
      <c r="C2977">
        <f ca="1"/>
        <v>1.9114322362482989</v>
      </c>
      <c r="D2977">
        <f ca="1"/>
        <v>-1.4716095667673288</v>
      </c>
      <c r="E2977">
        <f ca="1"/>
        <v>-0.43213867598268152</v>
      </c>
      <c r="G2977">
        <f ca="1"/>
        <v>6.0059517460503624</v>
      </c>
    </row>
    <row r="2978" spans="3:7">
      <c r="C2978">
        <f ca="1"/>
        <v>0.15214581532002874</v>
      </c>
      <c r="D2978">
        <f ca="1"/>
        <v>9.7333653055923591E-2</v>
      </c>
      <c r="E2978">
        <f ca="1"/>
        <v>0.93024705788155837</v>
      </c>
      <c r="G2978">
        <f ca="1"/>
        <v>0.89798177783390265</v>
      </c>
    </row>
    <row r="2979" spans="3:7">
      <c r="C2979">
        <f ca="1"/>
        <v>-0.70552168278775185</v>
      </c>
      <c r="D2979">
        <f ca="1"/>
        <v>0.46946324609713297</v>
      </c>
      <c r="E2979">
        <f ca="1"/>
        <v>-1.1594354570429055</v>
      </c>
      <c r="G2979">
        <f ca="1"/>
        <v>2.0624471633680095</v>
      </c>
    </row>
    <row r="2980" spans="3:7">
      <c r="C2980">
        <f ca="1"/>
        <v>0.54557607544269349</v>
      </c>
      <c r="D2980">
        <f ca="1"/>
        <v>-1.6173640338706876</v>
      </c>
      <c r="E2980">
        <f ca="1"/>
        <v>1.5109520949934101</v>
      </c>
      <c r="G2980">
        <f ca="1"/>
        <v>5.1964959055188888</v>
      </c>
    </row>
    <row r="2981" spans="3:7">
      <c r="C2981">
        <f ca="1"/>
        <v>0.86696328679337675</v>
      </c>
      <c r="D2981">
        <f ca="1"/>
        <v>-0.2638420039149445</v>
      </c>
      <c r="E2981">
        <f ca="1"/>
        <v>-1.3821985209156209</v>
      </c>
      <c r="G2981">
        <f ca="1"/>
        <v>2.7317106948987586</v>
      </c>
    </row>
    <row r="2982" spans="3:7">
      <c r="C2982">
        <f ca="1"/>
        <v>-0.60796792923317011</v>
      </c>
      <c r="D2982">
        <f ca="1"/>
        <v>-0.70083769952067854</v>
      </c>
      <c r="E2982">
        <f ca="1"/>
        <v>1.434892408611838</v>
      </c>
      <c r="G2982">
        <f ca="1"/>
        <v>2.9197147083373878</v>
      </c>
    </row>
    <row r="2983" spans="3:7">
      <c r="C2983">
        <f ca="1"/>
        <v>0.40628511928531974</v>
      </c>
      <c r="D2983">
        <f ca="1"/>
        <v>1.0391018359951338</v>
      </c>
      <c r="E2983">
        <f ca="1"/>
        <v>-1.5028491174220791</v>
      </c>
      <c r="G2983">
        <f ca="1"/>
        <v>3.5033556934574666</v>
      </c>
    </row>
    <row r="2984" spans="3:7">
      <c r="C2984">
        <f ca="1"/>
        <v>-0.24587296004940673</v>
      </c>
      <c r="D2984">
        <f ca="1"/>
        <v>0.28011209768767331</v>
      </c>
      <c r="E2984">
        <f ca="1"/>
        <v>-0.8877094085894125</v>
      </c>
      <c r="G2984">
        <f ca="1"/>
        <v>0.92694429385261023</v>
      </c>
    </row>
    <row r="2985" spans="3:7">
      <c r="C2985">
        <f ca="1"/>
        <v>1.5637989227557827</v>
      </c>
      <c r="D2985">
        <f ca="1"/>
        <v>9.0841109984385257E-2</v>
      </c>
      <c r="E2985">
        <f ca="1"/>
        <v>-1.894656796195602</v>
      </c>
      <c r="G2985">
        <f ca="1"/>
        <v>6.043443553445524</v>
      </c>
    </row>
    <row r="2986" spans="3:7">
      <c r="C2986">
        <f ca="1"/>
        <v>-0.93119306102660282</v>
      </c>
      <c r="D2986">
        <f ca="1"/>
        <v>0.22586527223455816</v>
      </c>
      <c r="E2986">
        <f ca="1"/>
        <v>-1.0136672016699606</v>
      </c>
      <c r="G2986">
        <f ca="1"/>
        <v>1.9456568338470941</v>
      </c>
    </row>
    <row r="2987" spans="3:7">
      <c r="C2987">
        <f ca="1"/>
        <v>0.12310771546777699</v>
      </c>
      <c r="D2987">
        <f ca="1"/>
        <v>-1.2726119365327628</v>
      </c>
      <c r="E2987">
        <f ca="1"/>
        <v>0.25744481340522768</v>
      </c>
      <c r="G2987">
        <f ca="1"/>
        <v>1.7009744825626165</v>
      </c>
    </row>
    <row r="2988" spans="3:7">
      <c r="C2988">
        <f ca="1"/>
        <v>0.81984092451103374</v>
      </c>
      <c r="D2988">
        <f ca="1"/>
        <v>0.33710509593692267</v>
      </c>
      <c r="E2988">
        <f ca="1"/>
        <v>1.2401977001785376</v>
      </c>
      <c r="G2988">
        <f ca="1"/>
        <v>2.3238693227378824</v>
      </c>
    </row>
    <row r="2989" spans="3:7">
      <c r="C2989">
        <f ca="1"/>
        <v>0.61335803592567861</v>
      </c>
      <c r="D2989">
        <f ca="1"/>
        <v>-1.0748527247809625</v>
      </c>
      <c r="E2989">
        <f ca="1"/>
        <v>-0.15445001330798089</v>
      </c>
      <c r="G2989">
        <f ca="1"/>
        <v>1.5553712668145012</v>
      </c>
    </row>
    <row r="2990" spans="3:7">
      <c r="C2990">
        <f ca="1"/>
        <v>-0.86828880416575049</v>
      </c>
      <c r="D2990">
        <f ca="1"/>
        <v>-0.46505371201722712</v>
      </c>
      <c r="E2990">
        <f ca="1"/>
        <v>0.42051109627695377</v>
      </c>
      <c r="G2990">
        <f ca="1"/>
        <v>1.1470299845926366</v>
      </c>
    </row>
    <row r="2991" spans="3:7">
      <c r="C2991">
        <f ca="1"/>
        <v>1.0003779292461694</v>
      </c>
      <c r="D2991">
        <f ca="1"/>
        <v>-1.5342236681314618</v>
      </c>
      <c r="E2991">
        <f ca="1"/>
        <v>-0.37705328785178027</v>
      </c>
      <c r="G2991">
        <f ca="1"/>
        <v>3.496767447057449</v>
      </c>
    </row>
    <row r="2992" spans="3:7">
      <c r="C2992">
        <f ca="1"/>
        <v>0.16448265240031124</v>
      </c>
      <c r="D2992">
        <f ca="1"/>
        <v>-0.47060229586309099</v>
      </c>
      <c r="E2992">
        <f ca="1"/>
        <v>4.1872405961393001E-2</v>
      </c>
      <c r="G2992">
        <f ca="1"/>
        <v>0.25027436219324956</v>
      </c>
    </row>
    <row r="2993" spans="3:7">
      <c r="C2993">
        <f ca="1"/>
        <v>-0.74489341324482317</v>
      </c>
      <c r="D2993">
        <f ca="1"/>
        <v>-0.15936732328026551</v>
      </c>
      <c r="E2993">
        <f ca="1"/>
        <v>-0.9975973000290429</v>
      </c>
      <c r="G2993">
        <f ca="1"/>
        <v>1.5754645138502759</v>
      </c>
    </row>
    <row r="2994" spans="3:7">
      <c r="C2994">
        <f ca="1"/>
        <v>1.1303318237771989</v>
      </c>
      <c r="D2994">
        <f ca="1"/>
        <v>0.68277297617791222</v>
      </c>
      <c r="E2994">
        <f ca="1"/>
        <v>1.1076565019441322</v>
      </c>
      <c r="G2994">
        <f ca="1"/>
        <v>2.9707318951414434</v>
      </c>
    </row>
    <row r="2995" spans="3:7">
      <c r="C2995">
        <f ca="1"/>
        <v>-0.4170826512412758</v>
      </c>
      <c r="D2995">
        <f ca="1"/>
        <v>-0.10584393506462347</v>
      </c>
      <c r="E2995">
        <f ca="1"/>
        <v>-0.15967522072838838</v>
      </c>
      <c r="G2995">
        <f ca="1"/>
        <v>0.21065705267107548</v>
      </c>
    </row>
    <row r="2996" spans="3:7">
      <c r="C2996">
        <f ca="1"/>
        <v>-1.405669020495705</v>
      </c>
      <c r="D2996">
        <f ca="1"/>
        <v>-0.84879985470990404</v>
      </c>
      <c r="E2996">
        <f ca="1"/>
        <v>0.17806754139785863</v>
      </c>
      <c r="G2996">
        <f ca="1"/>
        <v>2.7280746378363867</v>
      </c>
    </row>
    <row r="2997" spans="3:7">
      <c r="C2997">
        <f ca="1"/>
        <v>-6.6533493894867249E-2</v>
      </c>
      <c r="D2997">
        <f ca="1"/>
        <v>0.25829354605814603</v>
      </c>
      <c r="E2997">
        <f ca="1"/>
        <v>0.43490629369366418</v>
      </c>
      <c r="G2997">
        <f ca="1"/>
        <v>0.2602857460395096</v>
      </c>
    </row>
    <row r="2998" spans="3:7">
      <c r="C2998">
        <f ca="1"/>
        <v>1.5053509784851886</v>
      </c>
      <c r="D2998">
        <f ca="1"/>
        <v>1.9571143017490966E-2</v>
      </c>
      <c r="E2998">
        <f ca="1"/>
        <v>-0.95400161586529741</v>
      </c>
      <c r="G2998">
        <f ca="1"/>
        <v>3.1765836811389243</v>
      </c>
    </row>
    <row r="2999" spans="3:7">
      <c r="C2999">
        <f ca="1"/>
        <v>-0.81905161941000182</v>
      </c>
      <c r="D2999">
        <f ca="1"/>
        <v>-0.6240842835521947</v>
      </c>
      <c r="E2999">
        <f ca="1"/>
        <v>0.75727362703018974</v>
      </c>
      <c r="G2999">
        <f ca="1"/>
        <v>1.6337900944304615</v>
      </c>
    </row>
    <row r="3000" spans="3:7">
      <c r="C3000">
        <f ca="1"/>
        <v>1.6801869592090335</v>
      </c>
      <c r="D3000">
        <f ca="1"/>
        <v>-0.43026497708237077</v>
      </c>
      <c r="E3000">
        <f ca="1"/>
        <v>1.9560874372290871</v>
      </c>
      <c r="G3000">
        <f ca="1"/>
        <v>6.8344342304852486</v>
      </c>
    </row>
    <row r="3001" spans="3:7">
      <c r="C3001">
        <f ca="1"/>
        <v>-6.7618314304846494E-2</v>
      </c>
      <c r="D3001">
        <f ca="1"/>
        <v>1.0856550906034521</v>
      </c>
      <c r="E3001">
        <f ca="1"/>
        <v>2.009987197492356</v>
      </c>
      <c r="G3001">
        <f ca="1"/>
        <v>5.2232677462657939</v>
      </c>
    </row>
    <row r="3002" spans="3:7">
      <c r="C3002">
        <f ca="1"/>
        <v>0.10959466393230077</v>
      </c>
      <c r="D3002">
        <f ca="1"/>
        <v>-2.2857313207701342</v>
      </c>
      <c r="E3002">
        <f ca="1"/>
        <v>0.76592988586255994</v>
      </c>
      <c r="G3002">
        <f ca="1"/>
        <v>5.8232272511694507</v>
      </c>
    </row>
    <row r="3003" spans="3:7">
      <c r="C3003">
        <f ca="1"/>
        <v>-1.2949443726349512</v>
      </c>
      <c r="D3003">
        <f ca="1"/>
        <v>0.87632211891925627</v>
      </c>
      <c r="E3003">
        <f ca="1"/>
        <v>0.89819895215756751</v>
      </c>
      <c r="G3003">
        <f ca="1"/>
        <v>3.251582741983015</v>
      </c>
    </row>
    <row r="3004" spans="3:7">
      <c r="C3004">
        <f ca="1"/>
        <v>0.24817716327216532</v>
      </c>
      <c r="D3004">
        <f ca="1"/>
        <v>0.22685385326844199</v>
      </c>
      <c r="E3004">
        <f ca="1"/>
        <v>0.1068770365801522</v>
      </c>
      <c r="G3004">
        <f ca="1"/>
        <v>0.124477276060714</v>
      </c>
    </row>
    <row r="3005" spans="3:7">
      <c r="C3005">
        <f ca="1"/>
        <v>-0.50592298557207782</v>
      </c>
      <c r="D3005">
        <f ca="1"/>
        <v>-0.96842969362991482</v>
      </c>
      <c r="E3005">
        <f ca="1"/>
        <v>-0.91527589412257238</v>
      </c>
      <c r="G3005">
        <f ca="1"/>
        <v>2.0315441011961699</v>
      </c>
    </row>
    <row r="3006" spans="3:7">
      <c r="C3006">
        <f ca="1"/>
        <v>1.774105602589235</v>
      </c>
      <c r="D3006">
        <f ca="1"/>
        <v>0.29431144696699912</v>
      </c>
      <c r="E3006">
        <f ca="1"/>
        <v>-0.69668084846357592</v>
      </c>
      <c r="G3006">
        <f ca="1"/>
        <v>3.7194341215702491</v>
      </c>
    </row>
    <row r="3007" spans="3:7">
      <c r="C3007">
        <f ca="1"/>
        <v>0.47656014960987964</v>
      </c>
      <c r="D3007">
        <f ca="1"/>
        <v>-0.5530442534466542</v>
      </c>
      <c r="E3007">
        <f ca="1"/>
        <v>0.40393017136528836</v>
      </c>
      <c r="G3007">
        <f ca="1"/>
        <v>0.69612710580574921</v>
      </c>
    </row>
    <row r="3008" spans="3:7">
      <c r="C3008">
        <f ca="1"/>
        <v>0.46786672954026531</v>
      </c>
      <c r="D3008">
        <f ca="1"/>
        <v>0.20742385438542094</v>
      </c>
      <c r="E3008">
        <f ca="1"/>
        <v>-0.58032468884760968</v>
      </c>
      <c r="G3008">
        <f ca="1"/>
        <v>0.59870067646488301</v>
      </c>
    </row>
    <row r="3009" spans="3:7">
      <c r="C3009">
        <f ca="1"/>
        <v>1.2108282437287536</v>
      </c>
      <c r="D3009">
        <f ca="1"/>
        <v>0.15572089850668461</v>
      </c>
      <c r="E3009">
        <f ca="1"/>
        <v>9.4341230386577477E-2</v>
      </c>
      <c r="G3009">
        <f ca="1"/>
        <v>1.4992543017938404</v>
      </c>
    </row>
    <row r="3010" spans="3:7">
      <c r="C3010">
        <f ca="1"/>
        <v>0.11282603006782826</v>
      </c>
      <c r="D3010">
        <f ca="1"/>
        <v>1.2753135380210754</v>
      </c>
      <c r="E3010">
        <f ca="1"/>
        <v>-0.36561296414806665</v>
      </c>
      <c r="G3010">
        <f ca="1"/>
        <v>1.772827172873835</v>
      </c>
    </row>
    <row r="3011" spans="3:7">
      <c r="C3011">
        <f ca="1"/>
        <v>-0.22834791978205723</v>
      </c>
      <c r="D3011">
        <f ca="1"/>
        <v>0.55835671552452393</v>
      </c>
      <c r="E3011">
        <f ca="1"/>
        <v>-5.6805563456457445E-2</v>
      </c>
      <c r="G3011">
        <f ca="1"/>
        <v>0.36713186627973254</v>
      </c>
    </row>
    <row r="3012" spans="3:7">
      <c r="C3012">
        <f ca="1"/>
        <v>0.41219767725724688</v>
      </c>
      <c r="D3012">
        <f ca="1"/>
        <v>-0.15843556795338362</v>
      </c>
      <c r="E3012">
        <f ca="1"/>
        <v>-0.78112882246044846</v>
      </c>
      <c r="G3012">
        <f ca="1"/>
        <v>0.80517099160742744</v>
      </c>
    </row>
    <row r="3013" spans="3:7">
      <c r="C3013">
        <f ca="1"/>
        <v>0.76986711788868356</v>
      </c>
      <c r="D3013">
        <f ca="1"/>
        <v>-0.58161228709993118</v>
      </c>
      <c r="E3013">
        <f ca="1"/>
        <v>-1.3648460510136016</v>
      </c>
      <c r="G3013">
        <f ca="1"/>
        <v>2.7937729746792637</v>
      </c>
    </row>
    <row r="3014" spans="3:7">
      <c r="C3014">
        <f ca="1"/>
        <v>-1.2895263397332382</v>
      </c>
      <c r="D3014">
        <f ca="1"/>
        <v>-0.13738893382744857</v>
      </c>
      <c r="E3014">
        <f ca="1"/>
        <v>-0.22613304745768686</v>
      </c>
      <c r="G3014">
        <f ca="1"/>
        <v>1.7328900551565465</v>
      </c>
    </row>
    <row r="3015" spans="3:7">
      <c r="C3015">
        <f ca="1"/>
        <v>0.66297238721612861</v>
      </c>
      <c r="D3015">
        <f ca="1"/>
        <v>2.1076628043387515</v>
      </c>
      <c r="E3015">
        <f ca="1"/>
        <v>0.28615548836737109</v>
      </c>
      <c r="G3015">
        <f ca="1"/>
        <v>4.9636598465269115</v>
      </c>
    </row>
    <row r="3016" spans="3:7">
      <c r="C3016">
        <f ca="1"/>
        <v>-0.3181757327159751</v>
      </c>
      <c r="D3016">
        <f ca="1"/>
        <v>-1.1611089759510591</v>
      </c>
      <c r="E3016">
        <f ca="1"/>
        <v>-1.5446053229924075</v>
      </c>
      <c r="G3016">
        <f ca="1"/>
        <v>3.8352154547399442</v>
      </c>
    </row>
    <row r="3017" spans="3:7">
      <c r="C3017">
        <f ca="1"/>
        <v>-0.37440183484418182</v>
      </c>
      <c r="D3017">
        <f ca="1"/>
        <v>-1.0438621832463111</v>
      </c>
      <c r="E3017">
        <f ca="1"/>
        <v>-0.52454569733194101</v>
      </c>
      <c r="G3017">
        <f ca="1"/>
        <v>1.5049731801358974</v>
      </c>
    </row>
    <row r="3018" spans="3:7">
      <c r="C3018">
        <f ca="1"/>
        <v>0.37454726774580116</v>
      </c>
      <c r="D3018">
        <f ca="1"/>
        <v>0.50023669358274792</v>
      </c>
      <c r="E3018">
        <f ca="1"/>
        <v>1.8033935721830803</v>
      </c>
      <c r="G3018">
        <f ca="1"/>
        <v>3.6427507815736955</v>
      </c>
    </row>
    <row r="3019" spans="3:7">
      <c r="C3019">
        <f ca="1"/>
        <v>0.55986652278983529</v>
      </c>
      <c r="D3019">
        <f ca="1"/>
        <v>-0.91820789680320103</v>
      </c>
      <c r="E3019">
        <f ca="1"/>
        <v>-0.20456447142524309</v>
      </c>
      <c r="G3019">
        <f ca="1"/>
        <v>1.1984028880620283</v>
      </c>
    </row>
    <row r="3020" spans="3:7">
      <c r="C3020">
        <f ca="1"/>
        <v>-0.17015060485330394</v>
      </c>
      <c r="D3020">
        <f ca="1"/>
        <v>-0.24756326840754128</v>
      </c>
      <c r="E3020">
        <f ca="1"/>
        <v>1.6331063287231018</v>
      </c>
      <c r="G3020">
        <f ca="1"/>
        <v>2.7572750811120175</v>
      </c>
    </row>
    <row r="3021" spans="3:7">
      <c r="C3021">
        <f ca="1"/>
        <v>-0.30258391183456967</v>
      </c>
      <c r="D3021">
        <f ca="1"/>
        <v>-0.50253532706582549</v>
      </c>
      <c r="E3021">
        <f ca="1"/>
        <v>-0.37569515002055393</v>
      </c>
      <c r="G3021">
        <f ca="1"/>
        <v>0.48524562439923336</v>
      </c>
    </row>
    <row r="3022" spans="3:7">
      <c r="C3022">
        <f ca="1"/>
        <v>-0.10809417950982883</v>
      </c>
      <c r="D3022">
        <f ca="1"/>
        <v>1.8755420426026859</v>
      </c>
      <c r="E3022">
        <f ca="1"/>
        <v>-8.6724769372592575E-2</v>
      </c>
      <c r="G3022">
        <f ca="1"/>
        <v>3.5368634908368874</v>
      </c>
    </row>
    <row r="3023" spans="3:7">
      <c r="C3023">
        <f ca="1"/>
        <v>-0.94015480181575006</v>
      </c>
      <c r="D3023">
        <f ca="1"/>
        <v>-0.35500746586232979</v>
      </c>
      <c r="E3023">
        <f ca="1"/>
        <v>0.12511942560255937</v>
      </c>
      <c r="G3023">
        <f ca="1"/>
        <v>1.0255762228583198</v>
      </c>
    </row>
    <row r="3024" spans="3:7">
      <c r="C3024">
        <f ca="1"/>
        <v>1.1373848169045322</v>
      </c>
      <c r="D3024">
        <f ca="1"/>
        <v>0.44400625335305977</v>
      </c>
      <c r="E3024">
        <f ca="1"/>
        <v>-0.66544213328736523</v>
      </c>
      <c r="G3024">
        <f ca="1"/>
        <v>1.9335990074956173</v>
      </c>
    </row>
    <row r="3025" spans="3:7">
      <c r="C3025">
        <f ca="1"/>
        <v>-0.49472097963771922</v>
      </c>
      <c r="D3025">
        <f ca="1"/>
        <v>-0.11275364138072164</v>
      </c>
      <c r="E3025">
        <f ca="1"/>
        <v>-1.5845543085908287</v>
      </c>
      <c r="G3025">
        <f ca="1"/>
        <v>2.7682745882120758</v>
      </c>
    </row>
    <row r="3026" spans="3:7">
      <c r="C3026">
        <f ca="1"/>
        <v>1.161291925023348</v>
      </c>
      <c r="D3026">
        <f ca="1"/>
        <v>0.67164443756706738</v>
      </c>
      <c r="E3026">
        <f ca="1"/>
        <v>1.0883103206933542</v>
      </c>
      <c r="G3026">
        <f ca="1"/>
        <v>2.9841245397668872</v>
      </c>
    </row>
    <row r="3027" spans="3:7">
      <c r="C3027">
        <f ca="1"/>
        <v>1.1786594572302413</v>
      </c>
      <c r="D3027">
        <f ca="1"/>
        <v>0.11039225079711125</v>
      </c>
      <c r="E3027">
        <f ca="1"/>
        <v>0.80837669493911313</v>
      </c>
      <c r="G3027">
        <f ca="1"/>
        <v>2.0548974460750236</v>
      </c>
    </row>
    <row r="3028" spans="3:7">
      <c r="C3028">
        <f ca="1"/>
        <v>0.66689042468346138</v>
      </c>
      <c r="D3028">
        <f ca="1"/>
        <v>-0.3001897293610547</v>
      </c>
      <c r="E3028">
        <f ca="1"/>
        <v>-0.23969024339219422</v>
      </c>
      <c r="G3028">
        <f ca="1"/>
        <v>0.59230812492576002</v>
      </c>
    </row>
    <row r="3029" spans="3:7">
      <c r="C3029">
        <f ca="1"/>
        <v>-2.3077458989825579</v>
      </c>
      <c r="D3029">
        <f ca="1"/>
        <v>-1.726657049880308</v>
      </c>
      <c r="E3029">
        <f ca="1"/>
        <v>0.73985103391288309</v>
      </c>
      <c r="G3029">
        <f ca="1"/>
        <v>8.8544152545541444</v>
      </c>
    </row>
    <row r="3030" spans="3:7">
      <c r="C3030">
        <f ca="1"/>
        <v>-1.2219177996039563E-2</v>
      </c>
      <c r="D3030">
        <f ca="1"/>
        <v>-2.4028767267680919</v>
      </c>
      <c r="E3030">
        <f ca="1"/>
        <v>-0.51709332516904605</v>
      </c>
      <c r="G3030">
        <f ca="1"/>
        <v>6.0413513792890194</v>
      </c>
    </row>
    <row r="3031" spans="3:7">
      <c r="C3031">
        <f ca="1"/>
        <v>-1.2094992173912018</v>
      </c>
      <c r="D3031">
        <f ca="1"/>
        <v>0.53782474814052539</v>
      </c>
      <c r="E3031">
        <f ca="1"/>
        <v>0.70499644541095485</v>
      </c>
      <c r="G3031">
        <f ca="1"/>
        <v>2.2491638046244304</v>
      </c>
    </row>
    <row r="3032" spans="3:7">
      <c r="C3032">
        <f ca="1"/>
        <v>-0.33305197106873735</v>
      </c>
      <c r="D3032">
        <f ca="1"/>
        <v>0.95116656771033847</v>
      </c>
      <c r="E3032">
        <f ca="1"/>
        <v>0.80420075034798333</v>
      </c>
      <c r="G3032">
        <f ca="1"/>
        <v>1.6623803018228962</v>
      </c>
    </row>
    <row r="3033" spans="3:7">
      <c r="C3033">
        <f ca="1"/>
        <v>0.12681978230648075</v>
      </c>
      <c r="D3033">
        <f ca="1"/>
        <v>-0.27822434305247046</v>
      </c>
      <c r="E3033">
        <f ca="1"/>
        <v>1.4070115596987907</v>
      </c>
      <c r="G3033">
        <f ca="1"/>
        <v>2.0731735713772652</v>
      </c>
    </row>
    <row r="3034" spans="3:7">
      <c r="C3034">
        <f ca="1"/>
        <v>-0.54830939371341436</v>
      </c>
      <c r="D3034">
        <f ca="1"/>
        <v>0.12819182514769648</v>
      </c>
      <c r="E3034">
        <f ca="1"/>
        <v>1.4302129440468225</v>
      </c>
      <c r="G3034">
        <f ca="1"/>
        <v>2.362585400588149</v>
      </c>
    </row>
    <row r="3035" spans="3:7">
      <c r="C3035">
        <f ca="1"/>
        <v>-0.67166867569608601</v>
      </c>
      <c r="D3035">
        <f ca="1"/>
        <v>1.4265257072654178</v>
      </c>
      <c r="E3035">
        <f ca="1"/>
        <v>0.15080664791340428</v>
      </c>
      <c r="G3035">
        <f ca="1"/>
        <v>2.5088570484553121</v>
      </c>
    </row>
    <row r="3036" spans="3:7">
      <c r="C3036">
        <f ca="1"/>
        <v>-0.87149886622838979</v>
      </c>
      <c r="D3036">
        <f ca="1"/>
        <v>-1.7426160085637299</v>
      </c>
      <c r="E3036">
        <f ca="1"/>
        <v>-0.74197628110106273</v>
      </c>
      <c r="G3036">
        <f ca="1"/>
        <v>4.3467496288565179</v>
      </c>
    </row>
    <row r="3037" spans="3:7">
      <c r="C3037">
        <f ca="1"/>
        <v>1.7234245077470378</v>
      </c>
      <c r="D3037">
        <f ca="1"/>
        <v>0.32746123033956809</v>
      </c>
      <c r="E3037">
        <f ca="1"/>
        <v>-0.6198990141162678</v>
      </c>
      <c r="G3037">
        <f ca="1"/>
        <v>3.4616976789809444</v>
      </c>
    </row>
    <row r="3038" spans="3:7">
      <c r="C3038">
        <f ca="1"/>
        <v>0.91687831470756609</v>
      </c>
      <c r="D3038">
        <f ca="1"/>
        <v>0.81523886981173999</v>
      </c>
      <c r="E3038">
        <f ca="1"/>
        <v>0.43294469087526738</v>
      </c>
      <c r="G3038">
        <f ca="1"/>
        <v>1.6927213641899905</v>
      </c>
    </row>
    <row r="3039" spans="3:7">
      <c r="C3039">
        <f ca="1"/>
        <v>1.8434497090434447</v>
      </c>
      <c r="D3039">
        <f ca="1"/>
        <v>0.4782726541026831</v>
      </c>
      <c r="E3039">
        <f ca="1"/>
        <v>-0.26537187213588648</v>
      </c>
      <c r="G3039">
        <f ca="1"/>
        <v>3.6974737919556908</v>
      </c>
    </row>
    <row r="3040" spans="3:7">
      <c r="C3040">
        <f ca="1"/>
        <v>2.0830927390268243</v>
      </c>
      <c r="D3040">
        <f ca="1"/>
        <v>0.85865938252539675</v>
      </c>
      <c r="E3040">
        <f ca="1"/>
        <v>-1.1828582228705093</v>
      </c>
      <c r="G3040">
        <f ca="1"/>
        <v>6.4757248699975527</v>
      </c>
    </row>
    <row r="3041" spans="3:7">
      <c r="C3041">
        <f ca="1"/>
        <v>0.21978971220176732</v>
      </c>
      <c r="D3041">
        <f ca="1"/>
        <v>-1.1021014668160358</v>
      </c>
      <c r="E3041">
        <f ca="1"/>
        <v>-0.97680848673893828</v>
      </c>
      <c r="G3041">
        <f ca="1"/>
        <v>2.2170899805130082</v>
      </c>
    </row>
    <row r="3042" spans="3:7">
      <c r="C3042">
        <f ca="1"/>
        <v>-0.15086618766896787</v>
      </c>
      <c r="D3042">
        <f ca="1"/>
        <v>-1.547707965456572</v>
      </c>
      <c r="E3042">
        <f ca="1"/>
        <v>-5.877766317275347E-3</v>
      </c>
      <c r="G3042">
        <f ca="1"/>
        <v>2.4181951010563703</v>
      </c>
    </row>
    <row r="3043" spans="3:7">
      <c r="C3043">
        <f ca="1"/>
        <v>-0.5458785698324331</v>
      </c>
      <c r="D3043">
        <f ca="1"/>
        <v>0.14650574023460067</v>
      </c>
      <c r="E3043">
        <f ca="1"/>
        <v>1.02067025391403</v>
      </c>
      <c r="G3043">
        <f ca="1"/>
        <v>1.3612151121489211</v>
      </c>
    </row>
    <row r="3044" spans="3:7">
      <c r="C3044">
        <f ca="1"/>
        <v>0.36200463535393707</v>
      </c>
      <c r="D3044">
        <f ca="1"/>
        <v>-0.42580617197710013</v>
      </c>
      <c r="E3044">
        <f ca="1"/>
        <v>1.4121092138069427</v>
      </c>
      <c r="G3044">
        <f ca="1"/>
        <v>2.3064106838299905</v>
      </c>
    </row>
    <row r="3045" spans="3:7">
      <c r="C3045">
        <f ca="1"/>
        <v>-0.9562168981988165</v>
      </c>
      <c r="D3045">
        <f ca="1"/>
        <v>-0.69825663845972208</v>
      </c>
      <c r="E3045">
        <f ca="1"/>
        <v>-2.0289965165548538</v>
      </c>
      <c r="G3045">
        <f ca="1"/>
        <v>5.5187399537457678</v>
      </c>
    </row>
    <row r="3046" spans="3:7">
      <c r="C3046">
        <f ca="1"/>
        <v>1.3406408071228915</v>
      </c>
      <c r="D3046">
        <f ca="1"/>
        <v>-1.2909406557856431</v>
      </c>
      <c r="E3046">
        <f ca="1"/>
        <v>1.0592193446051004</v>
      </c>
      <c r="G3046">
        <f ca="1"/>
        <v>4.5857911704690428</v>
      </c>
    </row>
    <row r="3047" spans="3:7">
      <c r="C3047">
        <f ca="1"/>
        <v>-0.90118541827524645</v>
      </c>
      <c r="D3047">
        <f ca="1"/>
        <v>2.3089299784651296E-2</v>
      </c>
      <c r="E3047">
        <f ca="1"/>
        <v>1.5977339529610581</v>
      </c>
      <c r="G3047">
        <f ca="1"/>
        <v>3.3654220583210455</v>
      </c>
    </row>
    <row r="3048" spans="3:7">
      <c r="C3048">
        <f ca="1"/>
        <v>0.18702951838817913</v>
      </c>
      <c r="D3048">
        <f ca="1"/>
        <v>-0.7095838406535202</v>
      </c>
      <c r="E3048">
        <f ca="1"/>
        <v>2.3152032050499161</v>
      </c>
      <c r="G3048">
        <f ca="1"/>
        <v>5.8986551483385181</v>
      </c>
    </row>
    <row r="3049" spans="3:7">
      <c r="C3049">
        <f ca="1"/>
        <v>0.78819401813164325</v>
      </c>
      <c r="D3049">
        <f ca="1"/>
        <v>-0.26078949358952297</v>
      </c>
      <c r="E3049">
        <f ca="1"/>
        <v>-0.66072322162254249</v>
      </c>
      <c r="G3049">
        <f ca="1"/>
        <v>1.1258161457764564</v>
      </c>
    </row>
    <row r="3050" spans="3:7">
      <c r="C3050">
        <f ca="1"/>
        <v>-0.46275949001335404</v>
      </c>
      <c r="D3050">
        <f ca="1"/>
        <v>-0.74223724469237617</v>
      </c>
      <c r="E3050">
        <f ca="1"/>
        <v>-1.3457146916564671</v>
      </c>
      <c r="G3050">
        <f ca="1"/>
        <v>2.5760105043460104</v>
      </c>
    </row>
    <row r="3051" spans="3:7">
      <c r="C3051">
        <f ca="1"/>
        <v>-1.7182088249881422</v>
      </c>
      <c r="D3051">
        <f ca="1"/>
        <v>-0.56513053044762585</v>
      </c>
      <c r="E3051">
        <f ca="1"/>
        <v>0.62235931277038747</v>
      </c>
      <c r="G3051">
        <f ca="1"/>
        <v>3.6589451969031761</v>
      </c>
    </row>
    <row r="3052" spans="3:7">
      <c r="C3052">
        <f ca="1"/>
        <v>-1.1392210612359637</v>
      </c>
      <c r="D3052">
        <f ca="1"/>
        <v>1.3452822603907626</v>
      </c>
      <c r="E3052">
        <f ca="1"/>
        <v>1.8231774279704593</v>
      </c>
      <c r="G3052">
        <f ca="1"/>
        <v>6.4315849203466549</v>
      </c>
    </row>
    <row r="3053" spans="3:7">
      <c r="C3053">
        <f ca="1"/>
        <v>0.6023407722102706</v>
      </c>
      <c r="D3053">
        <f ca="1"/>
        <v>1.700622536202526</v>
      </c>
      <c r="E3053">
        <f ca="1"/>
        <v>0.85823308535919096</v>
      </c>
      <c r="G3053">
        <f ca="1"/>
        <v>3.9914954453119336</v>
      </c>
    </row>
    <row r="3054" spans="3:7">
      <c r="C3054">
        <f ca="1"/>
        <v>-0.72186351622161204</v>
      </c>
      <c r="D3054">
        <f ca="1"/>
        <v>-0.35415882035068852</v>
      </c>
      <c r="E3054">
        <f ca="1"/>
        <v>0.48937918938015951</v>
      </c>
      <c r="G3054">
        <f ca="1"/>
        <v>0.88600739708240284</v>
      </c>
    </row>
    <row r="3055" spans="3:7">
      <c r="C3055">
        <f ca="1"/>
        <v>-0.96975186978645844</v>
      </c>
      <c r="D3055">
        <f ca="1"/>
        <v>0.27517201722131057</v>
      </c>
      <c r="E3055">
        <f ca="1"/>
        <v>-0.49956890314906943</v>
      </c>
      <c r="G3055">
        <f ca="1"/>
        <v>1.2657074170095417</v>
      </c>
    </row>
    <row r="3056" spans="3:7">
      <c r="C3056">
        <f ca="1"/>
        <v>0.24958606449920154</v>
      </c>
      <c r="D3056">
        <f ca="1"/>
        <v>0.53197184029959277</v>
      </c>
      <c r="E3056">
        <f ca="1"/>
        <v>-0.51684874415074866</v>
      </c>
      <c r="G3056">
        <f ca="1"/>
        <v>0.61241986679414107</v>
      </c>
    </row>
    <row r="3057" spans="3:7">
      <c r="C3057">
        <f ca="1"/>
        <v>-1.1037085750390125</v>
      </c>
      <c r="D3057">
        <f ca="1"/>
        <v>0.89962008801321292</v>
      </c>
      <c r="E3057">
        <f ca="1"/>
        <v>-0.34774939548740152</v>
      </c>
      <c r="G3057">
        <f ca="1"/>
        <v>2.1484185634334017</v>
      </c>
    </row>
    <row r="3058" spans="3:7">
      <c r="C3058">
        <f ca="1"/>
        <v>1.3221956718359846</v>
      </c>
      <c r="D3058">
        <f ca="1"/>
        <v>0.67844085347666572</v>
      </c>
      <c r="E3058">
        <f ca="1"/>
        <v>1.0012333119787327</v>
      </c>
      <c r="G3058">
        <f ca="1"/>
        <v>3.2109515313038597</v>
      </c>
    </row>
    <row r="3059" spans="3:7">
      <c r="C3059">
        <f ca="1"/>
        <v>-0.12695813386869997</v>
      </c>
      <c r="D3059">
        <f ca="1"/>
        <v>-0.86460915251904591</v>
      </c>
      <c r="E3059">
        <f ca="1"/>
        <v>0.74078239810350655</v>
      </c>
      <c r="G3059">
        <f ca="1"/>
        <v>1.3124259157151075</v>
      </c>
    </row>
    <row r="3060" spans="3:7">
      <c r="C3060">
        <f ca="1"/>
        <v>0.71085235675626057</v>
      </c>
      <c r="D3060">
        <f ca="1"/>
        <v>-2.19619938832997</v>
      </c>
      <c r="E3060">
        <f ca="1"/>
        <v>-0.41440185558227277</v>
      </c>
      <c r="G3060">
        <f ca="1"/>
        <v>5.5003317243168945</v>
      </c>
    </row>
    <row r="3061" spans="3:7">
      <c r="C3061">
        <f ca="1"/>
        <v>7.0923955235184272E-2</v>
      </c>
      <c r="D3061">
        <f ca="1"/>
        <v>8.778841020405119E-2</v>
      </c>
      <c r="E3061">
        <f ca="1"/>
        <v>0.82422351097542945</v>
      </c>
      <c r="G3061">
        <f ca="1"/>
        <v>0.69208140843702104</v>
      </c>
    </row>
    <row r="3062" spans="3:7">
      <c r="C3062">
        <f ca="1"/>
        <v>-0.61126566093692103</v>
      </c>
      <c r="D3062">
        <f ca="1"/>
        <v>0.42488338220586336</v>
      </c>
      <c r="E3062">
        <f ca="1"/>
        <v>-1.1523649967893508</v>
      </c>
      <c r="G3062">
        <f ca="1"/>
        <v>1.882116682540665</v>
      </c>
    </row>
    <row r="3063" spans="3:7">
      <c r="C3063">
        <f ca="1"/>
        <v>1.9727638891289905</v>
      </c>
      <c r="D3063">
        <f ca="1"/>
        <v>0.72897578113995098</v>
      </c>
      <c r="E3063">
        <f ca="1"/>
        <v>-0.78206293889194189</v>
      </c>
      <c r="G3063">
        <f ca="1"/>
        <v>5.0348254921282427</v>
      </c>
    </row>
    <row r="3064" spans="3:7">
      <c r="C3064">
        <f ca="1"/>
        <v>0.16656031320649486</v>
      </c>
      <c r="D3064">
        <f ca="1"/>
        <v>-1.2417941135571675</v>
      </c>
      <c r="E3064">
        <f ca="1"/>
        <v>-0.26393064831012286</v>
      </c>
      <c r="G3064">
        <f ca="1"/>
        <v>1.6394543455180788</v>
      </c>
    </row>
    <row r="3065" spans="3:7">
      <c r="C3065">
        <f ca="1"/>
        <v>-3.5056976013827238E-4</v>
      </c>
      <c r="D3065">
        <f ca="1"/>
        <v>-0.76548524777055715</v>
      </c>
      <c r="E3065">
        <f ca="1"/>
        <v>-0.24949899880664955</v>
      </c>
      <c r="G3065">
        <f ca="1"/>
        <v>0.64821753785902847</v>
      </c>
    </row>
    <row r="3066" spans="3:7">
      <c r="C3066">
        <f ca="1"/>
        <v>-1.8946879240503482</v>
      </c>
      <c r="D3066">
        <f ca="1"/>
        <v>0.38276345376036019</v>
      </c>
      <c r="E3066">
        <f ca="1"/>
        <v>-0.14905648684856077</v>
      </c>
      <c r="G3066">
        <f ca="1"/>
        <v>3.7585680273484128</v>
      </c>
    </row>
    <row r="3067" spans="3:7">
      <c r="C3067">
        <f ca="1"/>
        <v>-0.15644542705499043</v>
      </c>
      <c r="D3067">
        <f ca="1"/>
        <v>0.2229506783613639</v>
      </c>
      <c r="E3067">
        <f ca="1"/>
        <v>1.4327598527004961</v>
      </c>
      <c r="G3067">
        <f ca="1"/>
        <v>2.126982972138558</v>
      </c>
    </row>
    <row r="3068" spans="3:7">
      <c r="C3068">
        <f ca="1"/>
        <v>6.6974329027768342E-2</v>
      </c>
      <c r="D3068">
        <f ca="1"/>
        <v>1.5743535714156269</v>
      </c>
      <c r="E3068">
        <f ca="1"/>
        <v>0.33096093766727541</v>
      </c>
      <c r="G3068">
        <f ca="1"/>
        <v>2.5926098708394614</v>
      </c>
    </row>
    <row r="3069" spans="3:7">
      <c r="C3069">
        <f ca="1"/>
        <v>-0.27318140195616208</v>
      </c>
      <c r="D3069">
        <f ca="1"/>
        <v>-1.9829699193672368</v>
      </c>
      <c r="E3069">
        <f ca="1"/>
        <v>8.5621794950882027E-2</v>
      </c>
      <c r="G3069">
        <f ca="1"/>
        <v>4.0141288712606507</v>
      </c>
    </row>
    <row r="3070" spans="3:7">
      <c r="C3070">
        <f ca="1"/>
        <v>5.6577528942880016E-3</v>
      </c>
      <c r="D3070">
        <f ca="1"/>
        <v>0.68502987454466313</v>
      </c>
      <c r="E3070">
        <f ca="1"/>
        <v>0.11321215283375596</v>
      </c>
      <c r="G3070">
        <f ca="1"/>
        <v>0.48211493073574346</v>
      </c>
    </row>
    <row r="3071" spans="3:7">
      <c r="C3071">
        <f ca="1"/>
        <v>0.30887771054921476</v>
      </c>
      <c r="D3071">
        <f ca="1"/>
        <v>-2.238033040346453</v>
      </c>
      <c r="E3071">
        <f ca="1"/>
        <v>-0.84830473296125886</v>
      </c>
      <c r="G3071">
        <f ca="1"/>
        <v>5.8238182497209845</v>
      </c>
    </row>
    <row r="3072" spans="3:7">
      <c r="C3072">
        <f ca="1"/>
        <v>1.4022105979070976</v>
      </c>
      <c r="D3072">
        <f ca="1"/>
        <v>-1.0492527901691389</v>
      </c>
      <c r="E3072">
        <f ca="1"/>
        <v>0.19103113706560673</v>
      </c>
      <c r="G3072">
        <f ca="1"/>
        <v>3.1036188738892818</v>
      </c>
    </row>
    <row r="3073" spans="3:7">
      <c r="C3073">
        <f ca="1"/>
        <v>1.4325909487412116</v>
      </c>
      <c r="D3073">
        <f ca="1"/>
        <v>0.99319338103467181</v>
      </c>
      <c r="E3073">
        <f ca="1"/>
        <v>1.2924098513919235</v>
      </c>
      <c r="G3073">
        <f ca="1"/>
        <v>4.7090731425212216</v>
      </c>
    </row>
    <row r="3074" spans="3:7">
      <c r="C3074">
        <f ca="1"/>
        <v>-0.42857166965662702</v>
      </c>
      <c r="D3074">
        <f ca="1"/>
        <v>0.74431872998714865</v>
      </c>
      <c r="E3074">
        <f ca="1"/>
        <v>1.3867654205967268</v>
      </c>
      <c r="G3074">
        <f ca="1"/>
        <v>2.6608023796047675</v>
      </c>
    </row>
    <row r="3075" spans="3:7">
      <c r="C3075">
        <f ca="1"/>
        <v>-0.57675114444320685</v>
      </c>
      <c r="D3075">
        <f ca="1"/>
        <v>-0.93335828010725819</v>
      </c>
      <c r="E3075">
        <f ca="1"/>
        <v>1.2870093316813394</v>
      </c>
      <c r="G3075">
        <f ca="1"/>
        <v>2.8601925814961757</v>
      </c>
    </row>
    <row r="3076" spans="3:7">
      <c r="C3076">
        <f ca="1"/>
        <v>0.33204569672487788</v>
      </c>
      <c r="D3076">
        <f ca="1"/>
        <v>0.44947096946820675</v>
      </c>
      <c r="E3076">
        <f ca="1"/>
        <v>0.53621845392900747</v>
      </c>
      <c r="G3076">
        <f ca="1"/>
        <v>0.59980872744221436</v>
      </c>
    </row>
    <row r="3077" spans="3:7">
      <c r="C3077">
        <f ca="1"/>
        <v>0.17695648816036313</v>
      </c>
      <c r="D3077">
        <f ca="1"/>
        <v>-1.5861657704329974</v>
      </c>
      <c r="E3077">
        <f ca="1"/>
        <v>1.6284673056752395</v>
      </c>
      <c r="G3077">
        <f ca="1"/>
        <v>5.1991412156485275</v>
      </c>
    </row>
    <row r="3078" spans="3:7">
      <c r="C3078">
        <f ca="1"/>
        <v>-0.15513882357071662</v>
      </c>
      <c r="D3078">
        <f ca="1"/>
        <v>7.8479321466921562E-2</v>
      </c>
      <c r="E3078">
        <f ca="1"/>
        <v>-1.0311654940950601</v>
      </c>
      <c r="G3078">
        <f ca="1"/>
        <v>1.0935293346891237</v>
      </c>
    </row>
    <row r="3079" spans="3:7">
      <c r="C3079">
        <f ca="1"/>
        <v>1.3552311758801983</v>
      </c>
      <c r="D3079">
        <f ca="1"/>
        <v>0.8425374041460324</v>
      </c>
      <c r="E3079">
        <f ca="1"/>
        <v>1.509360115833706</v>
      </c>
      <c r="G3079">
        <f ca="1"/>
        <v>4.8246887767322981</v>
      </c>
    </row>
    <row r="3080" spans="3:7">
      <c r="C3080">
        <f ca="1"/>
        <v>4.9927131923459621E-2</v>
      </c>
      <c r="D3080">
        <f ca="1"/>
        <v>-0.53916055665489004</v>
      </c>
      <c r="E3080">
        <f ca="1"/>
        <v>-1.0770059266377374</v>
      </c>
      <c r="G3080">
        <f ca="1"/>
        <v>1.453128590367325</v>
      </c>
    </row>
    <row r="3081" spans="3:7">
      <c r="C3081">
        <f ca="1"/>
        <v>-0.2625243467520853</v>
      </c>
      <c r="D3081">
        <f ca="1"/>
        <v>0.12101590171679787</v>
      </c>
      <c r="E3081">
        <f ca="1"/>
        <v>-1.3314840889266732</v>
      </c>
      <c r="G3081">
        <f ca="1"/>
        <v>1.8564137601708319</v>
      </c>
    </row>
    <row r="3082" spans="3:7">
      <c r="C3082">
        <f ca="1"/>
        <v>1.1329300669094613</v>
      </c>
      <c r="D3082">
        <f ca="1"/>
        <v>-1.4523087893430819</v>
      </c>
      <c r="E3082">
        <f ca="1"/>
        <v>-0.2974509214447234</v>
      </c>
      <c r="G3082">
        <f ca="1"/>
        <v>3.4812084067789599</v>
      </c>
    </row>
    <row r="3083" spans="3:7">
      <c r="C3083">
        <f ca="1"/>
        <v>-0.38547721400720819</v>
      </c>
      <c r="D3083">
        <f ca="1"/>
        <v>-0.90565173752755124</v>
      </c>
      <c r="E3083">
        <f ca="1"/>
        <v>-0.4061283887736572</v>
      </c>
      <c r="G3083">
        <f ca="1"/>
        <v>1.1337380203733183</v>
      </c>
    </row>
    <row r="3084" spans="3:7">
      <c r="C3084">
        <f ca="1"/>
        <v>1.4230532931285276</v>
      </c>
      <c r="D3084">
        <f ca="1"/>
        <v>-1.4125533185445653E-2</v>
      </c>
      <c r="E3084">
        <f ca="1"/>
        <v>-0.48129388234763787</v>
      </c>
      <c r="G3084">
        <f ca="1"/>
        <v>2.2569240069569818</v>
      </c>
    </row>
    <row r="3085" spans="3:7">
      <c r="C3085">
        <f ca="1"/>
        <v>-0.29228602399764081</v>
      </c>
      <c r="D3085">
        <f ca="1"/>
        <v>1.5822835466476348</v>
      </c>
      <c r="E3085">
        <f ca="1"/>
        <v>2.8136317094743077</v>
      </c>
      <c r="G3085">
        <f ca="1"/>
        <v>10.505575738375482</v>
      </c>
    </row>
    <row r="3086" spans="3:7">
      <c r="C3086">
        <f ca="1"/>
        <v>0.7882055068189352</v>
      </c>
      <c r="D3086">
        <f ca="1"/>
        <v>-0.91990251412703938</v>
      </c>
      <c r="E3086">
        <f ca="1"/>
        <v>-1.788078062099437</v>
      </c>
      <c r="G3086">
        <f ca="1"/>
        <v>4.66471171263822</v>
      </c>
    </row>
    <row r="3087" spans="3:7">
      <c r="C3087">
        <f ca="1"/>
        <v>2.6649888597778251</v>
      </c>
      <c r="D3087">
        <f ca="1"/>
        <v>1.2025346927756781</v>
      </c>
      <c r="E3087">
        <f ca="1"/>
        <v>-0.60653796829799445</v>
      </c>
      <c r="G3087">
        <f ca="1"/>
        <v>8.9161436170560648</v>
      </c>
    </row>
    <row r="3088" spans="3:7">
      <c r="C3088">
        <f ca="1"/>
        <v>1.0771617644041023</v>
      </c>
      <c r="D3088">
        <f ca="1"/>
        <v>-0.40454998990772323</v>
      </c>
      <c r="E3088">
        <f ca="1"/>
        <v>1.6564308321599344</v>
      </c>
      <c r="G3088">
        <f ca="1"/>
        <v>4.0677012627585505</v>
      </c>
    </row>
    <row r="3089" spans="3:7">
      <c r="C3089">
        <f ca="1"/>
        <v>9.4692686785614585E-2</v>
      </c>
      <c r="D3089">
        <f ca="1"/>
        <v>-0.45347728410458837</v>
      </c>
      <c r="E3089">
        <f ca="1"/>
        <v>0.39275744053336142</v>
      </c>
      <c r="G3089">
        <f ca="1"/>
        <v>0.36886675922386902</v>
      </c>
    </row>
    <row r="3090" spans="3:7">
      <c r="C3090">
        <f ca="1"/>
        <v>1.1584877122792521</v>
      </c>
      <c r="D3090">
        <f ca="1"/>
        <v>0.81569651404387467</v>
      </c>
      <c r="E3090">
        <f ca="1"/>
        <v>-1.0681567461515558</v>
      </c>
      <c r="G3090">
        <f ca="1"/>
        <v>3.1484134168744231</v>
      </c>
    </row>
    <row r="3091" spans="3:7">
      <c r="C3091">
        <f ca="1"/>
        <v>-1.0933579812407419</v>
      </c>
      <c r="D3091">
        <f ca="1"/>
        <v>-1.8336488998139511</v>
      </c>
      <c r="E3091">
        <f ca="1"/>
        <v>8.7581317810419584E-2</v>
      </c>
      <c r="G3091">
        <f ca="1"/>
        <v>4.5653704501611534</v>
      </c>
    </row>
    <row r="3092" spans="3:7">
      <c r="C3092">
        <f ca="1"/>
        <v>7.8891482771269145E-2</v>
      </c>
      <c r="D3092">
        <f ca="1"/>
        <v>0.44834245802296152</v>
      </c>
      <c r="E3092">
        <f ca="1"/>
        <v>-1.7304643507859707</v>
      </c>
      <c r="G3092">
        <f ca="1"/>
        <v>3.2017416950610316</v>
      </c>
    </row>
    <row r="3093" spans="3:7">
      <c r="C3093">
        <f ca="1"/>
        <v>0.93054183530602186</v>
      </c>
      <c r="D3093">
        <f ca="1"/>
        <v>0.47620583158331081</v>
      </c>
      <c r="E3093">
        <f ca="1"/>
        <v>0.56756635020092283</v>
      </c>
      <c r="G3093">
        <f ca="1"/>
        <v>1.4148116631690486</v>
      </c>
    </row>
    <row r="3094" spans="3:7">
      <c r="C3094">
        <f ca="1"/>
        <v>-0.45754110419267635</v>
      </c>
      <c r="D3094">
        <f ca="1"/>
        <v>-0.16094154861723328</v>
      </c>
      <c r="E3094">
        <f ca="1"/>
        <v>-0.3411679532623324</v>
      </c>
      <c r="G3094">
        <f ca="1"/>
        <v>0.35164161643037578</v>
      </c>
    </row>
    <row r="3095" spans="3:7">
      <c r="C3095">
        <f ca="1"/>
        <v>-0.91809357850561635</v>
      </c>
      <c r="D3095">
        <f ca="1"/>
        <v>-0.54162245944552045</v>
      </c>
      <c r="E3095">
        <f ca="1"/>
        <v>-2.5153992236039731</v>
      </c>
      <c r="G3095">
        <f ca="1"/>
        <v>7.463483961576534</v>
      </c>
    </row>
    <row r="3096" spans="3:7">
      <c r="C3096">
        <f ca="1"/>
        <v>1.3122532374625533</v>
      </c>
      <c r="D3096">
        <f ca="1"/>
        <v>1.1276190202252943</v>
      </c>
      <c r="E3096">
        <f ca="1"/>
        <v>1.3149269863850489E-2</v>
      </c>
      <c r="G3096">
        <f ca="1"/>
        <v>2.9937061173027573</v>
      </c>
    </row>
    <row r="3097" spans="3:7">
      <c r="C3097">
        <f ca="1"/>
        <v>-0.7684638988498852</v>
      </c>
      <c r="D3097">
        <f ca="1"/>
        <v>-0.93308792302215515</v>
      </c>
      <c r="E3097">
        <f ca="1"/>
        <v>5.9283907763785386E-2</v>
      </c>
      <c r="G3097">
        <f ca="1"/>
        <v>1.4647044176451109</v>
      </c>
    </row>
    <row r="3098" spans="3:7">
      <c r="C3098">
        <f ca="1"/>
        <v>0.78357199627677387</v>
      </c>
      <c r="D3098">
        <f ca="1"/>
        <v>-0.60714190013670244</v>
      </c>
      <c r="E3098">
        <f ca="1"/>
        <v>-0.43180690054837517</v>
      </c>
      <c r="G3098">
        <f ca="1"/>
        <v>1.1690635596119685</v>
      </c>
    </row>
    <row r="3099" spans="3:7">
      <c r="C3099">
        <f ca="1"/>
        <v>0.64311277697580849</v>
      </c>
      <c r="D3099">
        <f ca="1"/>
        <v>0.39565716554900215</v>
      </c>
      <c r="E3099">
        <f ca="1"/>
        <v>-0.47581144495768352</v>
      </c>
      <c r="G3099">
        <f ca="1"/>
        <v>0.79653516771252519</v>
      </c>
    </row>
    <row r="3100" spans="3:7">
      <c r="C3100">
        <f ca="1"/>
        <v>1.083779295180445</v>
      </c>
      <c r="D3100">
        <f ca="1"/>
        <v>-0.24229842501717561</v>
      </c>
      <c r="E3100">
        <f ca="1"/>
        <v>0.57129913749283812</v>
      </c>
      <c r="G3100">
        <f ca="1"/>
        <v>1.5596687919276868</v>
      </c>
    </row>
    <row r="3101" spans="3:7">
      <c r="C3101">
        <f ca="1"/>
        <v>-1.1495095014642407</v>
      </c>
      <c r="D3101">
        <f ca="1"/>
        <v>0.74760419008385637</v>
      </c>
      <c r="E3101">
        <f ca="1"/>
        <v>1.0260474401550079</v>
      </c>
      <c r="G3101">
        <f ca="1"/>
        <v>2.933057468436151</v>
      </c>
    </row>
    <row r="3102" spans="3:7">
      <c r="C3102">
        <f ca="1"/>
        <v>1.1209258723264748</v>
      </c>
      <c r="D3102">
        <f ca="1"/>
        <v>-1.8659398531069806</v>
      </c>
      <c r="E3102">
        <f ca="1"/>
        <v>-8.6248872317212219E-2</v>
      </c>
      <c r="G3102">
        <f ca="1"/>
        <v>4.7456452146397599</v>
      </c>
    </row>
    <row r="3103" spans="3:7">
      <c r="C3103">
        <f ca="1"/>
        <v>-0.96143661758459575</v>
      </c>
      <c r="D3103">
        <f ca="1"/>
        <v>6.7093320992140257E-2</v>
      </c>
      <c r="E3103">
        <f ca="1"/>
        <v>4.373990857935834E-2</v>
      </c>
      <c r="G3103">
        <f ca="1"/>
        <v>0.93077506295679324</v>
      </c>
    </row>
    <row r="3104" spans="3:7">
      <c r="C3104">
        <f ca="1"/>
        <v>-7.1469384144600148E-2</v>
      </c>
      <c r="D3104">
        <f ca="1"/>
        <v>-0.88817137683935743</v>
      </c>
      <c r="E3104">
        <f ca="1"/>
        <v>0.62511530782443159</v>
      </c>
      <c r="G3104">
        <f ca="1"/>
        <v>1.1847254155831621</v>
      </c>
    </row>
    <row r="3105" spans="3:7">
      <c r="C3105">
        <f ca="1"/>
        <v>-0.57208782891177656</v>
      </c>
      <c r="D3105">
        <f ca="1"/>
        <v>-1.5207054176146266</v>
      </c>
      <c r="E3105">
        <f ca="1"/>
        <v>0.88605606039754603</v>
      </c>
      <c r="G3105">
        <f ca="1"/>
        <v>3.4249247933186862</v>
      </c>
    </row>
    <row r="3106" spans="3:7">
      <c r="C3106">
        <f ca="1"/>
        <v>-0.17635653531476794</v>
      </c>
      <c r="D3106">
        <f ca="1"/>
        <v>1.4887489290015745</v>
      </c>
      <c r="E3106">
        <f ca="1"/>
        <v>0.36778906858956595</v>
      </c>
      <c r="G3106">
        <f ca="1"/>
        <v>2.3827438001255445</v>
      </c>
    </row>
    <row r="3107" spans="3:7">
      <c r="C3107">
        <f ca="1"/>
        <v>0.56925287097690014</v>
      </c>
      <c r="D3107">
        <f ca="1"/>
        <v>-0.64171216964135325</v>
      </c>
      <c r="E3107">
        <f ca="1"/>
        <v>-0.64534338540491021</v>
      </c>
      <c r="G3107">
        <f ca="1"/>
        <v>1.1523114248671267</v>
      </c>
    </row>
    <row r="3108" spans="3:7">
      <c r="C3108">
        <f ca="1"/>
        <v>-1.870676730824401</v>
      </c>
      <c r="D3108">
        <f ca="1"/>
        <v>-0.21548337890239425</v>
      </c>
      <c r="E3108">
        <f ca="1"/>
        <v>0.38540963760935648</v>
      </c>
      <c r="G3108">
        <f ca="1"/>
        <v>3.6944051065932371</v>
      </c>
    </row>
    <row r="3109" spans="3:7">
      <c r="C3109">
        <f ca="1"/>
        <v>0.180125732188951</v>
      </c>
      <c r="D3109">
        <f ca="1"/>
        <v>-1.8533097195272077</v>
      </c>
      <c r="E3109">
        <f ca="1"/>
        <v>1.2644669494736682</v>
      </c>
      <c r="G3109">
        <f ca="1"/>
        <v>5.0660788622018673</v>
      </c>
    </row>
    <row r="3110" spans="3:7">
      <c r="C3110">
        <f ca="1"/>
        <v>-0.6267303261774384</v>
      </c>
      <c r="D3110">
        <f ca="1"/>
        <v>0.53092960980303427</v>
      </c>
      <c r="E3110">
        <f ca="1"/>
        <v>-0.47745777655449739</v>
      </c>
      <c r="G3110">
        <f ca="1"/>
        <v>0.9026430807084449</v>
      </c>
    </row>
    <row r="3111" spans="3:7">
      <c r="C3111">
        <f ca="1"/>
        <v>0.17485615578098201</v>
      </c>
      <c r="D3111">
        <f ca="1"/>
        <v>1.3376333533475246</v>
      </c>
      <c r="E3111">
        <f ca="1"/>
        <v>-0.24192316566520544</v>
      </c>
      <c r="G3111">
        <f ca="1"/>
        <v>1.8783644812877212</v>
      </c>
    </row>
    <row r="3112" spans="3:7">
      <c r="C3112">
        <f ca="1"/>
        <v>-0.60560176915537733</v>
      </c>
      <c r="D3112">
        <f ca="1"/>
        <v>0.6625010436987987</v>
      </c>
      <c r="E3112">
        <f ca="1"/>
        <v>2.19611194989934E-2</v>
      </c>
      <c r="G3112">
        <f ca="1"/>
        <v>0.80614342647576964</v>
      </c>
    </row>
    <row r="3113" spans="3:7">
      <c r="C3113">
        <f ca="1"/>
        <v>-0.17283946402788217</v>
      </c>
      <c r="D3113">
        <f ca="1"/>
        <v>0.72450045420925469</v>
      </c>
      <c r="E3113">
        <f ca="1"/>
        <v>1.2269223979631044E-2</v>
      </c>
      <c r="G3113">
        <f ca="1"/>
        <v>0.55492492233192425</v>
      </c>
    </row>
    <row r="3114" spans="3:7">
      <c r="C3114">
        <f ca="1"/>
        <v>-3.6665221654569369E-2</v>
      </c>
      <c r="D3114">
        <f ca="1"/>
        <v>1.3107765177592614</v>
      </c>
      <c r="E3114">
        <f ca="1"/>
        <v>0.2789545004493984</v>
      </c>
      <c r="G3114">
        <f ca="1"/>
        <v>1.7972950313090472</v>
      </c>
    </row>
    <row r="3115" spans="3:7">
      <c r="C3115">
        <f ca="1"/>
        <v>0.89045032227152887</v>
      </c>
      <c r="D3115">
        <f ca="1"/>
        <v>-0.90640839330922429</v>
      </c>
      <c r="E3115">
        <f ca="1"/>
        <v>-0.40706819805309236</v>
      </c>
      <c r="G3115">
        <f ca="1"/>
        <v>1.7801824697610706</v>
      </c>
    </row>
    <row r="3116" spans="3:7">
      <c r="C3116">
        <f ca="1"/>
        <v>1.7996419322849573</v>
      </c>
      <c r="D3116">
        <f ca="1"/>
        <v>-1.5154097081877633</v>
      </c>
      <c r="E3116">
        <f ca="1"/>
        <v>1.2724222289206621</v>
      </c>
      <c r="G3116">
        <f ca="1"/>
        <v>7.1542359967594829</v>
      </c>
    </row>
    <row r="3117" spans="3:7">
      <c r="C3117">
        <f ca="1"/>
        <v>0.17555680103544358</v>
      </c>
      <c r="D3117">
        <f ca="1"/>
        <v>-0.78563962932262899</v>
      </c>
      <c r="E3117">
        <f ca="1"/>
        <v>6.5127170313264357E-2</v>
      </c>
      <c r="G3117">
        <f ca="1"/>
        <v>0.65229136586500913</v>
      </c>
    </row>
    <row r="3118" spans="3:7">
      <c r="C3118">
        <f ca="1"/>
        <v>0.5478938271721292</v>
      </c>
      <c r="D3118">
        <f ca="1"/>
        <v>-0.32291029124586912</v>
      </c>
      <c r="E3118">
        <f ca="1"/>
        <v>0.51827067472511568</v>
      </c>
      <c r="G3118">
        <f ca="1"/>
        <v>0.67306319432584161</v>
      </c>
    </row>
    <row r="3119" spans="3:7">
      <c r="C3119">
        <f ca="1"/>
        <v>-1.0421198689365447</v>
      </c>
      <c r="D3119">
        <f ca="1"/>
        <v>0.58913366192595362</v>
      </c>
      <c r="E3119">
        <f ca="1"/>
        <v>-5.9558448515089964E-2</v>
      </c>
      <c r="G3119">
        <f ca="1"/>
        <v>1.4366395016361295</v>
      </c>
    </row>
    <row r="3120" spans="3:7">
      <c r="C3120">
        <f ca="1"/>
        <v>0.10934173826721257</v>
      </c>
      <c r="D3120">
        <f ca="1"/>
        <v>1.2083902348514417</v>
      </c>
      <c r="E3120">
        <f ca="1"/>
        <v>-1.5523261398714641</v>
      </c>
      <c r="G3120">
        <f ca="1"/>
        <v>3.8818790199398583</v>
      </c>
    </row>
    <row r="3121" spans="3:7">
      <c r="C3121">
        <f ca="1"/>
        <v>1.1175930610982268</v>
      </c>
      <c r="D3121">
        <f ca="1"/>
        <v>-2.1131070579750202</v>
      </c>
      <c r="E3121">
        <f ca="1"/>
        <v>0.14624520071387331</v>
      </c>
      <c r="G3121">
        <f ca="1"/>
        <v>5.7356233474105913</v>
      </c>
    </row>
    <row r="3122" spans="3:7">
      <c r="C3122">
        <f ca="1"/>
        <v>0.46675676783680814</v>
      </c>
      <c r="D3122">
        <f ca="1"/>
        <v>-1.7890317386399097</v>
      </c>
      <c r="E3122">
        <f ca="1"/>
        <v>0.58460972202141293</v>
      </c>
      <c r="G3122">
        <f ca="1"/>
        <v>3.7602649692643557</v>
      </c>
    </row>
    <row r="3123" spans="3:7">
      <c r="C3123">
        <f ca="1"/>
        <v>0.87490733223365236</v>
      </c>
      <c r="D3123">
        <f ca="1"/>
        <v>0.20687732596970512</v>
      </c>
      <c r="E3123">
        <f ca="1"/>
        <v>0.33969609047067612</v>
      </c>
      <c r="G3123">
        <f ca="1"/>
        <v>0.92365450187764386</v>
      </c>
    </row>
    <row r="3124" spans="3:7">
      <c r="C3124">
        <f ca="1"/>
        <v>-0.28698101065915382</v>
      </c>
      <c r="D3124">
        <f ca="1"/>
        <v>-0.8973548031502061</v>
      </c>
      <c r="E3124">
        <f ca="1"/>
        <v>1.1534696452201778</v>
      </c>
      <c r="G3124">
        <f ca="1"/>
        <v>2.2180959656600576</v>
      </c>
    </row>
    <row r="3125" spans="3:7">
      <c r="C3125">
        <f ca="1"/>
        <v>-0.71859938400503975</v>
      </c>
      <c r="D3125">
        <f ca="1"/>
        <v>-0.29150035043902978</v>
      </c>
      <c r="E3125">
        <f ca="1"/>
        <v>0.72658543701183775</v>
      </c>
      <c r="G3125">
        <f ca="1"/>
        <v>1.1292839262761829</v>
      </c>
    </row>
    <row r="3126" spans="3:7">
      <c r="C3126">
        <f ca="1"/>
        <v>1.0194690696503783</v>
      </c>
      <c r="D3126">
        <f ca="1"/>
        <v>-1.6163984411184065</v>
      </c>
      <c r="E3126">
        <f ca="1"/>
        <v>0.80740605228038986</v>
      </c>
      <c r="G3126">
        <f ca="1"/>
        <v>4.3039656376828255</v>
      </c>
    </row>
    <row r="3127" spans="3:7">
      <c r="C3127">
        <f ca="1"/>
        <v>-0.85363809371085186</v>
      </c>
      <c r="D3127">
        <f ca="1"/>
        <v>-0.29954364472483602</v>
      </c>
      <c r="E3127">
        <f ca="1"/>
        <v>-0.17209587492800174</v>
      </c>
      <c r="G3127">
        <f ca="1"/>
        <v>0.84804138029657028</v>
      </c>
    </row>
    <row r="3128" spans="3:7">
      <c r="C3128">
        <f ca="1"/>
        <v>0.91089023658550394</v>
      </c>
      <c r="D3128">
        <f ca="1"/>
        <v>-2.2608658647674904</v>
      </c>
      <c r="E3128">
        <f ca="1"/>
        <v>-3.4484198484554536E-2</v>
      </c>
      <c r="G3128">
        <f ca="1"/>
        <v>5.9424246415227699</v>
      </c>
    </row>
    <row r="3129" spans="3:7">
      <c r="C3129">
        <f ca="1"/>
        <v>0.55503132092944441</v>
      </c>
      <c r="D3129">
        <f ca="1"/>
        <v>-0.83336463194296084</v>
      </c>
      <c r="E3129">
        <f ca="1"/>
        <v>-1.3632456330661527</v>
      </c>
      <c r="G3129">
        <f ca="1"/>
        <v>2.8609950330600458</v>
      </c>
    </row>
    <row r="3130" spans="3:7">
      <c r="C3130">
        <f ca="1"/>
        <v>-0.53523301413905999</v>
      </c>
      <c r="D3130">
        <f ca="1"/>
        <v>0.66869727935066825</v>
      </c>
      <c r="E3130">
        <f ca="1"/>
        <v>-1.3534431333537957</v>
      </c>
      <c r="G3130">
        <f ca="1"/>
        <v>2.5654387460579091</v>
      </c>
    </row>
    <row r="3131" spans="3:7">
      <c r="C3131">
        <f ca="1"/>
        <v>0.59049118451446747</v>
      </c>
      <c r="D3131">
        <f ca="1"/>
        <v>1.3133657428429009</v>
      </c>
      <c r="E3131">
        <f ca="1"/>
        <v>-0.329693085991973</v>
      </c>
      <c r="G3131">
        <f ca="1"/>
        <v>2.1823069444134942</v>
      </c>
    </row>
    <row r="3132" spans="3:7">
      <c r="C3132">
        <f ca="1"/>
        <v>-0.53550455988094425</v>
      </c>
      <c r="D3132">
        <f ca="1"/>
        <v>1.4452316999620523</v>
      </c>
      <c r="E3132">
        <f ca="1"/>
        <v>-1.0074696917442281</v>
      </c>
      <c r="G3132">
        <f ca="1"/>
        <v>3.3904549800116972</v>
      </c>
    </row>
    <row r="3133" spans="3:7">
      <c r="C3133">
        <f ca="1"/>
        <v>0.28394269410304646</v>
      </c>
      <c r="D3133">
        <f ca="1"/>
        <v>-0.26482921633809114</v>
      </c>
      <c r="E3133">
        <f ca="1"/>
        <v>0.44758562477530695</v>
      </c>
      <c r="G3133">
        <f ca="1"/>
        <v>0.35109085886624558</v>
      </c>
    </row>
    <row r="3134" spans="3:7">
      <c r="C3134">
        <f ca="1"/>
        <v>-0.58741284376046754</v>
      </c>
      <c r="D3134">
        <f ca="1"/>
        <v>0.5420862787232722</v>
      </c>
      <c r="E3134">
        <f ca="1"/>
        <v>-1.6468591194080153</v>
      </c>
      <c r="G3134">
        <f ca="1"/>
        <v>3.3510563417721482</v>
      </c>
    </row>
    <row r="3135" spans="3:7">
      <c r="C3135">
        <f ca="1"/>
        <v>-1.5364090617435779</v>
      </c>
      <c r="D3135">
        <f ca="1"/>
        <v>-6.3090921496816721E-2</v>
      </c>
      <c r="E3135">
        <f ca="1"/>
        <v>0.50963681802812211</v>
      </c>
      <c r="G3135">
        <f ca="1"/>
        <v>2.6242629556729282</v>
      </c>
    </row>
    <row r="3136" spans="3:7">
      <c r="C3136">
        <f ca="1"/>
        <v>0.17597574729210802</v>
      </c>
      <c r="D3136">
        <f ca="1"/>
        <v>0.68890422982179689</v>
      </c>
      <c r="E3136">
        <f ca="1"/>
        <v>1.101387647476112</v>
      </c>
      <c r="G3136">
        <f ca="1"/>
        <v>1.7186112515143432</v>
      </c>
    </row>
    <row r="3137" spans="3:7">
      <c r="C3137">
        <f ca="1"/>
        <v>-0.28874141226142047</v>
      </c>
      <c r="D3137">
        <f ca="1"/>
        <v>0.10828400804389741</v>
      </c>
      <c r="E3137">
        <f ca="1"/>
        <v>-0.68053778436147871</v>
      </c>
      <c r="G3137">
        <f ca="1"/>
        <v>0.55822870549640091</v>
      </c>
    </row>
    <row r="3138" spans="3:7">
      <c r="C3138">
        <f ca="1"/>
        <v>-0.19117336874270976</v>
      </c>
      <c r="D3138">
        <f ca="1"/>
        <v>-1.0684930374425416</v>
      </c>
      <c r="E3138">
        <f ca="1"/>
        <v>0.12399221455348558</v>
      </c>
      <c r="G3138">
        <f ca="1"/>
        <v>1.1935986972495023</v>
      </c>
    </row>
    <row r="3139" spans="3:7">
      <c r="C3139">
        <f ca="1"/>
        <v>0.70327290716211621</v>
      </c>
      <c r="D3139">
        <f ca="1"/>
        <v>-0.79555504148189615</v>
      </c>
      <c r="E3139">
        <f ca="1"/>
        <v>-6.8537787989143173E-2</v>
      </c>
      <c r="G3139">
        <f ca="1"/>
        <v>1.1321980343579607</v>
      </c>
    </row>
    <row r="3140" spans="3:7">
      <c r="C3140">
        <f ca="1"/>
        <v>-0.63375316468507636</v>
      </c>
      <c r="D3140">
        <f ca="1"/>
        <v>-0.31978206297863437</v>
      </c>
      <c r="E3140">
        <f ca="1"/>
        <v>5.1438327162181441E-2</v>
      </c>
      <c r="G3140">
        <f ca="1"/>
        <v>0.50654954305246447</v>
      </c>
    </row>
    <row r="3141" spans="3:7">
      <c r="C3141">
        <f ca="1"/>
        <v>-1.3646052220953002</v>
      </c>
      <c r="D3141">
        <f ca="1"/>
        <v>-0.92247960344625379</v>
      </c>
      <c r="E3141">
        <f ca="1"/>
        <v>0.35295444580344465</v>
      </c>
      <c r="G3141">
        <f ca="1"/>
        <v>2.8376928717565382</v>
      </c>
    </row>
    <row r="3142" spans="3:7">
      <c r="C3142">
        <f ca="1"/>
        <v>0.73733745616852242</v>
      </c>
      <c r="D3142">
        <f ca="1"/>
        <v>-0.63544181310144821</v>
      </c>
      <c r="E3142">
        <f ca="1"/>
        <v>0.19558803331665545</v>
      </c>
      <c r="G3142">
        <f ca="1"/>
        <v>0.98570750088340064</v>
      </c>
    </row>
    <row r="3143" spans="3:7">
      <c r="C3143">
        <f ca="1"/>
        <v>1.4137238213911412</v>
      </c>
      <c r="D3143">
        <f ca="1"/>
        <v>1.2094768203207602</v>
      </c>
      <c r="E3143">
        <f ca="1"/>
        <v>-0.56064275040698319</v>
      </c>
      <c r="G3143">
        <f ca="1"/>
        <v>3.7757695156458944</v>
      </c>
    </row>
    <row r="3144" spans="3:7">
      <c r="C3144">
        <f ca="1"/>
        <v>-2.0135708525167204</v>
      </c>
      <c r="D3144">
        <f ca="1"/>
        <v>-1.3795339753462013</v>
      </c>
      <c r="E3144">
        <f ca="1"/>
        <v>-0.33764122303288757</v>
      </c>
      <c r="G3144">
        <f ca="1"/>
        <v>6.0715831627305503</v>
      </c>
    </row>
    <row r="3145" spans="3:7">
      <c r="C3145">
        <f ca="1"/>
        <v>-0.9514734659314984</v>
      </c>
      <c r="D3145">
        <f ca="1"/>
        <v>5.8051651565325775E-2</v>
      </c>
      <c r="E3145">
        <f ca="1"/>
        <v>1.4548739523608039</v>
      </c>
      <c r="G3145">
        <f ca="1"/>
        <v>3.0253299678791068</v>
      </c>
    </row>
    <row r="3146" spans="3:7">
      <c r="C3146">
        <f ca="1"/>
        <v>0.41120477204753458</v>
      </c>
      <c r="D3146">
        <f ca="1"/>
        <v>0.34403902861425062</v>
      </c>
      <c r="E3146">
        <f ca="1"/>
        <v>-0.8608611326451765</v>
      </c>
      <c r="G3146">
        <f ca="1"/>
        <v>1.028534107463638</v>
      </c>
    </row>
    <row r="3147" spans="3:7">
      <c r="C3147">
        <f ca="1"/>
        <v>-0.22187065490367675</v>
      </c>
      <c r="D3147">
        <f ca="1"/>
        <v>-8.8829721253407712E-2</v>
      </c>
      <c r="E3147">
        <f ca="1"/>
        <v>-0.29896066975004476</v>
      </c>
      <c r="G3147">
        <f ca="1"/>
        <v>0.14649478894273987</v>
      </c>
    </row>
    <row r="3148" spans="3:7">
      <c r="C3148">
        <f ca="1"/>
        <v>-0.8131940308716572</v>
      </c>
      <c r="D3148">
        <f ca="1"/>
        <v>-0.48832303981673253</v>
      </c>
      <c r="E3148">
        <f ca="1"/>
        <v>1.9467496414746417</v>
      </c>
      <c r="G3148">
        <f ca="1"/>
        <v>4.6895780896427937</v>
      </c>
    </row>
    <row r="3149" spans="3:7">
      <c r="C3149">
        <f ca="1"/>
        <v>0.42324781100609771</v>
      </c>
      <c r="D3149">
        <f ca="1"/>
        <v>0.38469646650546185</v>
      </c>
      <c r="E3149">
        <f ca="1"/>
        <v>-1.6921909414859777</v>
      </c>
      <c r="G3149">
        <f ca="1"/>
        <v>3.1906402633104411</v>
      </c>
    </row>
    <row r="3150" spans="3:7">
      <c r="C3150">
        <f ca="1"/>
        <v>-1.8506081968777572</v>
      </c>
      <c r="D3150">
        <f ca="1"/>
        <v>-0.47773033081802546</v>
      </c>
      <c r="E3150">
        <f ca="1"/>
        <v>0.52958676788688008</v>
      </c>
      <c r="G3150">
        <f ca="1"/>
        <v>3.9334391120555163</v>
      </c>
    </row>
    <row r="3151" spans="3:7">
      <c r="C3151">
        <f ca="1"/>
        <v>-1.1934160842618378</v>
      </c>
      <c r="D3151">
        <f ca="1"/>
        <v>1.5045915653977122</v>
      </c>
      <c r="E3151">
        <f ca="1"/>
        <v>0.51151870291894064</v>
      </c>
      <c r="G3151">
        <f ca="1"/>
        <v>3.9496891122766713</v>
      </c>
    </row>
    <row r="3152" spans="3:7">
      <c r="C3152">
        <f ca="1"/>
        <v>1.9951197345909986</v>
      </c>
      <c r="D3152">
        <f ca="1"/>
        <v>-1.2546673235388019</v>
      </c>
      <c r="E3152">
        <f ca="1"/>
        <v>-4.9830204760024199E-2</v>
      </c>
      <c r="G3152">
        <f ca="1"/>
        <v>5.5571758974169034</v>
      </c>
    </row>
    <row r="3153" spans="3:7">
      <c r="C3153">
        <f ca="1"/>
        <v>-0.86806014439972312</v>
      </c>
      <c r="D3153">
        <f ca="1"/>
        <v>0.55394862678314305</v>
      </c>
      <c r="E3153">
        <f ca="1"/>
        <v>0.19084843507721883</v>
      </c>
      <c r="G3153">
        <f ca="1"/>
        <v>1.0968106205816215</v>
      </c>
    </row>
    <row r="3154" spans="3:7">
      <c r="C3154">
        <f ca="1"/>
        <v>1.2977795190818895</v>
      </c>
      <c r="D3154">
        <f ca="1"/>
        <v>0.56714807882344109</v>
      </c>
      <c r="E3154">
        <f ca="1"/>
        <v>-0.30119663415947512</v>
      </c>
      <c r="G3154">
        <f ca="1"/>
        <v>2.096608035890537</v>
      </c>
    </row>
    <row r="3155" spans="3:7">
      <c r="C3155">
        <f ca="1"/>
        <v>-0.5097738911813543</v>
      </c>
      <c r="D3155">
        <f ca="1"/>
        <v>-9.2610091407940881E-2</v>
      </c>
      <c r="E3155">
        <f ca="1"/>
        <v>0.43194093597383643</v>
      </c>
      <c r="G3155">
        <f ca="1"/>
        <v>0.45501902133072025</v>
      </c>
    </row>
    <row r="3156" spans="3:7">
      <c r="C3156">
        <f ca="1"/>
        <v>0.42916745376897497</v>
      </c>
      <c r="D3156">
        <f ca="1"/>
        <v>-0.56855156123940365</v>
      </c>
      <c r="E3156">
        <f ca="1"/>
        <v>-0.60006920439061695</v>
      </c>
      <c r="G3156">
        <f ca="1"/>
        <v>0.8675186312202966</v>
      </c>
    </row>
    <row r="3157" spans="3:7">
      <c r="C3157">
        <f ca="1"/>
        <v>0.28440840836999615</v>
      </c>
      <c r="D3157">
        <f ca="1"/>
        <v>0.56861755334442132</v>
      </c>
      <c r="E3157">
        <f ca="1"/>
        <v>-0.55388349423332084</v>
      </c>
      <c r="G3157">
        <f ca="1"/>
        <v>0.71100098990706351</v>
      </c>
    </row>
    <row r="3158" spans="3:7">
      <c r="C3158">
        <f ca="1"/>
        <v>-7.0828894109001672E-2</v>
      </c>
      <c r="D3158">
        <f ca="1"/>
        <v>0.11424500141890481</v>
      </c>
      <c r="E3158">
        <f ca="1"/>
        <v>0.51173386805093279</v>
      </c>
      <c r="G3158">
        <f ca="1"/>
        <v>0.27994020430027927</v>
      </c>
    </row>
    <row r="3159" spans="3:7">
      <c r="C3159">
        <f ca="1"/>
        <v>0.10454100589946869</v>
      </c>
      <c r="D3159">
        <f ca="1"/>
        <v>1.4522216945838882</v>
      </c>
      <c r="E3159">
        <f ca="1"/>
        <v>0.23374077291436499</v>
      </c>
      <c r="G3159">
        <f ca="1"/>
        <v>2.1745114210571774</v>
      </c>
    </row>
    <row r="3160" spans="3:7">
      <c r="C3160">
        <f ca="1"/>
        <v>0.31721003946271942</v>
      </c>
      <c r="D3160">
        <f ca="1"/>
        <v>0.15696146292598981</v>
      </c>
      <c r="E3160">
        <f ca="1"/>
        <v>0.77288736368007993</v>
      </c>
      <c r="G3160">
        <f ca="1"/>
        <v>0.72261398691615097</v>
      </c>
    </row>
    <row r="3161" spans="3:7">
      <c r="C3161">
        <f ca="1"/>
        <v>-2.2425265337503095</v>
      </c>
      <c r="D3161">
        <f ca="1"/>
        <v>-0.89431467856772873</v>
      </c>
      <c r="E3161">
        <f ca="1"/>
        <v>-3.6472380427565718E-2</v>
      </c>
      <c r="G3161">
        <f ca="1"/>
        <v>5.830054233409931</v>
      </c>
    </row>
    <row r="3162" spans="3:7">
      <c r="C3162">
        <f ca="1"/>
        <v>1.9558153917518952</v>
      </c>
      <c r="D3162">
        <f ca="1"/>
        <v>0.41378137085756922</v>
      </c>
      <c r="E3162">
        <f ca="1"/>
        <v>9.3147017214949543E-2</v>
      </c>
      <c r="G3162">
        <f ca="1"/>
        <v>4.005105236298431</v>
      </c>
    </row>
    <row r="3163" spans="3:7">
      <c r="C3163">
        <f ca="1"/>
        <v>0.5664887653174755</v>
      </c>
      <c r="D3163">
        <f ca="1"/>
        <v>-1.4189070604236169</v>
      </c>
      <c r="E3163">
        <f ca="1"/>
        <v>-0.66402301467025804</v>
      </c>
      <c r="G3163">
        <f ca="1"/>
        <v>2.7751333313626856</v>
      </c>
    </row>
    <row r="3164" spans="3:7">
      <c r="C3164">
        <f ca="1"/>
        <v>0.90889010603818476</v>
      </c>
      <c r="D3164">
        <f ca="1"/>
        <v>-0.11796993170483711</v>
      </c>
      <c r="E3164">
        <f ca="1"/>
        <v>-0.68661681544231201</v>
      </c>
      <c r="G3164">
        <f ca="1"/>
        <v>1.3114407808886885</v>
      </c>
    </row>
    <row r="3165" spans="3:7">
      <c r="C3165">
        <f ca="1"/>
        <v>0.5593291349324564</v>
      </c>
      <c r="D3165">
        <f ca="1"/>
        <v>-0.12099286594956615</v>
      </c>
      <c r="E3165">
        <f ca="1"/>
        <v>-0.14943758993078049</v>
      </c>
      <c r="G3165">
        <f ca="1"/>
        <v>0.34981994807929978</v>
      </c>
    </row>
    <row r="3166" spans="3:7">
      <c r="C3166">
        <f ca="1"/>
        <v>0.55856538249784937</v>
      </c>
      <c r="D3166">
        <f ca="1"/>
        <v>-0.57758790072961064</v>
      </c>
      <c r="E3166">
        <f ca="1"/>
        <v>1.4474666695638583</v>
      </c>
      <c r="G3166">
        <f ca="1"/>
        <v>2.7407628290924948</v>
      </c>
    </row>
    <row r="3167" spans="3:7">
      <c r="C3167">
        <f ca="1"/>
        <v>-1.084272533378327</v>
      </c>
      <c r="D3167">
        <f ca="1"/>
        <v>-0.41393372524772626</v>
      </c>
      <c r="E3167">
        <f ca="1"/>
        <v>-1.0747140639990587</v>
      </c>
      <c r="G3167">
        <f ca="1"/>
        <v>2.5019983748934882</v>
      </c>
    </row>
    <row r="3168" spans="3:7">
      <c r="C3168">
        <f ca="1"/>
        <v>1.3422777429293997</v>
      </c>
      <c r="D3168">
        <f ca="1"/>
        <v>0.87476254935477737</v>
      </c>
      <c r="E3168">
        <f ca="1"/>
        <v>-0.84239333682903805</v>
      </c>
      <c r="G3168">
        <f ca="1"/>
        <v>3.2765455908512742</v>
      </c>
    </row>
    <row r="3169" spans="3:7">
      <c r="C3169">
        <f ca="1"/>
        <v>-0.48428416936919794</v>
      </c>
      <c r="D3169">
        <f ca="1"/>
        <v>0.68195387178965972</v>
      </c>
      <c r="E3169">
        <f ca="1"/>
        <v>0.13714624305880907</v>
      </c>
      <c r="G3169">
        <f ca="1"/>
        <v>0.71840133193566758</v>
      </c>
    </row>
    <row r="3170" spans="3:7">
      <c r="C3170">
        <f ca="1"/>
        <v>-0.72446637553925997</v>
      </c>
      <c r="D3170">
        <f ca="1"/>
        <v>1.0873287768926145</v>
      </c>
      <c r="E3170">
        <f ca="1"/>
        <v>-0.83648634992198867</v>
      </c>
      <c r="G3170">
        <f ca="1"/>
        <v>2.4068448119515931</v>
      </c>
    </row>
    <row r="3171" spans="3:7">
      <c r="C3171">
        <f ca="1"/>
        <v>-0.15874152181827936</v>
      </c>
      <c r="D3171">
        <f ca="1"/>
        <v>0.70505853549037956</v>
      </c>
      <c r="E3171">
        <f ca="1"/>
        <v>1.9314267331909567</v>
      </c>
      <c r="G3171">
        <f ca="1"/>
        <v>4.2527156349017137</v>
      </c>
    </row>
    <row r="3172" spans="3:7">
      <c r="C3172">
        <f ca="1"/>
        <v>-0.18492358295340747</v>
      </c>
      <c r="D3172">
        <f ca="1"/>
        <v>1.0909077285476785</v>
      </c>
      <c r="E3172">
        <f ca="1"/>
        <v>0.73220232428646082</v>
      </c>
      <c r="G3172">
        <f ca="1"/>
        <v>1.7603966474278765</v>
      </c>
    </row>
    <row r="3173" spans="3:7">
      <c r="C3173">
        <f ca="1"/>
        <v>1.2506544036430451</v>
      </c>
      <c r="D3173">
        <f ca="1"/>
        <v>1.1504376441060229</v>
      </c>
      <c r="E3173">
        <f ca="1"/>
        <v>0.463186491816857</v>
      </c>
      <c r="G3173">
        <f ca="1"/>
        <v>3.1021849365295644</v>
      </c>
    </row>
    <row r="3174" spans="3:7">
      <c r="C3174">
        <f ca="1"/>
        <v>-0.37469318784327416</v>
      </c>
      <c r="D3174">
        <f ca="1"/>
        <v>-0.20126351062528383</v>
      </c>
      <c r="E3174">
        <f ca="1"/>
        <v>-0.19096006605928559</v>
      </c>
      <c r="G3174">
        <f ca="1"/>
        <v>0.21736773255473557</v>
      </c>
    </row>
    <row r="3175" spans="3:7">
      <c r="C3175">
        <f ca="1"/>
        <v>-1.1052345514593822</v>
      </c>
      <c r="D3175">
        <f ca="1"/>
        <v>-0.28565909614194573</v>
      </c>
      <c r="E3175">
        <f ca="1"/>
        <v>-1.1330035315004667</v>
      </c>
      <c r="G3175">
        <f ca="1"/>
        <v>2.5868415353407843</v>
      </c>
    </row>
    <row r="3176" spans="3:7">
      <c r="C3176">
        <f ca="1"/>
        <v>-0.93339067156891209</v>
      </c>
      <c r="D3176">
        <f ca="1"/>
        <v>0.16767823137378177</v>
      </c>
      <c r="E3176">
        <f ca="1"/>
        <v>-1.3246609888704495</v>
      </c>
      <c r="G3176">
        <f ca="1"/>
        <v>2.6540608704837414</v>
      </c>
    </row>
    <row r="3177" spans="3:7">
      <c r="C3177">
        <f ca="1"/>
        <v>-0.71826387951163195</v>
      </c>
      <c r="D3177">
        <f ca="1"/>
        <v>3.7623051662046623E-2</v>
      </c>
      <c r="E3177">
        <f ca="1"/>
        <v>0.42676674124464919</v>
      </c>
      <c r="G3177">
        <f ca="1"/>
        <v>0.69944834606004247</v>
      </c>
    </row>
    <row r="3178" spans="3:7">
      <c r="C3178">
        <f ca="1"/>
        <v>0.61665047983890986</v>
      </c>
      <c r="D3178">
        <f ca="1"/>
        <v>-0.98273278215621152</v>
      </c>
      <c r="E3178">
        <f ca="1"/>
        <v>1.3137755126804262</v>
      </c>
      <c r="G3178">
        <f ca="1"/>
        <v>3.0720276331287621</v>
      </c>
    </row>
    <row r="3179" spans="3:7">
      <c r="C3179">
        <f ca="1"/>
        <v>-1.0469358280322747</v>
      </c>
      <c r="D3179">
        <f ca="1"/>
        <v>-0.36848074674372111</v>
      </c>
      <c r="E3179">
        <f ca="1"/>
        <v>-0.57135276173003502</v>
      </c>
      <c r="G3179">
        <f ca="1"/>
        <v>1.5582966670749729</v>
      </c>
    </row>
    <row r="3180" spans="3:7">
      <c r="C3180">
        <f ca="1"/>
        <v>1.6807988317654101</v>
      </c>
      <c r="D3180">
        <f ca="1"/>
        <v>0.74253496562328158</v>
      </c>
      <c r="E3180">
        <f ca="1"/>
        <v>0.73215452721394458</v>
      </c>
      <c r="G3180">
        <f ca="1"/>
        <v>3.91249313975701</v>
      </c>
    </row>
    <row r="3181" spans="3:7">
      <c r="C3181">
        <f ca="1"/>
        <v>0.8469563204428967</v>
      </c>
      <c r="D3181">
        <f ca="1"/>
        <v>2.5932040869861952</v>
      </c>
      <c r="E3181">
        <f ca="1"/>
        <v>-0.22743089890321544</v>
      </c>
      <c r="G3181">
        <f ca="1"/>
        <v>7.4937672592760016</v>
      </c>
    </row>
    <row r="3182" spans="3:7">
      <c r="C3182">
        <f ca="1"/>
        <v>-1.3533826137395617</v>
      </c>
      <c r="D3182">
        <f ca="1"/>
        <v>0.10018395554481063</v>
      </c>
      <c r="E3182">
        <f ca="1"/>
        <v>-0.5524740211644138</v>
      </c>
      <c r="G3182">
        <f ca="1"/>
        <v>2.1469088681827095</v>
      </c>
    </row>
    <row r="3183" spans="3:7">
      <c r="C3183">
        <f ca="1"/>
        <v>1.3878948895161318</v>
      </c>
      <c r="D3183">
        <f ca="1"/>
        <v>1.1324228851555289</v>
      </c>
      <c r="E3183">
        <f ca="1"/>
        <v>0.59169228071311786</v>
      </c>
      <c r="G3183">
        <f ca="1"/>
        <v>3.5587335702244589</v>
      </c>
    </row>
    <row r="3184" spans="3:7">
      <c r="C3184">
        <f ca="1"/>
        <v>-1.2701719141510148</v>
      </c>
      <c r="D3184">
        <f ca="1"/>
        <v>0.49775510546659718</v>
      </c>
      <c r="E3184">
        <f ca="1"/>
        <v>-0.27182581637049275</v>
      </c>
      <c r="G3184">
        <f ca="1"/>
        <v>1.9349861109616011</v>
      </c>
    </row>
    <row r="3185" spans="3:7">
      <c r="C3185">
        <f ca="1"/>
        <v>9.4987137343716097E-2</v>
      </c>
      <c r="D3185">
        <f ca="1"/>
        <v>-1.0867257348746524</v>
      </c>
      <c r="E3185">
        <f ca="1"/>
        <v>0.32813068693817676</v>
      </c>
      <c r="G3185">
        <f ca="1"/>
        <v>1.2976651268101271</v>
      </c>
    </row>
    <row r="3186" spans="3:7">
      <c r="C3186">
        <f ca="1"/>
        <v>-1.0864778408194757</v>
      </c>
      <c r="D3186">
        <f ca="1"/>
        <v>0.79718038123880464</v>
      </c>
      <c r="E3186">
        <f ca="1"/>
        <v>0.97215985595340082</v>
      </c>
      <c r="G3186">
        <f ca="1"/>
        <v>2.7610254443511328</v>
      </c>
    </row>
    <row r="3187" spans="3:7">
      <c r="C3187">
        <f ca="1"/>
        <v>1.7063887656203118</v>
      </c>
      <c r="D3187">
        <f ca="1"/>
        <v>-0.88895995616432655</v>
      </c>
      <c r="E3187">
        <f ca="1"/>
        <v>-1.4221468346456427</v>
      </c>
      <c r="G3187">
        <f ca="1"/>
        <v>5.7245140423915135</v>
      </c>
    </row>
    <row r="3188" spans="3:7">
      <c r="C3188">
        <f ca="1"/>
        <v>-0.58396364570677506</v>
      </c>
      <c r="D3188">
        <f ca="1"/>
        <v>-1.5734559270287471</v>
      </c>
      <c r="E3188">
        <f ca="1"/>
        <v>1.3140442065222571</v>
      </c>
      <c r="G3188">
        <f ca="1"/>
        <v>4.5434892705037502</v>
      </c>
    </row>
    <row r="3189" spans="3:7">
      <c r="C3189">
        <f ca="1"/>
        <v>0.18625426813901605</v>
      </c>
      <c r="D3189">
        <f ca="1"/>
        <v>-0.98939461649459448</v>
      </c>
      <c r="E3189">
        <f ca="1"/>
        <v>-0.96565907650579452</v>
      </c>
      <c r="G3189">
        <f ca="1"/>
        <v>1.9460898115865102</v>
      </c>
    </row>
    <row r="3190" spans="3:7">
      <c r="C3190">
        <f ca="1"/>
        <v>-0.86753073875319209</v>
      </c>
      <c r="D3190">
        <f ca="1"/>
        <v>0.79906486087552897</v>
      </c>
      <c r="E3190">
        <f ca="1"/>
        <v>0.28325036497652684</v>
      </c>
      <c r="G3190">
        <f ca="1"/>
        <v>1.4713450038270233</v>
      </c>
    </row>
    <row r="3191" spans="3:7">
      <c r="C3191">
        <f ca="1"/>
        <v>-0.30317582031754597</v>
      </c>
      <c r="D3191">
        <f ca="1"/>
        <v>-1.4927747792676747</v>
      </c>
      <c r="E3191">
        <f ca="1"/>
        <v>-0.67668295967544589</v>
      </c>
      <c r="G3191">
        <f ca="1"/>
        <v>2.7781919475579926</v>
      </c>
    </row>
    <row r="3192" spans="3:7">
      <c r="C3192">
        <f ca="1"/>
        <v>-1.5380122103445673</v>
      </c>
      <c r="D3192">
        <f ca="1"/>
        <v>-0.50643985907407996</v>
      </c>
      <c r="E3192">
        <f ca="1"/>
        <v>-0.50126504707740027</v>
      </c>
      <c r="G3192">
        <f ca="1"/>
        <v>2.8732295374494634</v>
      </c>
    </row>
    <row r="3193" spans="3:7">
      <c r="C3193">
        <f ca="1"/>
        <v>0.5013137726859026</v>
      </c>
      <c r="D3193">
        <f ca="1"/>
        <v>0.18319635575540522</v>
      </c>
      <c r="E3193">
        <f ca="1"/>
        <v>0.10143892885793232</v>
      </c>
      <c r="G3193">
        <f ca="1"/>
        <v>0.29516625973447846</v>
      </c>
    </row>
    <row r="3194" spans="3:7">
      <c r="C3194">
        <f ca="1"/>
        <v>0.86881317369046573</v>
      </c>
      <c r="D3194">
        <f ca="1"/>
        <v>-1.795749846871519</v>
      </c>
      <c r="E3194">
        <f ca="1"/>
        <v>1.274402900873667</v>
      </c>
      <c r="G3194">
        <f ca="1"/>
        <v>5.6036565970724013</v>
      </c>
    </row>
    <row r="3195" spans="3:7">
      <c r="C3195">
        <f ca="1"/>
        <v>-2.0594927570636208</v>
      </c>
      <c r="D3195">
        <f ca="1"/>
        <v>-1.7403095622176472</v>
      </c>
      <c r="E3195">
        <f ca="1"/>
        <v>-0.84633811311443885</v>
      </c>
      <c r="G3195">
        <f ca="1"/>
        <v>7.9864759904538012</v>
      </c>
    </row>
    <row r="3196" spans="3:7">
      <c r="C3196">
        <f ca="1"/>
        <v>-0.78373623063875608</v>
      </c>
      <c r="D3196">
        <f ca="1"/>
        <v>1.0870454941783443</v>
      </c>
      <c r="E3196">
        <f ca="1"/>
        <v>0.7468131050190443</v>
      </c>
      <c r="G3196">
        <f ca="1"/>
        <v>2.3536401994574723</v>
      </c>
    </row>
    <row r="3197" spans="3:7">
      <c r="C3197">
        <f ca="1"/>
        <v>0.3408673180369638</v>
      </c>
      <c r="D3197">
        <f ca="1"/>
        <v>4.9153705151236925E-2</v>
      </c>
      <c r="E3197">
        <f ca="1"/>
        <v>-1.0636150279298311</v>
      </c>
      <c r="G3197">
        <f ca="1"/>
        <v>1.2498835428739827</v>
      </c>
    </row>
    <row r="3198" spans="3:7">
      <c r="C3198">
        <f ca="1"/>
        <v>-0.33950590270492398</v>
      </c>
      <c r="D3198">
        <f ca="1"/>
        <v>1.2364299095453701</v>
      </c>
      <c r="E3198">
        <f ca="1"/>
        <v>-0.44686056810140018</v>
      </c>
      <c r="G3198">
        <f ca="1"/>
        <v>1.8437075465137636</v>
      </c>
    </row>
    <row r="3199" spans="3:7">
      <c r="C3199">
        <f ca="1"/>
        <v>-0.81919101676181705</v>
      </c>
      <c r="D3199">
        <f ca="1"/>
        <v>-0.33533929862984546</v>
      </c>
      <c r="E3199">
        <f ca="1"/>
        <v>-0.23353915868859293</v>
      </c>
      <c r="G3199">
        <f ca="1"/>
        <v>0.83806690578979204</v>
      </c>
    </row>
    <row r="3200" spans="3:7">
      <c r="C3200">
        <f ca="1"/>
        <v>-0.5397220998877158</v>
      </c>
      <c r="D3200">
        <f ca="1"/>
        <v>0.55760170388730235</v>
      </c>
      <c r="E3200">
        <f ca="1"/>
        <v>-0.18195745132042151</v>
      </c>
      <c r="G3200">
        <f ca="1"/>
        <v>0.63532811937625178</v>
      </c>
    </row>
    <row r="3201" spans="3:7">
      <c r="C3201">
        <f ca="1"/>
        <v>-0.61967238807152936</v>
      </c>
      <c r="D3201">
        <f ca="1"/>
        <v>-1.9196038814718568</v>
      </c>
      <c r="E3201">
        <f ca="1"/>
        <v>0.97386561293326035</v>
      </c>
      <c r="G3201">
        <f ca="1"/>
        <v>5.0172871623539645</v>
      </c>
    </row>
    <row r="3202" spans="3:7">
      <c r="C3202">
        <f ca="1"/>
        <v>-0.4231405733636952</v>
      </c>
      <c r="D3202">
        <f ca="1"/>
        <v>0.66095430501233687</v>
      </c>
      <c r="E3202">
        <f ca="1"/>
        <v>-0.96267590631593336</v>
      </c>
      <c r="G3202">
        <f ca="1"/>
        <v>1.5426534387421018</v>
      </c>
    </row>
    <row r="3203" spans="3:7">
      <c r="C3203">
        <f ca="1"/>
        <v>-0.59580437619732252</v>
      </c>
      <c r="D3203">
        <f ca="1"/>
        <v>0.10363085510344079</v>
      </c>
      <c r="E3203">
        <f ca="1"/>
        <v>1.3797384636960652</v>
      </c>
      <c r="G3203">
        <f ca="1"/>
        <v>2.2694004370277292</v>
      </c>
    </row>
    <row r="3204" spans="3:7">
      <c r="C3204">
        <f ca="1"/>
        <v>-0.91633423391753555</v>
      </c>
      <c r="D3204">
        <f ca="1"/>
        <v>-1.9767155733672341</v>
      </c>
      <c r="E3204">
        <f ca="1"/>
        <v>-0.36410396652637955</v>
      </c>
      <c r="G3204">
        <f ca="1"/>
        <v>4.8796445846820333</v>
      </c>
    </row>
    <row r="3205" spans="3:7">
      <c r="C3205">
        <f ca="1"/>
        <v>0.39103356037209158</v>
      </c>
      <c r="D3205">
        <f ca="1"/>
        <v>-0.5343243953753255</v>
      </c>
      <c r="E3205">
        <f ca="1"/>
        <v>-0.49584946159429016</v>
      </c>
      <c r="G3205">
        <f ca="1"/>
        <v>0.68427649339382879</v>
      </c>
    </row>
    <row r="3206" spans="3:7">
      <c r="C3206">
        <f ca="1"/>
        <v>1.2799793878279144</v>
      </c>
      <c r="D3206">
        <f ca="1"/>
        <v>1.2226004383167013</v>
      </c>
      <c r="E3206">
        <f ca="1"/>
        <v>0.59308324644361721</v>
      </c>
      <c r="G3206">
        <f ca="1"/>
        <v>3.484846802248613</v>
      </c>
    </row>
    <row r="3207" spans="3:7">
      <c r="C3207">
        <f ca="1"/>
        <v>-0.67231467743762652</v>
      </c>
      <c r="D3207">
        <f ca="1"/>
        <v>-0.83674761603181236</v>
      </c>
      <c r="E3207">
        <f ca="1"/>
        <v>0.16786980347088701</v>
      </c>
      <c r="G3207">
        <f ca="1"/>
        <v>1.1803338693503354</v>
      </c>
    </row>
    <row r="3208" spans="3:7">
      <c r="C3208">
        <f ca="1"/>
        <v>0.35768305814570273</v>
      </c>
      <c r="D3208">
        <f ca="1"/>
        <v>1.2108853622910507</v>
      </c>
      <c r="E3208">
        <f ca="1"/>
        <v>-2.8320141612488077</v>
      </c>
      <c r="G3208">
        <f ca="1"/>
        <v>9.6144847402089777</v>
      </c>
    </row>
    <row r="3209" spans="3:7">
      <c r="C3209">
        <f ca="1"/>
        <v>-0.49816602834449064</v>
      </c>
      <c r="D3209">
        <f ca="1"/>
        <v>0.81885499411785156</v>
      </c>
      <c r="E3209">
        <f ca="1"/>
        <v>0.83234244659651579</v>
      </c>
      <c r="G3209">
        <f ca="1"/>
        <v>1.6114868415945445</v>
      </c>
    </row>
    <row r="3210" spans="3:7">
      <c r="C3210">
        <f ca="1"/>
        <v>-1.1079759231450927</v>
      </c>
      <c r="D3210">
        <f ca="1"/>
        <v>1.0129049330512383</v>
      </c>
      <c r="E3210">
        <f ca="1"/>
        <v>0.22840795214520551</v>
      </c>
      <c r="G3210">
        <f ca="1"/>
        <v>2.3057572422719206</v>
      </c>
    </row>
    <row r="3211" spans="3:7">
      <c r="C3211">
        <f ca="1"/>
        <v>0.18843932442384365</v>
      </c>
      <c r="D3211">
        <f ca="1"/>
        <v>-0.29620299822727586</v>
      </c>
      <c r="E3211">
        <f ca="1"/>
        <v>1.0656909239051007</v>
      </c>
      <c r="G3211">
        <f ca="1"/>
        <v>1.2589427404418492</v>
      </c>
    </row>
    <row r="3212" spans="3:7">
      <c r="C3212">
        <f ca="1"/>
        <v>-1.3193389444840273</v>
      </c>
      <c r="D3212">
        <f ca="1"/>
        <v>-1.4099182427974832</v>
      </c>
      <c r="E3212">
        <f ca="1"/>
        <v>1.1941310469679494</v>
      </c>
      <c r="G3212">
        <f ca="1"/>
        <v>5.1544736591381408</v>
      </c>
    </row>
    <row r="3213" spans="3:7">
      <c r="C3213">
        <f ca="1"/>
        <v>-1.2652810809547879</v>
      </c>
      <c r="D3213">
        <f ca="1"/>
        <v>-0.8314380835560059</v>
      </c>
      <c r="E3213">
        <f ca="1"/>
        <v>0.74633158706312308</v>
      </c>
      <c r="G3213">
        <f ca="1"/>
        <v>2.8492363384575605</v>
      </c>
    </row>
    <row r="3214" spans="3:7">
      <c r="C3214">
        <f ca="1"/>
        <v>-0.14581809521708006</v>
      </c>
      <c r="D3214">
        <f ca="1"/>
        <v>-0.36566146827001156</v>
      </c>
      <c r="E3214">
        <f ca="1"/>
        <v>-0.87528160236033115</v>
      </c>
      <c r="G3214">
        <f ca="1"/>
        <v>0.92108910970058688</v>
      </c>
    </row>
    <row r="3215" spans="3:7">
      <c r="C3215">
        <f ca="1"/>
        <v>-5.3159638130351447E-2</v>
      </c>
      <c r="D3215">
        <f ca="1"/>
        <v>1.0315863496942319</v>
      </c>
      <c r="E3215">
        <f ca="1"/>
        <v>-1.8879208747091847</v>
      </c>
      <c r="G3215">
        <f ca="1"/>
        <v>4.6312415731643126</v>
      </c>
    </row>
    <row r="3216" spans="3:7">
      <c r="C3216">
        <f ca="1"/>
        <v>0.45376783734479598</v>
      </c>
      <c r="D3216">
        <f ca="1"/>
        <v>-1.1400515957648851</v>
      </c>
      <c r="E3216">
        <f ca="1"/>
        <v>1.1494267262227034</v>
      </c>
      <c r="G3216">
        <f ca="1"/>
        <v>2.8268046901696757</v>
      </c>
    </row>
    <row r="3217" spans="3:7">
      <c r="C3217">
        <f ca="1"/>
        <v>1.912696682786021</v>
      </c>
      <c r="D3217">
        <f ca="1"/>
        <v>0.90740849494445519</v>
      </c>
      <c r="E3217">
        <f ca="1"/>
        <v>1.4946746155315127</v>
      </c>
      <c r="G3217">
        <f ca="1"/>
        <v>6.7158509833522855</v>
      </c>
    </row>
    <row r="3218" spans="3:7">
      <c r="C3218">
        <f ca="1"/>
        <v>1.3491336173157218</v>
      </c>
      <c r="D3218">
        <f ca="1"/>
        <v>0.44500216553235972</v>
      </c>
      <c r="E3218">
        <f ca="1"/>
        <v>-0.85627122689454305</v>
      </c>
      <c r="G3218">
        <f ca="1"/>
        <v>2.7513888587073803</v>
      </c>
    </row>
    <row r="3219" spans="3:7">
      <c r="C3219">
        <f ca="1"/>
        <v>0.88625751399834563</v>
      </c>
      <c r="D3219">
        <f ca="1"/>
        <v>7.7050986702570684E-2</v>
      </c>
      <c r="E3219">
        <f ca="1"/>
        <v>1.1615232850704398</v>
      </c>
      <c r="G3219">
        <f ca="1"/>
        <v>2.1405255774311938</v>
      </c>
    </row>
    <row r="3220" spans="3:7">
      <c r="C3220">
        <f ca="1"/>
        <v>-0.16130204074544813</v>
      </c>
      <c r="D3220">
        <f ca="1"/>
        <v>1.4655786981744505</v>
      </c>
      <c r="E3220">
        <f ca="1"/>
        <v>1.3050577700313208</v>
      </c>
      <c r="G3220">
        <f ca="1"/>
        <v>3.8771150520104873</v>
      </c>
    </row>
    <row r="3221" spans="3:7">
      <c r="C3221">
        <f ca="1"/>
        <v>-1.0331383476508655</v>
      </c>
      <c r="D3221">
        <f ca="1"/>
        <v>0.93738101579255784</v>
      </c>
      <c r="E3221">
        <f ca="1"/>
        <v>-0.47723893272008761</v>
      </c>
      <c r="G3221">
        <f ca="1"/>
        <v>2.1738150130588565</v>
      </c>
    </row>
    <row r="3222" spans="3:7">
      <c r="C3222">
        <f ca="1"/>
        <v>-1.3483521599180437</v>
      </c>
      <c r="D3222">
        <f ca="1"/>
        <v>-0.43052668287671053</v>
      </c>
      <c r="E3222">
        <f ca="1"/>
        <v>-1.6556957960814955</v>
      </c>
      <c r="G3222">
        <f ca="1"/>
        <v>4.7447353409864146</v>
      </c>
    </row>
    <row r="3223" spans="3:7">
      <c r="C3223">
        <f ca="1"/>
        <v>1.3247867649596567</v>
      </c>
      <c r="D3223">
        <f ca="1"/>
        <v>-1.0854551005397541</v>
      </c>
      <c r="E3223">
        <f ca="1"/>
        <v>0.4698616134043842</v>
      </c>
      <c r="G3223">
        <f ca="1"/>
        <v>3.1540426836510118</v>
      </c>
    </row>
    <row r="3224" spans="3:7">
      <c r="C3224">
        <f ca="1"/>
        <v>-1.0290313999860035</v>
      </c>
      <c r="D3224">
        <f ca="1"/>
        <v>1.0809505547381473</v>
      </c>
      <c r="E3224">
        <f ca="1"/>
        <v>-0.17443298764157431</v>
      </c>
      <c r="G3224">
        <f ca="1"/>
        <v>2.2577865911234278</v>
      </c>
    </row>
    <row r="3225" spans="3:7">
      <c r="C3225">
        <f ca="1"/>
        <v>0.58164194167363892</v>
      </c>
      <c r="D3225">
        <f ca="1"/>
        <v>-0.23554282159873913</v>
      </c>
      <c r="E3225">
        <f ca="1"/>
        <v>0.9713133776913816</v>
      </c>
      <c r="G3225">
        <f ca="1"/>
        <v>1.3372374468028168</v>
      </c>
    </row>
    <row r="3226" spans="3:7">
      <c r="C3226">
        <f ca="1"/>
        <v>0.27446512240170673</v>
      </c>
      <c r="D3226">
        <f ca="1"/>
        <v>1.8273094559701262</v>
      </c>
      <c r="E3226">
        <f ca="1"/>
        <v>-1.62616997539404</v>
      </c>
      <c r="G3226">
        <f ca="1"/>
        <v>6.058819740165875</v>
      </c>
    </row>
    <row r="3227" spans="3:7">
      <c r="C3227">
        <f ca="1"/>
        <v>1.407077065275959</v>
      </c>
      <c r="D3227">
        <f ca="1"/>
        <v>0.42813663460376811</v>
      </c>
      <c r="E3227">
        <f ca="1"/>
        <v>0.17456153205102293</v>
      </c>
      <c r="G3227">
        <f ca="1"/>
        <v>2.193638573987446</v>
      </c>
    </row>
    <row r="3228" spans="3:7">
      <c r="C3228">
        <f ca="1"/>
        <v>0.670860511317667</v>
      </c>
      <c r="D3228">
        <f ca="1"/>
        <v>-1.6754806327271812</v>
      </c>
      <c r="E3228">
        <f ca="1"/>
        <v>0.4069007650158572</v>
      </c>
      <c r="G3228">
        <f ca="1"/>
        <v>3.4228574088597665</v>
      </c>
    </row>
    <row r="3229" spans="3:7">
      <c r="C3229">
        <f ca="1"/>
        <v>1.7293091506339175</v>
      </c>
      <c r="D3229">
        <f ca="1"/>
        <v>0.81648336231564189</v>
      </c>
      <c r="E3229">
        <f ca="1"/>
        <v>0.81224257312959569</v>
      </c>
      <c r="G3229">
        <f ca="1"/>
        <v>4.3168932170086434</v>
      </c>
    </row>
    <row r="3230" spans="3:7">
      <c r="C3230">
        <f ca="1"/>
        <v>-0.48086652173644051</v>
      </c>
      <c r="D3230">
        <f ca="1"/>
        <v>1.6721693569586416</v>
      </c>
      <c r="E3230">
        <f ca="1"/>
        <v>1.8685131435256406</v>
      </c>
      <c r="G3230">
        <f ca="1"/>
        <v>6.5187243376064501</v>
      </c>
    </row>
    <row r="3231" spans="3:7">
      <c r="C3231">
        <f ca="1"/>
        <v>-0.4749339536247047</v>
      </c>
      <c r="D3231">
        <f ca="1"/>
        <v>-2.5433444454545495</v>
      </c>
      <c r="E3231">
        <f ca="1"/>
        <v>1.7144242643702652</v>
      </c>
      <c r="G3231">
        <f ca="1"/>
        <v>9.6334137867916283</v>
      </c>
    </row>
    <row r="3232" spans="3:7">
      <c r="C3232">
        <f ca="1"/>
        <v>-0.64226824583352571</v>
      </c>
      <c r="D3232">
        <f ca="1"/>
        <v>0.12912762725608487</v>
      </c>
      <c r="E3232">
        <f ca="1"/>
        <v>1.4085134227002769</v>
      </c>
      <c r="G3232">
        <f ca="1"/>
        <v>2.4130925056537094</v>
      </c>
    </row>
    <row r="3233" spans="3:7">
      <c r="C3233">
        <f ca="1"/>
        <v>-1.8788189075877311</v>
      </c>
      <c r="D3233">
        <f ca="1"/>
        <v>1.0983068413914925</v>
      </c>
      <c r="E3233">
        <f ca="1"/>
        <v>8.7656937754504838E-2</v>
      </c>
      <c r="G3233">
        <f ca="1"/>
        <v>4.7439221440930091</v>
      </c>
    </row>
    <row r="3234" spans="3:7">
      <c r="C3234">
        <f ca="1"/>
        <v>-0.64966783533987438</v>
      </c>
      <c r="D3234">
        <f ca="1"/>
        <v>-0.80656900601412396</v>
      </c>
      <c r="E3234">
        <f ca="1"/>
        <v>7.7368955885254567E-2</v>
      </c>
      <c r="G3234">
        <f ca="1"/>
        <v>1.0786078130725845</v>
      </c>
    </row>
    <row r="3235" spans="3:7">
      <c r="C3235">
        <f ca="1"/>
        <v>0.3566177053736182</v>
      </c>
      <c r="D3235">
        <f ca="1"/>
        <v>0.8666358536882699</v>
      </c>
      <c r="E3235">
        <f ca="1"/>
        <v>-0.29316144425329627</v>
      </c>
      <c r="G3235">
        <f ca="1"/>
        <v>0.96417752308061966</v>
      </c>
    </row>
    <row r="3236" spans="3:7">
      <c r="C3236">
        <f ca="1"/>
        <v>-2.4608699478371701E-2</v>
      </c>
      <c r="D3236">
        <f ca="1"/>
        <v>0.49270709938504159</v>
      </c>
      <c r="E3236">
        <f ca="1"/>
        <v>0.15717132081652929</v>
      </c>
      <c r="G3236">
        <f ca="1"/>
        <v>0.26806869796165045</v>
      </c>
    </row>
    <row r="3237" spans="3:7">
      <c r="C3237">
        <f ca="1"/>
        <v>-1.3480783536683261</v>
      </c>
      <c r="D3237">
        <f ca="1"/>
        <v>-1.2131230553311161</v>
      </c>
      <c r="E3237">
        <f ca="1"/>
        <v>-0.81714925297742813</v>
      </c>
      <c r="G3237">
        <f ca="1"/>
        <v>3.9567156966465755</v>
      </c>
    </row>
    <row r="3238" spans="3:7">
      <c r="C3238">
        <f ca="1"/>
        <v>-0.13726550373841703</v>
      </c>
      <c r="D3238">
        <f ca="1"/>
        <v>0.25926065359652151</v>
      </c>
      <c r="E3238">
        <f ca="1"/>
        <v>-0.40073260296661994</v>
      </c>
      <c r="G3238">
        <f ca="1"/>
        <v>0.24664452410025955</v>
      </c>
    </row>
    <row r="3239" spans="3:7">
      <c r="C3239">
        <f ca="1"/>
        <v>1.2222091616652468</v>
      </c>
      <c r="D3239">
        <f ca="1"/>
        <v>-0.62012244258112759</v>
      </c>
      <c r="E3239">
        <f ca="1"/>
        <v>-0.16928927037786617</v>
      </c>
      <c r="G3239">
        <f ca="1"/>
        <v>1.9070059357163198</v>
      </c>
    </row>
    <row r="3240" spans="3:7">
      <c r="C3240">
        <f ca="1"/>
        <v>-1.3414983896361208</v>
      </c>
      <c r="D3240">
        <f ca="1"/>
        <v>-0.82155388852242739</v>
      </c>
      <c r="E3240">
        <f ca="1"/>
        <v>-1.4822343585831477</v>
      </c>
      <c r="G3240">
        <f ca="1"/>
        <v>4.6715874149070213</v>
      </c>
    </row>
    <row r="3241" spans="3:7">
      <c r="C3241">
        <f ca="1"/>
        <v>1.7787682014707182</v>
      </c>
      <c r="D3241">
        <f ca="1"/>
        <v>0.59502057256461938</v>
      </c>
      <c r="E3241">
        <f ca="1"/>
        <v>-0.62551035846527525</v>
      </c>
      <c r="G3241">
        <f ca="1"/>
        <v>3.9093290048858584</v>
      </c>
    </row>
    <row r="3242" spans="3:7">
      <c r="C3242">
        <f ca="1"/>
        <v>-0.23012317425759929</v>
      </c>
      <c r="D3242">
        <f ca="1"/>
        <v>0.65229655386980268</v>
      </c>
      <c r="E3242">
        <f ca="1"/>
        <v>0.60932286646697131</v>
      </c>
      <c r="G3242">
        <f ca="1"/>
        <v>0.84972182512034033</v>
      </c>
    </row>
    <row r="3243" spans="3:7">
      <c r="C3243">
        <f ca="1"/>
        <v>0.93745479154195288</v>
      </c>
      <c r="D3243">
        <f ca="1"/>
        <v>-0.49812844377367343</v>
      </c>
      <c r="E3243">
        <f ca="1"/>
        <v>0.20372895399973734</v>
      </c>
      <c r="G3243">
        <f ca="1"/>
        <v>1.1684589193791752</v>
      </c>
    </row>
    <row r="3244" spans="3:7">
      <c r="C3244">
        <f ca="1"/>
        <v>-0.26018035375307791</v>
      </c>
      <c r="D3244">
        <f ca="1"/>
        <v>0.12416703912643633</v>
      </c>
      <c r="E3244">
        <f ca="1"/>
        <v>0.16730622395560449</v>
      </c>
      <c r="G3244">
        <f ca="1"/>
        <v>0.11110264265878562</v>
      </c>
    </row>
    <row r="3245" spans="3:7">
      <c r="C3245">
        <f ca="1"/>
        <v>1.0666549909088281</v>
      </c>
      <c r="D3245">
        <f ca="1"/>
        <v>0.428734298637169</v>
      </c>
      <c r="E3245">
        <f ca="1"/>
        <v>-0.8001181750084061</v>
      </c>
      <c r="G3245">
        <f ca="1"/>
        <v>1.9617550624373998</v>
      </c>
    </row>
    <row r="3246" spans="3:7">
      <c r="C3246">
        <f ca="1"/>
        <v>-2.0636568389101217</v>
      </c>
      <c r="D3246">
        <f ca="1"/>
        <v>-1.4161146847205514E-2</v>
      </c>
      <c r="E3246">
        <f ca="1"/>
        <v>0.21139788739897047</v>
      </c>
      <c r="G3246">
        <f ca="1"/>
        <v>4.3035691536572918</v>
      </c>
    </row>
    <row r="3247" spans="3:7">
      <c r="C3247">
        <f ca="1"/>
        <v>-0.24979191539168358</v>
      </c>
      <c r="D3247">
        <f ca="1"/>
        <v>-0.34686788962476711</v>
      </c>
      <c r="E3247">
        <f ca="1"/>
        <v>-0.18242776076754066</v>
      </c>
      <c r="G3247">
        <f ca="1"/>
        <v>0.21599322174644467</v>
      </c>
    </row>
    <row r="3248" spans="3:7">
      <c r="C3248">
        <f ca="1"/>
        <v>0.43722097905142382</v>
      </c>
      <c r="D3248">
        <f ca="1"/>
        <v>0.41652128724077186</v>
      </c>
      <c r="E3248">
        <f ca="1"/>
        <v>0.32200904239093403</v>
      </c>
      <c r="G3248">
        <f ca="1"/>
        <v>0.46834199062892146</v>
      </c>
    </row>
    <row r="3249" spans="3:7">
      <c r="C3249">
        <f ca="1"/>
        <v>6.4726339977781489E-2</v>
      </c>
      <c r="D3249">
        <f ca="1"/>
        <v>-0.15405643838812963</v>
      </c>
      <c r="E3249">
        <f ca="1"/>
        <v>0.70495015127384364</v>
      </c>
      <c r="G3249">
        <f ca="1"/>
        <v>0.52487760107676995</v>
      </c>
    </row>
    <row r="3250" spans="3:7">
      <c r="C3250">
        <f ca="1"/>
        <v>0.44223758064647661</v>
      </c>
      <c r="D3250">
        <f ca="1"/>
        <v>0.21651807007579105</v>
      </c>
      <c r="E3250">
        <f ca="1"/>
        <v>0.40763971218612022</v>
      </c>
      <c r="G3250">
        <f ca="1"/>
        <v>0.40862428735657697</v>
      </c>
    </row>
    <row r="3251" spans="3:7">
      <c r="C3251">
        <f ca="1"/>
        <v>1.4741669415771772</v>
      </c>
      <c r="D3251">
        <f ca="1"/>
        <v>-0.91231843238523902</v>
      </c>
      <c r="E3251">
        <f ca="1"/>
        <v>-0.17755169169829885</v>
      </c>
      <c r="G3251">
        <f ca="1"/>
        <v>3.0370176969337965</v>
      </c>
    </row>
    <row r="3252" spans="3:7">
      <c r="C3252">
        <f ca="1"/>
        <v>2.65969087759319</v>
      </c>
      <c r="D3252">
        <f ca="1"/>
        <v>0.16502505736326625</v>
      </c>
      <c r="E3252">
        <f ca="1"/>
        <v>-1.2818449222700999E-2</v>
      </c>
      <c r="G3252">
        <f ca="1"/>
        <v>7.1013531465506574</v>
      </c>
    </row>
    <row r="3253" spans="3:7">
      <c r="C3253">
        <f ca="1"/>
        <v>0.11409345620086235</v>
      </c>
      <c r="D3253">
        <f ca="1"/>
        <v>-0.24826986942895576</v>
      </c>
      <c r="E3253">
        <f ca="1"/>
        <v>1.5235352762703118</v>
      </c>
      <c r="G3253">
        <f ca="1"/>
        <v>2.3958149828541844</v>
      </c>
    </row>
    <row r="3254" spans="3:7">
      <c r="C3254">
        <f ca="1"/>
        <v>-0.44221591675039551</v>
      </c>
      <c r="D3254">
        <f ca="1"/>
        <v>0.84931426748881322</v>
      </c>
      <c r="E3254">
        <f ca="1"/>
        <v>0.20008058999165432</v>
      </c>
      <c r="G3254">
        <f ca="1"/>
        <v>0.95692188447886051</v>
      </c>
    </row>
    <row r="3255" spans="3:7">
      <c r="C3255">
        <f ca="1"/>
        <v>-0.60932537207394522</v>
      </c>
      <c r="D3255">
        <f ca="1"/>
        <v>0.81599785256312884</v>
      </c>
      <c r="E3255">
        <f ca="1"/>
        <v>1.8008213944700049</v>
      </c>
      <c r="G3255">
        <f ca="1"/>
        <v>4.2800875992215826</v>
      </c>
    </row>
    <row r="3256" spans="3:7">
      <c r="C3256">
        <f ca="1"/>
        <v>1.1656416337006579</v>
      </c>
      <c r="D3256">
        <f ca="1"/>
        <v>0.49162689054944331</v>
      </c>
      <c r="E3256">
        <f ca="1"/>
        <v>0.51868583068048357</v>
      </c>
      <c r="G3256">
        <f ca="1"/>
        <v>1.8694524086763562</v>
      </c>
    </row>
    <row r="3257" spans="3:7">
      <c r="C3257">
        <f ca="1"/>
        <v>0.38956526243790734</v>
      </c>
      <c r="D3257">
        <f ca="1"/>
        <v>2.0905401294990202</v>
      </c>
      <c r="E3257">
        <f ca="1"/>
        <v>0.10644829477617718</v>
      </c>
      <c r="G3257">
        <f ca="1"/>
        <v>4.5334503662048524</v>
      </c>
    </row>
    <row r="3258" spans="3:7">
      <c r="C3258">
        <f ca="1"/>
        <v>0.61826155908933633</v>
      </c>
      <c r="D3258">
        <f ca="1"/>
        <v>-1.2867400069926167</v>
      </c>
      <c r="E3258">
        <f ca="1"/>
        <v>0.12538682453722283</v>
      </c>
      <c r="G3258">
        <f ca="1"/>
        <v>2.0536690568104645</v>
      </c>
    </row>
    <row r="3259" spans="3:7">
      <c r="C3259">
        <f ca="1"/>
        <v>0.53732351170640402</v>
      </c>
      <c r="D3259">
        <f ca="1"/>
        <v>0.78026748526283796</v>
      </c>
      <c r="E3259">
        <f ca="1"/>
        <v>-0.46946823496798923</v>
      </c>
      <c r="G3259">
        <f ca="1"/>
        <v>1.1179343284348544</v>
      </c>
    </row>
    <row r="3260" spans="3:7">
      <c r="C3260">
        <f ca="1"/>
        <v>-0.3529202191396823</v>
      </c>
      <c r="D3260">
        <f ca="1"/>
        <v>1.6260405498696686</v>
      </c>
      <c r="E3260">
        <f ca="1"/>
        <v>-0.48467040358863228</v>
      </c>
      <c r="G3260">
        <f ca="1"/>
        <v>3.0034659510128234</v>
      </c>
    </row>
    <row r="3261" spans="3:7">
      <c r="C3261">
        <f ca="1"/>
        <v>-0.78468175206808466</v>
      </c>
      <c r="D3261">
        <f ca="1"/>
        <v>-0.43545192174773534</v>
      </c>
      <c r="E3261">
        <f ca="1"/>
        <v>-0.50672593032184476</v>
      </c>
      <c r="G3261">
        <f ca="1"/>
        <v>1.0621149966429739</v>
      </c>
    </row>
    <row r="3262" spans="3:7">
      <c r="C3262">
        <f ca="1"/>
        <v>-0.79585917184768373</v>
      </c>
      <c r="D3262">
        <f ca="1"/>
        <v>0.53056811259587444</v>
      </c>
      <c r="E3262">
        <f ca="1"/>
        <v>-0.4143609963036296</v>
      </c>
      <c r="G3262">
        <f ca="1"/>
        <v>1.0865893787753662</v>
      </c>
    </row>
    <row r="3263" spans="3:7">
      <c r="C3263">
        <f ca="1"/>
        <v>1.7624310596522377</v>
      </c>
      <c r="D3263">
        <f ca="1"/>
        <v>-0.27584064526346819</v>
      </c>
      <c r="E3263">
        <f ca="1"/>
        <v>-0.24626367862390922</v>
      </c>
      <c r="G3263">
        <f ca="1"/>
        <v>3.242897101015656</v>
      </c>
    </row>
    <row r="3264" spans="3:7">
      <c r="C3264">
        <f ca="1"/>
        <v>-0.86842131835657344</v>
      </c>
      <c r="D3264">
        <f ca="1"/>
        <v>-0.19493791122524062</v>
      </c>
      <c r="E3264">
        <f ca="1"/>
        <v>1.1905245144564516</v>
      </c>
      <c r="G3264">
        <f ca="1"/>
        <v>2.2095049949307985</v>
      </c>
    </row>
    <row r="3265" spans="3:7">
      <c r="C3265">
        <f ca="1"/>
        <v>-1.0739693029786788</v>
      </c>
      <c r="D3265">
        <f ca="1"/>
        <v>-0.56849794930013764</v>
      </c>
      <c r="E3265">
        <f ca="1"/>
        <v>0.85672389931524273</v>
      </c>
      <c r="G3265">
        <f ca="1"/>
        <v>2.2105758217568852</v>
      </c>
    </row>
    <row r="3266" spans="3:7">
      <c r="C3266">
        <f ca="1"/>
        <v>-2.1831124226403378</v>
      </c>
      <c r="D3266">
        <f ca="1"/>
        <v>-2.0190742964701731</v>
      </c>
      <c r="E3266">
        <f ca="1"/>
        <v>0.62879015615526845</v>
      </c>
      <c r="G3266">
        <f ca="1"/>
        <v>9.2380179250308565</v>
      </c>
    </row>
    <row r="3267" spans="3:7">
      <c r="C3267">
        <f ca="1"/>
        <v>0.81537495031656537</v>
      </c>
      <c r="D3267">
        <f ca="1"/>
        <v>0.61322862538215694</v>
      </c>
      <c r="E3267">
        <f ca="1"/>
        <v>0.83795973713688365</v>
      </c>
      <c r="G3267">
        <f ca="1"/>
        <v>1.7430621776543465</v>
      </c>
    </row>
    <row r="3268" spans="3:7">
      <c r="C3268">
        <f ca="1"/>
        <v>-1.4505351638019128</v>
      </c>
      <c r="D3268">
        <f ca="1"/>
        <v>0.44960649645345074</v>
      </c>
      <c r="E3268">
        <f ca="1"/>
        <v>0.65201344189265564</v>
      </c>
      <c r="G3268">
        <f ca="1"/>
        <v>2.7313197914876963</v>
      </c>
    </row>
    <row r="3269" spans="3:7">
      <c r="C3269">
        <f ca="1"/>
        <v>-1.3960391716259206</v>
      </c>
      <c r="D3269">
        <f ca="1"/>
        <v>-0.20511478954933282</v>
      </c>
      <c r="E3269">
        <f ca="1"/>
        <v>0.40383050596862574</v>
      </c>
      <c r="G3269">
        <f ca="1"/>
        <v>2.1540765231567298</v>
      </c>
    </row>
    <row r="3270" spans="3:7">
      <c r="C3270">
        <f ca="1"/>
        <v>0.82442764923806966</v>
      </c>
      <c r="D3270">
        <f ca="1"/>
        <v>-1.1644998134766429</v>
      </c>
      <c r="E3270">
        <f ca="1"/>
        <v>-0.37709574064632062</v>
      </c>
      <c r="G3270">
        <f ca="1"/>
        <v>2.1779419620289429</v>
      </c>
    </row>
    <row r="3271" spans="3:7">
      <c r="C3271">
        <f ca="1"/>
        <v>0.41264898314189619</v>
      </c>
      <c r="D3271">
        <f ca="1"/>
        <v>-0.42376344769418595</v>
      </c>
      <c r="E3271">
        <f ca="1"/>
        <v>9.5572007964749267E-2</v>
      </c>
      <c r="G3271">
        <f ca="1"/>
        <v>0.35898865159611815</v>
      </c>
    </row>
    <row r="3272" spans="3:7">
      <c r="C3272">
        <f ca="1"/>
        <v>0.96103367292583985</v>
      </c>
      <c r="D3272">
        <f ca="1"/>
        <v>-1.2953277977751398</v>
      </c>
      <c r="E3272">
        <f ca="1"/>
        <v>-7.4781902438737322E-2</v>
      </c>
      <c r="G3272">
        <f ca="1"/>
        <v>2.6070521571186807</v>
      </c>
    </row>
    <row r="3273" spans="3:7">
      <c r="C3273">
        <f ca="1"/>
        <v>-0.21613646182996099</v>
      </c>
      <c r="D3273">
        <f ca="1"/>
        <v>0.7512689372557696</v>
      </c>
      <c r="E3273">
        <f ca="1"/>
        <v>-0.18094925592234462</v>
      </c>
      <c r="G3273">
        <f ca="1"/>
        <v>0.64386261943663781</v>
      </c>
    </row>
    <row r="3274" spans="3:7">
      <c r="C3274">
        <f ca="1"/>
        <v>0.62686209368445878</v>
      </c>
      <c r="D3274">
        <f ca="1"/>
        <v>1.9824865982653876</v>
      </c>
      <c r="E3274">
        <f ca="1"/>
        <v>5.3840673879085241E-2</v>
      </c>
      <c r="G3274">
        <f ca="1"/>
        <v>4.3261080149640856</v>
      </c>
    </row>
    <row r="3275" spans="3:7">
      <c r="C3275">
        <f ca="1"/>
        <v>-0.92648802981732403</v>
      </c>
      <c r="D3275">
        <f ca="1"/>
        <v>-1.2632764718054572</v>
      </c>
      <c r="E3275">
        <f ca="1"/>
        <v>2.712599453029987E-2</v>
      </c>
      <c r="G3275">
        <f ca="1"/>
        <v>2.4549833331912887</v>
      </c>
    </row>
    <row r="3276" spans="3:7">
      <c r="C3276">
        <f ca="1"/>
        <v>-1.3661834974942393</v>
      </c>
      <c r="D3276">
        <f ca="1"/>
        <v>0.7769892062406889</v>
      </c>
      <c r="E3276">
        <f ca="1"/>
        <v>-0.19013652692287838</v>
      </c>
      <c r="G3276">
        <f ca="1"/>
        <v>2.5063214743104223</v>
      </c>
    </row>
    <row r="3277" spans="3:7">
      <c r="C3277">
        <f ca="1"/>
        <v>-1.2882173796544474</v>
      </c>
      <c r="D3277">
        <f ca="1"/>
        <v>-1.6431892941722881</v>
      </c>
      <c r="E3277">
        <f ca="1"/>
        <v>0.65252937669982003</v>
      </c>
      <c r="G3277">
        <f ca="1"/>
        <v>4.7853696611824486</v>
      </c>
    </row>
    <row r="3278" spans="3:7">
      <c r="C3278">
        <f ca="1"/>
        <v>1.2967705574709605</v>
      </c>
      <c r="D3278">
        <f ca="1"/>
        <v>1.4446367608237052</v>
      </c>
      <c r="E3278">
        <f ca="1"/>
        <v>-9.2330953232510365E-2</v>
      </c>
      <c r="G3278">
        <f ca="1"/>
        <v>3.7771142543715768</v>
      </c>
    </row>
    <row r="3279" spans="3:7">
      <c r="C3279">
        <f ca="1"/>
        <v>0.88374014879245921</v>
      </c>
      <c r="D3279">
        <f ca="1"/>
        <v>-0.49671037414488167</v>
      </c>
      <c r="E3279">
        <f ca="1"/>
        <v>1.6784267594886566</v>
      </c>
      <c r="G3279">
        <f ca="1"/>
        <v>3.8448342333384589</v>
      </c>
    </row>
    <row r="3280" spans="3:7">
      <c r="C3280">
        <f ca="1"/>
        <v>-0.60976580101984512</v>
      </c>
      <c r="D3280">
        <f ca="1"/>
        <v>-2.4276410012247842</v>
      </c>
      <c r="E3280">
        <f ca="1"/>
        <v>0.38367133640682854</v>
      </c>
      <c r="G3280">
        <f ca="1"/>
        <v>6.4124588573012469</v>
      </c>
    </row>
    <row r="3281" spans="3:7">
      <c r="C3281">
        <f ca="1"/>
        <v>-0.83880679135256386</v>
      </c>
      <c r="D3281">
        <f ca="1"/>
        <v>-0.52273405449478427</v>
      </c>
      <c r="E3281">
        <f ca="1"/>
        <v>0.63296292129371334</v>
      </c>
      <c r="G3281">
        <f ca="1"/>
        <v>1.3774897846804113</v>
      </c>
    </row>
    <row r="3282" spans="3:7">
      <c r="C3282">
        <f ca="1"/>
        <v>-0.7487768577204964</v>
      </c>
      <c r="D3282">
        <f ca="1"/>
        <v>0.66473117838312257</v>
      </c>
      <c r="E3282">
        <f ca="1"/>
        <v>0.74943274586058362</v>
      </c>
      <c r="G3282">
        <f ca="1"/>
        <v>1.5641837627405293</v>
      </c>
    </row>
    <row r="3283" spans="3:7">
      <c r="C3283">
        <f ca="1"/>
        <v>0.19314400623978237</v>
      </c>
      <c r="D3283">
        <f ca="1"/>
        <v>-0.68620669555916736</v>
      </c>
      <c r="E3283">
        <f ca="1"/>
        <v>-0.25872977454708707</v>
      </c>
      <c r="G3283">
        <f ca="1"/>
        <v>0.5751253324137714</v>
      </c>
    </row>
    <row r="3284" spans="3:7">
      <c r="C3284">
        <f ca="1"/>
        <v>1.7310877023170048</v>
      </c>
      <c r="D3284">
        <f ca="1"/>
        <v>0.10777173131040496</v>
      </c>
      <c r="E3284">
        <f ca="1"/>
        <v>-0.55540741661536519</v>
      </c>
      <c r="G3284">
        <f ca="1"/>
        <v>3.3167567776141635</v>
      </c>
    </row>
    <row r="3285" spans="3:7">
      <c r="C3285">
        <f ca="1"/>
        <v>-1.4862829794979877</v>
      </c>
      <c r="D3285">
        <f ca="1"/>
        <v>0.32299996942375403</v>
      </c>
      <c r="E3285">
        <f ca="1"/>
        <v>0.69816026474198611</v>
      </c>
      <c r="G3285">
        <f ca="1"/>
        <v>2.8007938306577618</v>
      </c>
    </row>
    <row r="3286" spans="3:7">
      <c r="C3286">
        <f ca="1"/>
        <v>-0.49651722393752362</v>
      </c>
      <c r="D3286">
        <f ca="1"/>
        <v>-0.71778452530337611</v>
      </c>
      <c r="E3286">
        <f ca="1"/>
        <v>-1.5274618219409311</v>
      </c>
      <c r="G3286">
        <f ca="1"/>
        <v>3.0948835959187266</v>
      </c>
    </row>
    <row r="3287" spans="3:7">
      <c r="C3287">
        <f ca="1"/>
        <v>0.44688896726861926</v>
      </c>
      <c r="D3287">
        <f ca="1"/>
        <v>0.58203705198021194</v>
      </c>
      <c r="E3287">
        <f ca="1"/>
        <v>-0.12720138089721034</v>
      </c>
      <c r="G3287">
        <f ca="1"/>
        <v>0.55465707024638622</v>
      </c>
    </row>
    <row r="3288" spans="3:7">
      <c r="C3288">
        <f ca="1"/>
        <v>-0.74113249411561155</v>
      </c>
      <c r="D3288">
        <f ca="1"/>
        <v>1.0917608013324229</v>
      </c>
      <c r="E3288">
        <f ca="1"/>
        <v>-1.6679133555764674</v>
      </c>
      <c r="G3288">
        <f ca="1"/>
        <v>4.5231539828703919</v>
      </c>
    </row>
    <row r="3289" spans="3:7">
      <c r="C3289">
        <f ca="1"/>
        <v>-0.7063483959793575</v>
      </c>
      <c r="D3289">
        <f ca="1"/>
        <v>0.74119818754241329</v>
      </c>
      <c r="E3289">
        <f ca="1"/>
        <v>0.86128872997411321</v>
      </c>
      <c r="G3289">
        <f ca="1"/>
        <v>1.7901210860991905</v>
      </c>
    </row>
    <row r="3290" spans="3:7">
      <c r="C3290">
        <f ca="1"/>
        <v>0.88884911195821192</v>
      </c>
      <c r="D3290">
        <f ca="1"/>
        <v>0.66389121979535137</v>
      </c>
      <c r="E3290">
        <f ca="1"/>
        <v>0.11393435095530208</v>
      </c>
      <c r="G3290">
        <f ca="1"/>
        <v>1.2437853318778676</v>
      </c>
    </row>
    <row r="3291" spans="3:7">
      <c r="C3291">
        <f ca="1"/>
        <v>0.30278418060154771</v>
      </c>
      <c r="D3291">
        <f ca="1"/>
        <v>0.87520679229540421</v>
      </c>
      <c r="E3291">
        <f ca="1"/>
        <v>0.20325933358121048</v>
      </c>
      <c r="G3291">
        <f ca="1"/>
        <v>0.89897954599043917</v>
      </c>
    </row>
    <row r="3292" spans="3:7">
      <c r="C3292">
        <f ca="1"/>
        <v>-1.2355521045256186</v>
      </c>
      <c r="D3292">
        <f ca="1"/>
        <v>1.1796613838327248</v>
      </c>
      <c r="E3292">
        <f ca="1"/>
        <v>-1.623098943852324</v>
      </c>
      <c r="G3292">
        <f ca="1"/>
        <v>5.5526401650383548</v>
      </c>
    </row>
    <row r="3293" spans="3:7">
      <c r="C3293">
        <f ca="1"/>
        <v>-0.40960292291263156</v>
      </c>
      <c r="D3293">
        <f ca="1"/>
        <v>-0.15648736372381405</v>
      </c>
      <c r="E3293">
        <f ca="1"/>
        <v>0.39441931232778016</v>
      </c>
      <c r="G3293">
        <f ca="1"/>
        <v>0.34782944340091948</v>
      </c>
    </row>
    <row r="3294" spans="3:7">
      <c r="C3294">
        <f ca="1"/>
        <v>1.3346631365474659</v>
      </c>
      <c r="D3294">
        <f ca="1"/>
        <v>2.9997897749350157E-2</v>
      </c>
      <c r="E3294">
        <f ca="1"/>
        <v>-2.3967219186810249</v>
      </c>
      <c r="G3294">
        <f ca="1"/>
        <v>7.526501517414153</v>
      </c>
    </row>
    <row r="3295" spans="3:7">
      <c r="C3295">
        <f ca="1"/>
        <v>-0.19965418216876513</v>
      </c>
      <c r="D3295">
        <f ca="1"/>
        <v>-0.58613299484085413</v>
      </c>
      <c r="E3295">
        <f ca="1"/>
        <v>-0.16922454744902621</v>
      </c>
      <c r="G3295">
        <f ca="1"/>
        <v>0.41205062755791488</v>
      </c>
    </row>
    <row r="3296" spans="3:7">
      <c r="C3296">
        <f ca="1"/>
        <v>-0.67786705054708907</v>
      </c>
      <c r="D3296">
        <f ca="1"/>
        <v>-3.1150126173649265E-2</v>
      </c>
      <c r="E3296">
        <f ca="1"/>
        <v>0.86215321550576451</v>
      </c>
      <c r="G3296">
        <f ca="1"/>
        <v>1.2037822355849732</v>
      </c>
    </row>
    <row r="3297" spans="3:7">
      <c r="C3297">
        <f ca="1"/>
        <v>-1.8537818861011113</v>
      </c>
      <c r="D3297">
        <f ca="1"/>
        <v>1.0791067843601974</v>
      </c>
      <c r="E3297">
        <f ca="1"/>
        <v>-0.81188695031922198</v>
      </c>
      <c r="G3297">
        <f ca="1"/>
        <v>5.2601391533874455</v>
      </c>
    </row>
    <row r="3298" spans="3:7">
      <c r="C3298">
        <f ca="1"/>
        <v>-0.68857912491641649</v>
      </c>
      <c r="D3298">
        <f ca="1"/>
        <v>0.48318128429626644</v>
      </c>
      <c r="E3298">
        <f ca="1"/>
        <v>1.4429142676394677</v>
      </c>
      <c r="G3298">
        <f ca="1"/>
        <v>2.7896069485223887</v>
      </c>
    </row>
    <row r="3299" spans="3:7">
      <c r="C3299">
        <f ca="1"/>
        <v>1.3302920601404358</v>
      </c>
      <c r="D3299">
        <f ca="1"/>
        <v>0.70583198643414768</v>
      </c>
      <c r="E3299">
        <f ca="1"/>
        <v>-1.7533520955263837</v>
      </c>
      <c r="G3299">
        <f ca="1"/>
        <v>5.3421193292330207</v>
      </c>
    </row>
    <row r="3300" spans="3:7">
      <c r="C3300">
        <f ca="1"/>
        <v>-1.5780452578884587</v>
      </c>
      <c r="D3300">
        <f ca="1"/>
        <v>-0.72401278803449332</v>
      </c>
      <c r="E3300">
        <f ca="1"/>
        <v>-1.5575061970856603</v>
      </c>
      <c r="G3300">
        <f ca="1"/>
        <v>5.4402469071419679</v>
      </c>
    </row>
    <row r="3301" spans="3:7">
      <c r="C3301">
        <f ca="1"/>
        <v>0.90531674759560288</v>
      </c>
      <c r="D3301">
        <f ca="1"/>
        <v>-7.4684900988997147E-2</v>
      </c>
      <c r="E3301">
        <f ca="1"/>
        <v>1.6085438898251085</v>
      </c>
      <c r="G3301">
        <f ca="1"/>
        <v>3.4125896934065079</v>
      </c>
    </row>
    <row r="3302" spans="3:7">
      <c r="C3302">
        <f ca="1"/>
        <v>-0.61953422770966349</v>
      </c>
      <c r="D3302">
        <f ca="1"/>
        <v>-0.87960222976099034</v>
      </c>
      <c r="E3302">
        <f ca="1"/>
        <v>-1.1877274093065875</v>
      </c>
      <c r="G3302">
        <f ca="1"/>
        <v>2.5682191407224533</v>
      </c>
    </row>
    <row r="3303" spans="3:7">
      <c r="C3303">
        <f ca="1"/>
        <v>-0.20833005620115738</v>
      </c>
      <c r="D3303">
        <f ca="1"/>
        <v>-0.28289652737453136</v>
      </c>
      <c r="E3303">
        <f ca="1"/>
        <v>-0.95516899615333861</v>
      </c>
      <c r="G3303">
        <f ca="1"/>
        <v>1.035779668729923</v>
      </c>
    </row>
    <row r="3304" spans="3:7">
      <c r="C3304">
        <f ca="1"/>
        <v>-0.84959111021214129</v>
      </c>
      <c r="D3304">
        <f ca="1"/>
        <v>-0.14790812110083365</v>
      </c>
      <c r="E3304">
        <f ca="1"/>
        <v>-0.88065048542879576</v>
      </c>
      <c r="G3304">
        <f ca="1"/>
        <v>1.5192271443250513</v>
      </c>
    </row>
    <row r="3305" spans="3:7">
      <c r="C3305">
        <f ca="1"/>
        <v>-2.5529438430491228E-2</v>
      </c>
      <c r="D3305">
        <f ca="1"/>
        <v>1.9293476702263099</v>
      </c>
      <c r="E3305">
        <f ca="1"/>
        <v>-2.3348412684240114</v>
      </c>
      <c r="G3305">
        <f ca="1"/>
        <v>9.1745179335701117</v>
      </c>
    </row>
    <row r="3306" spans="3:7">
      <c r="C3306">
        <f ca="1"/>
        <v>1.9405393795454051</v>
      </c>
      <c r="D3306">
        <f ca="1"/>
        <v>0.43391057208851896</v>
      </c>
      <c r="E3306">
        <f ca="1"/>
        <v>0.26756375856302866</v>
      </c>
      <c r="G3306">
        <f ca="1"/>
        <v>4.0255618330330263</v>
      </c>
    </row>
    <row r="3307" spans="3:7">
      <c r="C3307">
        <f ca="1"/>
        <v>-0.28617396015964974</v>
      </c>
      <c r="D3307">
        <f ca="1"/>
        <v>0.66151341941459507</v>
      </c>
      <c r="E3307">
        <f ca="1"/>
        <v>0.83816360703302129</v>
      </c>
      <c r="G3307">
        <f ca="1"/>
        <v>1.2220137716936517</v>
      </c>
    </row>
    <row r="3308" spans="3:7">
      <c r="C3308">
        <f ca="1"/>
        <v>-0.76982059073642928</v>
      </c>
      <c r="D3308">
        <f ca="1"/>
        <v>-0.49492997434451635</v>
      </c>
      <c r="E3308">
        <f ca="1"/>
        <v>-1.026838880682057</v>
      </c>
      <c r="G3308">
        <f ca="1"/>
        <v>1.8919775083068282</v>
      </c>
    </row>
    <row r="3309" spans="3:7">
      <c r="C3309">
        <f ca="1"/>
        <v>-2.0813757634416232</v>
      </c>
      <c r="D3309">
        <f ca="1"/>
        <v>0.57939322203352184</v>
      </c>
      <c r="E3309">
        <f ca="1"/>
        <v>-0.57946417976326181</v>
      </c>
      <c r="G3309">
        <f ca="1"/>
        <v>5.0036003100092952</v>
      </c>
    </row>
    <row r="3310" spans="3:7">
      <c r="C3310">
        <f ca="1"/>
        <v>-0.89219798671007267</v>
      </c>
      <c r="D3310">
        <f ca="1"/>
        <v>0.95629188792277431</v>
      </c>
      <c r="E3310">
        <f ca="1"/>
        <v>0.50330278921249394</v>
      </c>
      <c r="G3310">
        <f ca="1"/>
        <v>1.9638251200254873</v>
      </c>
    </row>
    <row r="3311" spans="3:7">
      <c r="C3311">
        <f ca="1"/>
        <v>-0.4830118513654551</v>
      </c>
      <c r="D3311">
        <f ca="1"/>
        <v>-0.8010708439525196</v>
      </c>
      <c r="E3311">
        <f ca="1"/>
        <v>-1.1305340342275099</v>
      </c>
      <c r="G3311">
        <f ca="1"/>
        <v>2.1531221481370149</v>
      </c>
    </row>
    <row r="3312" spans="3:7">
      <c r="C3312">
        <f ca="1"/>
        <v>-1.8311318050876229</v>
      </c>
      <c r="D3312">
        <f ca="1"/>
        <v>-1.8073210243974049</v>
      </c>
      <c r="E3312">
        <f ca="1"/>
        <v>0.59177975693047791</v>
      </c>
      <c r="G3312">
        <f ca="1"/>
        <v>6.969656253545037</v>
      </c>
    </row>
    <row r="3313" spans="3:7">
      <c r="C3313">
        <f ca="1"/>
        <v>-1.5378516165378948</v>
      </c>
      <c r="D3313">
        <f ca="1"/>
        <v>0.1120852749861542</v>
      </c>
      <c r="E3313">
        <f ca="1"/>
        <v>-0.66379079746522185</v>
      </c>
      <c r="G3313">
        <f ca="1"/>
        <v>2.8181689261564529</v>
      </c>
    </row>
    <row r="3314" spans="3:7">
      <c r="C3314">
        <f ca="1"/>
        <v>0.88998004529996244</v>
      </c>
      <c r="D3314">
        <f ca="1"/>
        <v>1.014332508131172</v>
      </c>
      <c r="E3314">
        <f ca="1"/>
        <v>-0.75603926930082721</v>
      </c>
      <c r="G3314">
        <f ca="1"/>
        <v>2.3925302948087261</v>
      </c>
    </row>
    <row r="3315" spans="3:7">
      <c r="C3315">
        <f ca="1"/>
        <v>1.8093363468350638</v>
      </c>
      <c r="D3315">
        <f ca="1"/>
        <v>1.0155724130039447</v>
      </c>
      <c r="E3315">
        <f ca="1"/>
        <v>-0.16052019744833967</v>
      </c>
      <c r="G3315">
        <f ca="1"/>
        <v>4.3308520758219631</v>
      </c>
    </row>
    <row r="3316" spans="3:7">
      <c r="C3316">
        <f ca="1"/>
        <v>-1.1049386007224311</v>
      </c>
      <c r="D3316">
        <f ca="1"/>
        <v>-0.63490799813876719</v>
      </c>
      <c r="E3316">
        <f ca="1"/>
        <v>0.79536472137092651</v>
      </c>
      <c r="G3316">
        <f ca="1"/>
        <v>2.2566025174684725</v>
      </c>
    </row>
    <row r="3317" spans="3:7">
      <c r="C3317">
        <f ca="1"/>
        <v>-0.81699136600636391</v>
      </c>
      <c r="D3317">
        <f ca="1"/>
        <v>1.2687678719036031</v>
      </c>
      <c r="E3317">
        <f ca="1"/>
        <v>0.82750939454607075</v>
      </c>
      <c r="G3317">
        <f ca="1"/>
        <v>2.9620186029657467</v>
      </c>
    </row>
    <row r="3318" spans="3:7">
      <c r="C3318">
        <f ca="1"/>
        <v>0.23317079560292375</v>
      </c>
      <c r="D3318">
        <f ca="1"/>
        <v>9.913080568591498E-2</v>
      </c>
      <c r="E3318">
        <f ca="1"/>
        <v>-1.0496455614471172</v>
      </c>
      <c r="G3318">
        <f ca="1"/>
        <v>1.1659513412236731</v>
      </c>
    </row>
    <row r="3319" spans="3:7">
      <c r="C3319">
        <f ca="1"/>
        <v>-0.28101140593968094</v>
      </c>
      <c r="D3319">
        <f ca="1"/>
        <v>1.1311320361934698</v>
      </c>
      <c r="E3319">
        <f ca="1"/>
        <v>-0.54483178770012131</v>
      </c>
      <c r="G3319">
        <f ca="1"/>
        <v>1.6552687704598912</v>
      </c>
    </row>
    <row r="3320" spans="3:7">
      <c r="C3320">
        <f ca="1"/>
        <v>0.45082070461555562</v>
      </c>
      <c r="D3320">
        <f ca="1"/>
        <v>0.32601459193975263</v>
      </c>
      <c r="E3320">
        <f ca="1"/>
        <v>-0.22457490598517663</v>
      </c>
      <c r="G3320">
        <f ca="1"/>
        <v>0.35995871026596038</v>
      </c>
    </row>
    <row r="3321" spans="3:7">
      <c r="C3321">
        <f ca="1"/>
        <v>1.615329588766762</v>
      </c>
      <c r="D3321">
        <f ca="1"/>
        <v>0.5258785992394398</v>
      </c>
      <c r="E3321">
        <f ca="1"/>
        <v>1.191951707360976</v>
      </c>
      <c r="G3321">
        <f ca="1"/>
        <v>4.3065868541641779</v>
      </c>
    </row>
    <row r="3322" spans="3:7">
      <c r="C3322">
        <f ca="1"/>
        <v>-0.10818704694279263</v>
      </c>
      <c r="D3322">
        <f ca="1"/>
        <v>0.75863835520001788</v>
      </c>
      <c r="E3322">
        <f ca="1"/>
        <v>0.30748203379306338</v>
      </c>
      <c r="G3322">
        <f ca="1"/>
        <v>0.68178179221230917</v>
      </c>
    </row>
    <row r="3323" spans="3:7">
      <c r="C3323">
        <f ca="1"/>
        <v>0.27272440276348153</v>
      </c>
      <c r="D3323">
        <f ca="1"/>
        <v>-1.366191691693958</v>
      </c>
      <c r="E3323">
        <f ca="1"/>
        <v>-1.4566755543721532</v>
      </c>
      <c r="G3323">
        <f ca="1"/>
        <v>4.062762009021716</v>
      </c>
    </row>
    <row r="3324" spans="3:7">
      <c r="C3324">
        <f ca="1"/>
        <v>0.13908705269294017</v>
      </c>
      <c r="D3324">
        <f ca="1"/>
        <v>0.53731891470102622</v>
      </c>
      <c r="E3324">
        <f ca="1"/>
        <v>1.8173433736582341</v>
      </c>
      <c r="G3324">
        <f ca="1"/>
        <v>3.6107937621017889</v>
      </c>
    </row>
    <row r="3325" spans="3:7">
      <c r="C3325">
        <f ca="1"/>
        <v>0.26055277936130328</v>
      </c>
      <c r="D3325">
        <f ca="1"/>
        <v>-1.9050461254134183</v>
      </c>
      <c r="E3325">
        <f ca="1"/>
        <v>0.94341143505105973</v>
      </c>
      <c r="G3325">
        <f ca="1"/>
        <v>4.5871136265706776</v>
      </c>
    </row>
    <row r="3326" spans="3:7">
      <c r="C3326">
        <f ca="1"/>
        <v>1.3098380389457041</v>
      </c>
      <c r="D3326">
        <f ca="1"/>
        <v>-0.89304590739766698</v>
      </c>
      <c r="E3326">
        <f ca="1"/>
        <v>-1.5821023823281932</v>
      </c>
      <c r="G3326">
        <f ca="1"/>
        <v>5.0162546291573946</v>
      </c>
    </row>
    <row r="3327" spans="3:7">
      <c r="C3327">
        <f ca="1"/>
        <v>-1.5993028360021295</v>
      </c>
      <c r="D3327">
        <f ca="1"/>
        <v>-6.521154168952828E-2</v>
      </c>
      <c r="E3327">
        <f ca="1"/>
        <v>0.16498880115720035</v>
      </c>
      <c r="G3327">
        <f ca="1"/>
        <v>2.5892434109212696</v>
      </c>
    </row>
    <row r="3328" spans="3:7">
      <c r="C3328">
        <f ca="1"/>
        <v>0.99176955740687356</v>
      </c>
      <c r="D3328">
        <f ca="1"/>
        <v>-4.4217964349247525E-2</v>
      </c>
      <c r="E3328">
        <f ca="1"/>
        <v>0.87361313805406293</v>
      </c>
      <c r="G3328">
        <f ca="1"/>
        <v>1.7487619983508844</v>
      </c>
    </row>
    <row r="3329" spans="3:7">
      <c r="C3329">
        <f ca="1"/>
        <v>0.61790574271701926</v>
      </c>
      <c r="D3329">
        <f ca="1"/>
        <v>1.4207637360726741</v>
      </c>
      <c r="E3329">
        <f ca="1"/>
        <v>-0.47376268033963326</v>
      </c>
      <c r="G3329">
        <f ca="1"/>
        <v>2.624828177904448</v>
      </c>
    </row>
    <row r="3330" spans="3:7">
      <c r="C3330">
        <f ca="1"/>
        <v>-0.54620666270523044</v>
      </c>
      <c r="D3330">
        <f ca="1"/>
        <v>-3.3583485205920367E-2</v>
      </c>
      <c r="E3330">
        <f ca="1"/>
        <v>-0.96775185634298466</v>
      </c>
      <c r="G3330">
        <f ca="1"/>
        <v>1.2360132243174544</v>
      </c>
    </row>
    <row r="3331" spans="3:7">
      <c r="C3331">
        <f ca="1"/>
        <v>1.558714674350608</v>
      </c>
      <c r="D3331">
        <f ca="1"/>
        <v>0.53220483442076139</v>
      </c>
      <c r="E3331">
        <f ca="1"/>
        <v>0.43440131648039859</v>
      </c>
      <c r="G3331">
        <f ca="1"/>
        <v>2.9015379255766556</v>
      </c>
    </row>
    <row r="3332" spans="3:7">
      <c r="C3332">
        <f ca="1"/>
        <v>0.89590893931774529</v>
      </c>
      <c r="D3332">
        <f ca="1"/>
        <v>-0.26812462180385377</v>
      </c>
      <c r="E3332">
        <f ca="1"/>
        <v>1.9660743016525097</v>
      </c>
      <c r="G3332">
        <f ca="1"/>
        <v>4.7399917999853107</v>
      </c>
    </row>
    <row r="3333" spans="3:7">
      <c r="C3333">
        <f ca="1"/>
        <v>-0.78480900553033517</v>
      </c>
      <c r="D3333">
        <f ca="1"/>
        <v>-0.88444756345340203</v>
      </c>
      <c r="E3333">
        <f ca="1"/>
        <v>0.16713808264937366</v>
      </c>
      <c r="G3333">
        <f ca="1"/>
        <v>1.4261078063318822</v>
      </c>
    </row>
    <row r="3334" spans="3:7">
      <c r="C3334">
        <f ca="1"/>
        <v>-0.52404901305786689</v>
      </c>
      <c r="D3334">
        <f ca="1"/>
        <v>1.5245287560942886</v>
      </c>
      <c r="E3334">
        <f ca="1"/>
        <v>-1.5561497393015105E-2</v>
      </c>
      <c r="G3334">
        <f ca="1"/>
        <v>2.5990574564464359</v>
      </c>
    </row>
    <row r="3335" spans="3:7">
      <c r="C3335">
        <f ca="1"/>
        <v>-1.6607845231134351</v>
      </c>
      <c r="D3335">
        <f ca="1"/>
        <v>0.51949077107897657</v>
      </c>
      <c r="E3335">
        <f ca="1"/>
        <v>0.14480976688666519</v>
      </c>
      <c r="G3335">
        <f ca="1"/>
        <v>3.0490457620351203</v>
      </c>
    </row>
    <row r="3336" spans="3:7">
      <c r="C3336">
        <f ca="1"/>
        <v>1.1707334448709523</v>
      </c>
      <c r="D3336">
        <f ca="1"/>
        <v>1.1004122679523827</v>
      </c>
      <c r="E3336">
        <f ca="1"/>
        <v>0.39247954878323676</v>
      </c>
      <c r="G3336">
        <f ca="1"/>
        <v>2.7355641546126064</v>
      </c>
    </row>
    <row r="3337" spans="3:7">
      <c r="C3337">
        <f ca="1"/>
        <v>0.50262685880529034</v>
      </c>
      <c r="D3337">
        <f ca="1"/>
        <v>-0.13073663265997143</v>
      </c>
      <c r="E3337">
        <f ca="1"/>
        <v>-0.41200042968041645</v>
      </c>
      <c r="G3337">
        <f ca="1"/>
        <v>0.43947018036858937</v>
      </c>
    </row>
    <row r="3338" spans="3:7">
      <c r="C3338">
        <f ca="1"/>
        <v>0.50592022278929294</v>
      </c>
      <c r="D3338">
        <f ca="1"/>
        <v>1.2710643132147905</v>
      </c>
      <c r="E3338">
        <f ca="1"/>
        <v>0.14101601862313454</v>
      </c>
      <c r="G3338">
        <f ca="1"/>
        <v>1.891445277663675</v>
      </c>
    </row>
    <row r="3339" spans="3:7">
      <c r="C3339">
        <f ca="1"/>
        <v>1.4635972059637056E-2</v>
      </c>
      <c r="D3339">
        <f ca="1"/>
        <v>-0.45027372734913135</v>
      </c>
      <c r="E3339">
        <f ca="1"/>
        <v>1.3347077673464227</v>
      </c>
      <c r="G3339">
        <f ca="1"/>
        <v>1.9844054654338827</v>
      </c>
    </row>
    <row r="3340" spans="3:7">
      <c r="C3340">
        <f ca="1"/>
        <v>-0.15283859094132524</v>
      </c>
      <c r="D3340">
        <f ca="1"/>
        <v>1.7410522638329047</v>
      </c>
      <c r="E3340">
        <f ca="1"/>
        <v>-0.87714394089888037</v>
      </c>
      <c r="G3340">
        <f ca="1"/>
        <v>3.8240041133342308</v>
      </c>
    </row>
    <row r="3341" spans="3:7">
      <c r="C3341">
        <f ca="1"/>
        <v>-0.30224732523634573</v>
      </c>
      <c r="D3341">
        <f ca="1"/>
        <v>-0.56507762436452091</v>
      </c>
      <c r="E3341">
        <f ca="1"/>
        <v>-0.20012990183382057</v>
      </c>
      <c r="G3341">
        <f ca="1"/>
        <v>0.4507181447779906</v>
      </c>
    </row>
    <row r="3342" spans="3:7">
      <c r="C3342">
        <f ca="1"/>
        <v>-0.59659869032428325</v>
      </c>
      <c r="D3342">
        <f ca="1"/>
        <v>-2.0159868180388405</v>
      </c>
      <c r="E3342">
        <f ca="1"/>
        <v>-0.86355368267026311</v>
      </c>
      <c r="G3342">
        <f ca="1"/>
        <v>5.1658578106563926</v>
      </c>
    </row>
    <row r="3343" spans="3:7">
      <c r="C3343">
        <f ca="1"/>
        <v>0.25912361415307084</v>
      </c>
      <c r="D3343">
        <f ca="1"/>
        <v>0.72070027779064205</v>
      </c>
      <c r="E3343">
        <f ca="1"/>
        <v>0.64925163904712135</v>
      </c>
      <c r="G3343">
        <f ca="1"/>
        <v>1.0080816286246317</v>
      </c>
    </row>
    <row r="3344" spans="3:7">
      <c r="C3344">
        <f ca="1"/>
        <v>0.88927369744509877</v>
      </c>
      <c r="D3344">
        <f ca="1"/>
        <v>8.4527471714524724E-2</v>
      </c>
      <c r="E3344">
        <f ca="1"/>
        <v>0.57251276190632894</v>
      </c>
      <c r="G3344">
        <f ca="1"/>
        <v>1.1257234649877397</v>
      </c>
    </row>
    <row r="3345" spans="3:7">
      <c r="C3345">
        <f ca="1"/>
        <v>-0.47614303859607698</v>
      </c>
      <c r="D3345">
        <f ca="1"/>
        <v>-0.42003441834840133</v>
      </c>
      <c r="E3345">
        <f ca="1"/>
        <v>1.6645784574737277</v>
      </c>
      <c r="G3345">
        <f ca="1"/>
        <v>3.1739625468863997</v>
      </c>
    </row>
    <row r="3346" spans="3:7">
      <c r="C3346">
        <f ca="1"/>
        <v>1.6402298515501965</v>
      </c>
      <c r="D3346">
        <f ca="1"/>
        <v>-1.2449755223380068</v>
      </c>
      <c r="E3346">
        <f ca="1"/>
        <v>0.25543990282857409</v>
      </c>
      <c r="G3346">
        <f ca="1"/>
        <v>4.3055675610942439</v>
      </c>
    </row>
    <row r="3347" spans="3:7">
      <c r="C3347">
        <f ca="1"/>
        <v>0.88353088532460078</v>
      </c>
      <c r="D3347">
        <f ca="1"/>
        <v>0.87794738097121938</v>
      </c>
      <c r="E3347">
        <f ca="1"/>
        <v>1.8226649223184985</v>
      </c>
      <c r="G3347">
        <f ca="1"/>
        <v>4.8735258481269952</v>
      </c>
    </row>
    <row r="3348" spans="3:7">
      <c r="C3348">
        <f ca="1"/>
        <v>-2.3995105935263141</v>
      </c>
      <c r="D3348">
        <f ca="1"/>
        <v>-0.69024082731412062</v>
      </c>
      <c r="E3348">
        <f ca="1"/>
        <v>-1.1271768949636232</v>
      </c>
      <c r="G3348">
        <f ca="1"/>
        <v>7.5046112406761214</v>
      </c>
    </row>
    <row r="3349" spans="3:7">
      <c r="C3349">
        <f ca="1"/>
        <v>0.14166678093490254</v>
      </c>
      <c r="D3349">
        <f ca="1"/>
        <v>0.94623101670666332</v>
      </c>
      <c r="E3349">
        <f ca="1"/>
        <v>-1.3141587338384209</v>
      </c>
      <c r="G3349">
        <f ca="1"/>
        <v>2.6424357915219847</v>
      </c>
    </row>
    <row r="3350" spans="3:7">
      <c r="C3350">
        <f ca="1"/>
        <v>0.72215623121314743</v>
      </c>
      <c r="D3350">
        <f ca="1"/>
        <v>-1.1960682165034904E-2</v>
      </c>
      <c r="E3350">
        <f ca="1"/>
        <v>-0.43741785908056713</v>
      </c>
      <c r="G3350">
        <f ca="1"/>
        <v>0.71298706364045672</v>
      </c>
    </row>
    <row r="3351" spans="3:7">
      <c r="C3351">
        <f ca="1"/>
        <v>1.8503360002336748</v>
      </c>
      <c r="D3351">
        <f ca="1"/>
        <v>0.10471008919002932</v>
      </c>
      <c r="E3351">
        <f ca="1"/>
        <v>0.30751235910725777</v>
      </c>
      <c r="G3351">
        <f ca="1"/>
        <v>3.5292713675426488</v>
      </c>
    </row>
    <row r="3352" spans="3:7">
      <c r="C3352">
        <f ca="1"/>
        <v>-0.55631225949271279</v>
      </c>
      <c r="D3352">
        <f ca="1"/>
        <v>0.54236228053963731</v>
      </c>
      <c r="E3352">
        <f ca="1"/>
        <v>1.1436129495924416</v>
      </c>
      <c r="G3352">
        <f ca="1"/>
        <v>1.9114907518895681</v>
      </c>
    </row>
    <row r="3353" spans="3:7">
      <c r="C3353">
        <f ca="1"/>
        <v>0.23848868734966805</v>
      </c>
      <c r="D3353">
        <f ca="1"/>
        <v>-1.8596664383305961</v>
      </c>
      <c r="E3353">
        <f ca="1"/>
        <v>1.6680099490919109</v>
      </c>
      <c r="G3353">
        <f ca="1"/>
        <v>6.2974933061165714</v>
      </c>
    </row>
    <row r="3354" spans="3:7">
      <c r="C3354">
        <f ca="1"/>
        <v>-0.21349020428382365</v>
      </c>
      <c r="D3354">
        <f ca="1"/>
        <v>1.0199287059423776</v>
      </c>
      <c r="E3354">
        <f ca="1"/>
        <v>-2.0367096940439215</v>
      </c>
      <c r="G3354">
        <f ca="1"/>
        <v>5.2340190103429265</v>
      </c>
    </row>
    <row r="3355" spans="3:7">
      <c r="C3355">
        <f ca="1"/>
        <v>-0.77523026592038202</v>
      </c>
      <c r="D3355">
        <f ca="1"/>
        <v>0.70440353295735492</v>
      </c>
      <c r="E3355">
        <f ca="1"/>
        <v>-1.6814276208529029</v>
      </c>
      <c r="G3355">
        <f ca="1"/>
        <v>3.9243651466088432</v>
      </c>
    </row>
    <row r="3356" spans="3:7">
      <c r="C3356">
        <f ca="1"/>
        <v>0.30637245315508921</v>
      </c>
      <c r="D3356">
        <f ca="1"/>
        <v>-0.17333085341000576</v>
      </c>
      <c r="E3356">
        <f ca="1"/>
        <v>-2.0956084067102259</v>
      </c>
      <c r="G3356">
        <f ca="1"/>
        <v>4.5154822590706791</v>
      </c>
    </row>
    <row r="3357" spans="3:7">
      <c r="C3357">
        <f ca="1"/>
        <v>0.42694066921628893</v>
      </c>
      <c r="D3357">
        <f ca="1"/>
        <v>-0.18174186458277622</v>
      </c>
      <c r="E3357">
        <f ca="1"/>
        <v>-3.3289918041298863E-3</v>
      </c>
      <c r="G3357">
        <f ca="1"/>
        <v>0.21531952255930878</v>
      </c>
    </row>
    <row r="3358" spans="3:7">
      <c r="C3358">
        <f ca="1"/>
        <v>-0.94615501702648031</v>
      </c>
      <c r="D3358">
        <f ca="1"/>
        <v>1.3265995554152228</v>
      </c>
      <c r="E3358">
        <f ca="1"/>
        <v>1.0332813392873583</v>
      </c>
      <c r="G3358">
        <f ca="1"/>
        <v>3.7227460227917231</v>
      </c>
    </row>
    <row r="3359" spans="3:7">
      <c r="C3359">
        <f ca="1"/>
        <v>-0.31635821086309296</v>
      </c>
      <c r="D3359">
        <f ca="1"/>
        <v>0.91278034924684914</v>
      </c>
      <c r="E3359">
        <f ca="1"/>
        <v>-0.49413541698938407</v>
      </c>
      <c r="G3359">
        <f ca="1"/>
        <v>1.1774202938749696</v>
      </c>
    </row>
    <row r="3360" spans="3:7">
      <c r="C3360">
        <f ca="1"/>
        <v>0.27846293948324752</v>
      </c>
      <c r="D3360">
        <f ca="1"/>
        <v>-1.8383570523336452</v>
      </c>
      <c r="E3360">
        <f ca="1"/>
        <v>-1.4409223484055496</v>
      </c>
      <c r="G3360">
        <f ca="1"/>
        <v>5.5333554746650631</v>
      </c>
    </row>
    <row r="3361" spans="3:7">
      <c r="C3361">
        <f ca="1"/>
        <v>-1.8673660380660719</v>
      </c>
      <c r="D3361">
        <f ca="1"/>
        <v>1.1401647082509014</v>
      </c>
      <c r="E3361">
        <f ca="1"/>
        <v>-1.3744745910320308</v>
      </c>
      <c r="G3361">
        <f ca="1"/>
        <v>6.6762118834561104</v>
      </c>
    </row>
    <row r="3362" spans="3:7">
      <c r="C3362">
        <f ca="1"/>
        <v>0.33817079122322496</v>
      </c>
      <c r="D3362">
        <f ca="1"/>
        <v>0.61671771951659116</v>
      </c>
      <c r="E3362">
        <f ca="1"/>
        <v>-0.16413682557023837</v>
      </c>
      <c r="G3362">
        <f ca="1"/>
        <v>0.52164112711056165</v>
      </c>
    </row>
    <row r="3363" spans="3:7">
      <c r="C3363">
        <f ca="1"/>
        <v>-0.87451833110956301</v>
      </c>
      <c r="D3363">
        <f ca="1"/>
        <v>-1.5179019809737755</v>
      </c>
      <c r="E3363">
        <f ca="1"/>
        <v>0.18454519682856135</v>
      </c>
      <c r="G3363">
        <f ca="1"/>
        <v>3.1028656649632596</v>
      </c>
    </row>
    <row r="3364" spans="3:7">
      <c r="C3364">
        <f ca="1"/>
        <v>-0.64694131064476668</v>
      </c>
      <c r="D3364">
        <f ca="1"/>
        <v>-1.9423793320357683</v>
      </c>
      <c r="E3364">
        <f ca="1"/>
        <v>-1.2977457384638567</v>
      </c>
      <c r="G3364">
        <f ca="1"/>
        <v>5.8755145306395864</v>
      </c>
    </row>
    <row r="3365" spans="3:7">
      <c r="C3365">
        <f ca="1"/>
        <v>-0.78722022544289139</v>
      </c>
      <c r="D3365">
        <f ca="1"/>
        <v>-0.93432680012170577</v>
      </c>
      <c r="E3365">
        <f ca="1"/>
        <v>-1.3451344241631888</v>
      </c>
      <c r="G3365">
        <f ca="1"/>
        <v>3.3020688718408566</v>
      </c>
    </row>
    <row r="3366" spans="3:7">
      <c r="C3366">
        <f ca="1"/>
        <v>0.64086642875017108</v>
      </c>
      <c r="D3366">
        <f ca="1"/>
        <v>-0.39033757141939934</v>
      </c>
      <c r="E3366">
        <f ca="1"/>
        <v>1.2319950268212314</v>
      </c>
      <c r="G3366">
        <f ca="1"/>
        <v>2.0808849452728397</v>
      </c>
    </row>
    <row r="3367" spans="3:7">
      <c r="C3367">
        <f ca="1"/>
        <v>-1.2511501931902087</v>
      </c>
      <c r="D3367">
        <f ca="1"/>
        <v>1.7339448373894641</v>
      </c>
      <c r="E3367">
        <f ca="1"/>
        <v>2.3491143134823247</v>
      </c>
      <c r="G3367">
        <f ca="1"/>
        <v>10.090279562837004</v>
      </c>
    </row>
    <row r="3368" spans="3:7">
      <c r="C3368">
        <f ca="1"/>
        <v>-0.62985129722542643</v>
      </c>
      <c r="D3368">
        <f ca="1"/>
        <v>-1.3037125879124045</v>
      </c>
      <c r="E3368">
        <f ca="1"/>
        <v>-0.58272097340085327</v>
      </c>
      <c r="G3368">
        <f ca="1"/>
        <v>2.4359429013390494</v>
      </c>
    </row>
    <row r="3369" spans="3:7">
      <c r="C3369">
        <f ca="1"/>
        <v>0.43730895333819081</v>
      </c>
      <c r="D3369">
        <f ca="1"/>
        <v>0.74661170893582873</v>
      </c>
      <c r="E3369">
        <f ca="1"/>
        <v>1.4585258445590095</v>
      </c>
      <c r="G3369">
        <f ca="1"/>
        <v>2.8759658038363942</v>
      </c>
    </row>
    <row r="3370" spans="3:7">
      <c r="C3370">
        <f ca="1"/>
        <v>0.50051302153084265</v>
      </c>
      <c r="D3370">
        <f ca="1"/>
        <v>-0.28341381450867809</v>
      </c>
      <c r="E3370">
        <f ca="1"/>
        <v>-0.11105337728326364</v>
      </c>
      <c r="G3370">
        <f ca="1"/>
        <v>0.34316952758231201</v>
      </c>
    </row>
    <row r="3371" spans="3:7">
      <c r="C3371">
        <f ca="1"/>
        <v>-0.38825593718287166</v>
      </c>
      <c r="D3371">
        <f ca="1"/>
        <v>0.26027930019116929</v>
      </c>
      <c r="E3371">
        <f ca="1"/>
        <v>-0.74626309233876864</v>
      </c>
      <c r="G3371">
        <f ca="1"/>
        <v>0.77539658985277637</v>
      </c>
    </row>
    <row r="3372" spans="3:7">
      <c r="C3372">
        <f ca="1"/>
        <v>1.384438034242413</v>
      </c>
      <c r="D3372">
        <f ca="1"/>
        <v>-0.2940090218290779</v>
      </c>
      <c r="E3372">
        <f ca="1"/>
        <v>0.67789299391351865</v>
      </c>
      <c r="G3372">
        <f ca="1"/>
        <v>2.4626488867709213</v>
      </c>
    </row>
    <row r="3373" spans="3:7">
      <c r="C3373">
        <f ca="1"/>
        <v>0.20648867184326089</v>
      </c>
      <c r="D3373">
        <f ca="1"/>
        <v>0.65624628089767323</v>
      </c>
      <c r="E3373">
        <f ca="1"/>
        <v>0.52341023820667287</v>
      </c>
      <c r="G3373">
        <f ca="1"/>
        <v>0.74725503025118778</v>
      </c>
    </row>
    <row r="3374" spans="3:7">
      <c r="C3374">
        <f ca="1"/>
        <v>0.15122413021949108</v>
      </c>
      <c r="D3374">
        <f ca="1"/>
        <v>-0.5153310437094627</v>
      </c>
      <c r="E3374">
        <f ca="1"/>
        <v>-0.93695618643705458</v>
      </c>
      <c r="G3374">
        <f ca="1"/>
        <v>1.1663217174739944</v>
      </c>
    </row>
    <row r="3375" spans="3:7">
      <c r="C3375">
        <f ca="1"/>
        <v>0.60721652452348995</v>
      </c>
      <c r="D3375">
        <f ca="1"/>
        <v>0.15731929737554065</v>
      </c>
      <c r="E3375">
        <f ca="1"/>
        <v>0.605344691698538</v>
      </c>
      <c r="G3375">
        <f ca="1"/>
        <v>0.75990346474871784</v>
      </c>
    </row>
    <row r="3376" spans="3:7">
      <c r="C3376">
        <f ca="1"/>
        <v>2.0066381732486049</v>
      </c>
      <c r="D3376">
        <f ca="1"/>
        <v>0.53119232044247655</v>
      </c>
      <c r="E3376">
        <f ca="1"/>
        <v>-0.24954469734883281</v>
      </c>
      <c r="G3376">
        <f ca="1"/>
        <v>4.3710345956104817</v>
      </c>
    </row>
    <row r="3377" spans="3:7">
      <c r="C3377">
        <f ca="1"/>
        <v>0.92658546590610869</v>
      </c>
      <c r="D3377">
        <f ca="1"/>
        <v>-0.85173371439170231</v>
      </c>
      <c r="E3377">
        <f ca="1"/>
        <v>0.50965372074614657</v>
      </c>
      <c r="G3377">
        <f ca="1"/>
        <v>1.8437578609303178</v>
      </c>
    </row>
    <row r="3378" spans="3:7">
      <c r="C3378">
        <f ca="1"/>
        <v>-0.37473470154420713</v>
      </c>
      <c r="D3378">
        <f ca="1"/>
        <v>-0.72988914395367899</v>
      </c>
      <c r="E3378">
        <f ca="1"/>
        <v>-1.1769886370968041</v>
      </c>
      <c r="G3378">
        <f ca="1"/>
        <v>2.058466510857853</v>
      </c>
    </row>
    <row r="3379" spans="3:7">
      <c r="C3379">
        <f ca="1"/>
        <v>0.23053393680167519</v>
      </c>
      <c r="D3379">
        <f ca="1"/>
        <v>-2.426695753407886E-3</v>
      </c>
      <c r="E3379">
        <f ca="1"/>
        <v>2.263463165221451</v>
      </c>
      <c r="G3379">
        <f ca="1"/>
        <v>5.1764172851838675</v>
      </c>
    </row>
    <row r="3380" spans="3:7">
      <c r="C3380">
        <f ca="1"/>
        <v>1.0683974219275247</v>
      </c>
      <c r="D3380">
        <f ca="1"/>
        <v>0.39926135796514206</v>
      </c>
      <c r="E3380">
        <f ca="1"/>
        <v>-0.58413889523849061</v>
      </c>
      <c r="G3380">
        <f ca="1"/>
        <v>1.6421009320759949</v>
      </c>
    </row>
    <row r="3381" spans="3:7">
      <c r="C3381">
        <f ca="1"/>
        <v>-1.1261118012010765</v>
      </c>
      <c r="D3381">
        <f ca="1"/>
        <v>0.38762372003464579</v>
      </c>
      <c r="E3381">
        <f ca="1"/>
        <v>-0.45059499305695133</v>
      </c>
      <c r="G3381">
        <f ca="1"/>
        <v>1.6214157849058244</v>
      </c>
    </row>
    <row r="3382" spans="3:7">
      <c r="C3382">
        <f ca="1"/>
        <v>0.68547904527997205</v>
      </c>
      <c r="D3382">
        <f ca="1"/>
        <v>-0.19786689638166224</v>
      </c>
      <c r="E3382">
        <f ca="1"/>
        <v>2.994667961401893</v>
      </c>
      <c r="G3382">
        <f ca="1"/>
        <v>9.4770690292486215</v>
      </c>
    </row>
    <row r="3383" spans="3:7">
      <c r="C3383">
        <f ca="1"/>
        <v>-0.92611509488466759</v>
      </c>
      <c r="D3383">
        <f ca="1"/>
        <v>-2.8079736311779109</v>
      </c>
      <c r="E3383">
        <f ca="1"/>
        <v>1.0418687034323766</v>
      </c>
      <c r="G3383">
        <f ca="1"/>
        <v>9.8278954775555611</v>
      </c>
    </row>
    <row r="3384" spans="3:7">
      <c r="C3384">
        <f ca="1"/>
        <v>4.2288451602386402E-2</v>
      </c>
      <c r="D3384">
        <f ca="1"/>
        <v>0.3906818013591275</v>
      </c>
      <c r="E3384">
        <f ca="1"/>
        <v>-1.0458674022228152</v>
      </c>
      <c r="G3384">
        <f ca="1"/>
        <v>1.24825920608444</v>
      </c>
    </row>
    <row r="3385" spans="3:7">
      <c r="C3385">
        <f ca="1"/>
        <v>0.1807017549305075</v>
      </c>
      <c r="D3385">
        <f ca="1"/>
        <v>0.51954098141527505</v>
      </c>
      <c r="E3385">
        <f ca="1"/>
        <v>0.27094317994561617</v>
      </c>
      <c r="G3385">
        <f ca="1"/>
        <v>0.37598616236395488</v>
      </c>
    </row>
    <row r="3386" spans="3:7">
      <c r="C3386">
        <f ca="1"/>
        <v>0.90771806086406914</v>
      </c>
      <c r="D3386">
        <f ca="1"/>
        <v>-0.238873748693125</v>
      </c>
      <c r="E3386">
        <f ca="1"/>
        <v>-0.49503469315650295</v>
      </c>
      <c r="G3386">
        <f ca="1"/>
        <v>1.1260720932620851</v>
      </c>
    </row>
    <row r="3387" spans="3:7">
      <c r="C3387">
        <f ca="1"/>
        <v>1.5336637188541329</v>
      </c>
      <c r="D3387">
        <f ca="1"/>
        <v>0.80150333674237895</v>
      </c>
      <c r="E3387">
        <f ca="1"/>
        <v>1.0229791195981612</v>
      </c>
      <c r="G3387">
        <f ca="1"/>
        <v>4.0410182804724846</v>
      </c>
    </row>
    <row r="3388" spans="3:7">
      <c r="C3388">
        <f ca="1"/>
        <v>2.6170843530920564E-2</v>
      </c>
      <c r="D3388">
        <f ca="1"/>
        <v>-0.48776377779426333</v>
      </c>
      <c r="E3388">
        <f ca="1"/>
        <v>-0.8936601310901664</v>
      </c>
      <c r="G3388">
        <f ca="1"/>
        <v>1.0372268458793448</v>
      </c>
    </row>
    <row r="3389" spans="3:7">
      <c r="C3389">
        <f ca="1"/>
        <v>-0.32768032524732188</v>
      </c>
      <c r="D3389">
        <f ca="1"/>
        <v>0.18020605801331441</v>
      </c>
      <c r="E3389">
        <f ca="1"/>
        <v>-0.20908675350542288</v>
      </c>
      <c r="G3389">
        <f ca="1"/>
        <v>0.18356588939032617</v>
      </c>
    </row>
    <row r="3390" spans="3:7">
      <c r="C3390">
        <f ca="1"/>
        <v>-0.57028190995634553</v>
      </c>
      <c r="D3390">
        <f ca="1"/>
        <v>1.8330208910620491</v>
      </c>
      <c r="E3390">
        <f ca="1"/>
        <v>0.92024738756775648</v>
      </c>
      <c r="G3390">
        <f ca="1"/>
        <v>4.5320422982186468</v>
      </c>
    </row>
    <row r="3391" spans="3:7">
      <c r="C3391">
        <f ca="1"/>
        <v>-7.421392637478183E-2</v>
      </c>
      <c r="D3391">
        <f ca="1"/>
        <v>-0.68131594038778664</v>
      </c>
      <c r="E3391">
        <f ca="1"/>
        <v>-0.37139949750352513</v>
      </c>
      <c r="G3391">
        <f ca="1"/>
        <v>0.60763670424032656</v>
      </c>
    </row>
    <row r="3392" spans="3:7">
      <c r="C3392">
        <f ca="1"/>
        <v>2.052024547752172E-2</v>
      </c>
      <c r="D3392">
        <f ca="1"/>
        <v>1.1074054121631522</v>
      </c>
      <c r="E3392">
        <f ca="1"/>
        <v>-1.1217925590752293</v>
      </c>
      <c r="G3392">
        <f ca="1"/>
        <v>2.4851863729592507</v>
      </c>
    </row>
    <row r="3393" spans="3:7">
      <c r="C3393">
        <f ca="1"/>
        <v>-0.19280680670671552</v>
      </c>
      <c r="D3393">
        <f ca="1"/>
        <v>-1.0484430327595504</v>
      </c>
      <c r="E3393">
        <f ca="1"/>
        <v>0.26062601070697805</v>
      </c>
      <c r="G3393">
        <f ca="1"/>
        <v>1.2043331751115185</v>
      </c>
    </row>
    <row r="3394" spans="3:7">
      <c r="C3394">
        <f ca="1"/>
        <v>0.98338714612580469</v>
      </c>
      <c r="D3394">
        <f ca="1"/>
        <v>-0.28688711738175204</v>
      </c>
      <c r="E3394">
        <f ca="1"/>
        <v>0.64593517744263751</v>
      </c>
      <c r="G3394">
        <f ca="1"/>
        <v>1.4665867507429176</v>
      </c>
    </row>
    <row r="3395" spans="3:7">
      <c r="C3395">
        <f ca="1"/>
        <v>1.3531431931335611</v>
      </c>
      <c r="D3395">
        <f ca="1"/>
        <v>-0.37363350046300847</v>
      </c>
      <c r="E3395">
        <f ca="1"/>
        <v>1.9456829165788621</v>
      </c>
      <c r="G3395">
        <f ca="1"/>
        <v>5.7562805056587578</v>
      </c>
    </row>
    <row r="3396" spans="3:7">
      <c r="C3396">
        <f ca="1"/>
        <v>0.35561537080014904</v>
      </c>
      <c r="D3396">
        <f ca="1"/>
        <v>0.28639724740185651</v>
      </c>
      <c r="E3396">
        <f ca="1"/>
        <v>0.38655521766585232</v>
      </c>
      <c r="G3396">
        <f ca="1"/>
        <v>0.35791061157338222</v>
      </c>
    </row>
    <row r="3397" spans="3:7">
      <c r="C3397">
        <f ca="1"/>
        <v>-0.83194449944057081</v>
      </c>
      <c r="D3397">
        <f ca="1"/>
        <v>1.0034647593763448</v>
      </c>
      <c r="E3397">
        <f ca="1"/>
        <v>-2.1728672437933185</v>
      </c>
      <c r="G3397">
        <f ca="1"/>
        <v>6.4204252326096203</v>
      </c>
    </row>
    <row r="3398" spans="3:7">
      <c r="C3398">
        <f ca="1"/>
        <v>-0.13754620756257802</v>
      </c>
      <c r="D3398">
        <f ca="1"/>
        <v>-0.84385373921286244</v>
      </c>
      <c r="E3398">
        <f ca="1"/>
        <v>0.3427070815611577</v>
      </c>
      <c r="G3398">
        <f ca="1"/>
        <v>0.84845623615054344</v>
      </c>
    </row>
    <row r="3399" spans="3:7">
      <c r="C3399">
        <f ca="1"/>
        <v>0.16649861328026624</v>
      </c>
      <c r="D3399">
        <f ca="1"/>
        <v>1.0154308727068104</v>
      </c>
      <c r="E3399">
        <f ca="1"/>
        <v>-1.8139025221497536</v>
      </c>
      <c r="G3399">
        <f ca="1"/>
        <v>4.3490640053316039</v>
      </c>
    </row>
    <row r="3400" spans="3:7">
      <c r="C3400">
        <f ca="1"/>
        <v>0.97413245676535831</v>
      </c>
      <c r="D3400">
        <f ca="1"/>
        <v>1.2319599747714447</v>
      </c>
      <c r="E3400">
        <f ca="1"/>
        <v>0.16197222863879623</v>
      </c>
      <c r="G3400">
        <f ca="1"/>
        <v>2.4928944256127901</v>
      </c>
    </row>
    <row r="3401" spans="3:7">
      <c r="C3401">
        <f ca="1"/>
        <v>-0.10341555559091932</v>
      </c>
      <c r="D3401">
        <f ca="1"/>
        <v>-0.46526165385817586</v>
      </c>
      <c r="E3401">
        <f ca="1"/>
        <v>-0.20835296842866607</v>
      </c>
      <c r="G3401">
        <f ca="1"/>
        <v>0.2705741431420603</v>
      </c>
    </row>
    <row r="3402" spans="3:7">
      <c r="C3402">
        <f ca="1"/>
        <v>-1.1236763306776858</v>
      </c>
      <c r="D3402">
        <f ca="1"/>
        <v>0.22198171093400618</v>
      </c>
      <c r="E3402">
        <f ca="1"/>
        <v>1.1058354520541072</v>
      </c>
      <c r="G3402">
        <f ca="1"/>
        <v>2.5347964231341682</v>
      </c>
    </row>
    <row r="3403" spans="3:7">
      <c r="C3403">
        <f ca="1"/>
        <v>0.88086632983051105</v>
      </c>
      <c r="D3403">
        <f ca="1"/>
        <v>1.7256685783076342</v>
      </c>
      <c r="E3403">
        <f ca="1"/>
        <v>-0.90221454330305684</v>
      </c>
      <c r="G3403">
        <f ca="1"/>
        <v>4.5678486153349098</v>
      </c>
    </row>
    <row r="3404" spans="3:7">
      <c r="C3404">
        <f ca="1"/>
        <v>0.10077212364697652</v>
      </c>
      <c r="D3404">
        <f ca="1"/>
        <v>0.76065786432446503</v>
      </c>
      <c r="E3404">
        <f ca="1"/>
        <v>0.26223874813821768</v>
      </c>
      <c r="G3404">
        <f ca="1"/>
        <v>0.65752456848807728</v>
      </c>
    </row>
    <row r="3405" spans="3:7">
      <c r="C3405">
        <f ca="1"/>
        <v>-2.2742254496686262E-2</v>
      </c>
      <c r="D3405">
        <f ca="1"/>
        <v>1.3664081939520372</v>
      </c>
      <c r="E3405">
        <f ca="1"/>
        <v>3.8626160617850007E-2</v>
      </c>
      <c r="G3405">
        <f ca="1"/>
        <v>1.869080542922936</v>
      </c>
    </row>
    <row r="3406" spans="3:7">
      <c r="C3406">
        <f ca="1"/>
        <v>0.23944180589481268</v>
      </c>
      <c r="D3406">
        <f ca="1"/>
        <v>-0.46609647084367956</v>
      </c>
      <c r="E3406">
        <f ca="1"/>
        <v>-0.109295745677968</v>
      </c>
      <c r="G3406">
        <f ca="1"/>
        <v>0.28652385856640522</v>
      </c>
    </row>
    <row r="3407" spans="3:7">
      <c r="C3407">
        <f ca="1"/>
        <v>1.0697054215789401</v>
      </c>
      <c r="D3407">
        <f ca="1"/>
        <v>-0.90231282205616414</v>
      </c>
      <c r="E3407">
        <f ca="1"/>
        <v>-0.73496920912497266</v>
      </c>
      <c r="G3407">
        <f ca="1"/>
        <v>2.4986178561641248</v>
      </c>
    </row>
    <row r="3408" spans="3:7">
      <c r="C3408">
        <f ca="1"/>
        <v>-0.99526372356525816</v>
      </c>
      <c r="D3408">
        <f ca="1"/>
        <v>-0.32820792096132528</v>
      </c>
      <c r="E3408">
        <f ca="1"/>
        <v>-0.71887466720989268</v>
      </c>
      <c r="G3408">
        <f ca="1"/>
        <v>1.615051105982872</v>
      </c>
    </row>
    <row r="3409" spans="3:7">
      <c r="C3409">
        <f ca="1"/>
        <v>0.1586987803789747</v>
      </c>
      <c r="D3409">
        <f ca="1"/>
        <v>1.4735608542939851</v>
      </c>
      <c r="E3409">
        <f ca="1"/>
        <v>0.40930622695089891</v>
      </c>
      <c r="G3409">
        <f ca="1"/>
        <v>2.364098481622174</v>
      </c>
    </row>
    <row r="3410" spans="3:7">
      <c r="C3410">
        <f ca="1"/>
        <v>4.3081658376671321E-2</v>
      </c>
      <c r="D3410">
        <f ca="1"/>
        <v>-0.78425666665416049</v>
      </c>
      <c r="E3410">
        <f ca="1"/>
        <v>-2.0264343507723397</v>
      </c>
      <c r="G3410">
        <f ca="1"/>
        <v>4.7233507264700929</v>
      </c>
    </row>
    <row r="3411" spans="3:7">
      <c r="C3411">
        <f ca="1"/>
        <v>1.2894369591356856</v>
      </c>
      <c r="D3411">
        <f ca="1"/>
        <v>-0.79524310568281353</v>
      </c>
      <c r="E3411">
        <f ca="1"/>
        <v>0.69846146110231888</v>
      </c>
      <c r="G3411">
        <f ca="1"/>
        <v>2.7829076813663165</v>
      </c>
    </row>
    <row r="3412" spans="3:7">
      <c r="C3412">
        <f ca="1"/>
        <v>-1.417364431209599</v>
      </c>
      <c r="D3412">
        <f ca="1"/>
        <v>0.16527073791677854</v>
      </c>
      <c r="E3412">
        <f ca="1"/>
        <v>1.4606528371743686</v>
      </c>
      <c r="G3412">
        <f ca="1"/>
        <v>4.1697430584151984</v>
      </c>
    </row>
    <row r="3413" spans="3:7">
      <c r="C3413">
        <f ca="1"/>
        <v>4.3597969746865268E-4</v>
      </c>
      <c r="D3413">
        <f ca="1"/>
        <v>-0.22187756400375966</v>
      </c>
      <c r="E3413">
        <f ca="1"/>
        <v>-0.49385860212606852</v>
      </c>
      <c r="G3413">
        <f ca="1"/>
        <v>0.29312616238045353</v>
      </c>
    </row>
    <row r="3414" spans="3:7">
      <c r="C3414">
        <f ca="1"/>
        <v>0.25550678826250173</v>
      </c>
      <c r="D3414">
        <f ca="1"/>
        <v>-0.11827394498846916</v>
      </c>
      <c r="E3414">
        <f ca="1"/>
        <v>0.94312958537210212</v>
      </c>
      <c r="G3414">
        <f ca="1"/>
        <v>0.96876585971550755</v>
      </c>
    </row>
    <row r="3415" spans="3:7">
      <c r="C3415">
        <f ca="1"/>
        <v>-0.54654556266863474</v>
      </c>
      <c r="D3415">
        <f ca="1"/>
        <v>-0.13165740661023273</v>
      </c>
      <c r="E3415">
        <f ca="1"/>
        <v>1.3892299011735791</v>
      </c>
      <c r="G3415">
        <f ca="1"/>
        <v>2.2460054431028591</v>
      </c>
    </row>
    <row r="3416" spans="3:7">
      <c r="C3416">
        <f ca="1"/>
        <v>-0.36257163900557932</v>
      </c>
      <c r="D3416">
        <f ca="1"/>
        <v>0.75794269746505627</v>
      </c>
      <c r="E3416">
        <f ca="1"/>
        <v>-8.3141294398735896E-2</v>
      </c>
      <c r="G3416">
        <f ca="1"/>
        <v>0.71284780088609523</v>
      </c>
    </row>
    <row r="3417" spans="3:7">
      <c r="C3417">
        <f ca="1"/>
        <v>2.088474923775713</v>
      </c>
      <c r="D3417">
        <f ca="1"/>
        <v>-0.5598110681861177</v>
      </c>
      <c r="E3417">
        <f ca="1"/>
        <v>-0.6090711873166752</v>
      </c>
      <c r="G3417">
        <f ca="1"/>
        <v>5.0460836505229967</v>
      </c>
    </row>
    <row r="3418" spans="3:7">
      <c r="C3418">
        <f ca="1"/>
        <v>0.40310998666651093</v>
      </c>
      <c r="D3418">
        <f ca="1"/>
        <v>0.24214699698807021</v>
      </c>
      <c r="E3418">
        <f ca="1"/>
        <v>0.53159745831390159</v>
      </c>
      <c r="G3418">
        <f ca="1"/>
        <v>0.5037286871864155</v>
      </c>
    </row>
    <row r="3419" spans="3:7">
      <c r="C3419">
        <f ca="1"/>
        <v>0.65389235917268451</v>
      </c>
      <c r="D3419">
        <f ca="1"/>
        <v>-0.97182549210101121</v>
      </c>
      <c r="E3419">
        <f ca="1"/>
        <v>-8.178470928519499E-2</v>
      </c>
      <c r="G3419">
        <f ca="1"/>
        <v>1.3787087431546554</v>
      </c>
    </row>
    <row r="3420" spans="3:7">
      <c r="C3420">
        <f ca="1"/>
        <v>0.59461155138528554</v>
      </c>
      <c r="D3420">
        <f ca="1"/>
        <v>0.49914620602927512</v>
      </c>
      <c r="E3420">
        <f ca="1"/>
        <v>-1.2904788989197413</v>
      </c>
      <c r="G3420">
        <f ca="1"/>
        <v>2.2680456205913435</v>
      </c>
    </row>
    <row r="3421" spans="3:7">
      <c r="C3421">
        <f ca="1"/>
        <v>1.3401573945763001</v>
      </c>
      <c r="D3421">
        <f ca="1"/>
        <v>1.9417185988437495</v>
      </c>
      <c r="E3421">
        <f ca="1"/>
        <v>-1.2672399612164735</v>
      </c>
      <c r="G3421">
        <f ca="1"/>
        <v>7.1721900786371995</v>
      </c>
    </row>
    <row r="3422" spans="3:7">
      <c r="C3422">
        <f ca="1"/>
        <v>-4.6587934978509868E-2</v>
      </c>
      <c r="D3422">
        <f ca="1"/>
        <v>1.0091509494458215</v>
      </c>
      <c r="E3422">
        <f ca="1"/>
        <v>-0.76595582991393774</v>
      </c>
      <c r="G3422">
        <f ca="1"/>
        <v>1.607244407832114</v>
      </c>
    </row>
    <row r="3423" spans="3:7">
      <c r="C3423">
        <f ca="1"/>
        <v>-0.48739623272183641</v>
      </c>
      <c r="D3423">
        <f ca="1"/>
        <v>-1.6259390003988672</v>
      </c>
      <c r="E3423">
        <f ca="1"/>
        <v>0.75948212960724182</v>
      </c>
      <c r="G3423">
        <f ca="1"/>
        <v>3.4580458258822575</v>
      </c>
    </row>
    <row r="3424" spans="3:7">
      <c r="C3424">
        <f ca="1"/>
        <v>1.2774388633925986</v>
      </c>
      <c r="D3424">
        <f ca="1"/>
        <v>-0.8659178490592041</v>
      </c>
      <c r="E3424">
        <f ca="1"/>
        <v>-1.9486364951160788</v>
      </c>
      <c r="G3424">
        <f ca="1"/>
        <v>6.1788479611233686</v>
      </c>
    </row>
    <row r="3425" spans="3:7">
      <c r="C3425">
        <f ca="1"/>
        <v>0.24135873236820798</v>
      </c>
      <c r="D3425">
        <f ca="1"/>
        <v>-0.31107050515731899</v>
      </c>
      <c r="E3425">
        <f ca="1"/>
        <v>-0.78378986943036177</v>
      </c>
      <c r="G3425">
        <f ca="1"/>
        <v>0.76934545629088147</v>
      </c>
    </row>
    <row r="3426" spans="3:7">
      <c r="C3426">
        <f ca="1"/>
        <v>1.8483577928929618</v>
      </c>
      <c r="D3426">
        <f ca="1"/>
        <v>1.3051872995264289</v>
      </c>
      <c r="E3426">
        <f ca="1"/>
        <v>0.69175802988680601</v>
      </c>
      <c r="G3426">
        <f ca="1"/>
        <v>5.5984695893061076</v>
      </c>
    </row>
    <row r="3427" spans="3:7">
      <c r="C3427">
        <f ca="1"/>
        <v>0.30658639997796272</v>
      </c>
      <c r="D3427">
        <f ca="1"/>
        <v>-1.2465148224664508</v>
      </c>
      <c r="E3427">
        <f ca="1"/>
        <v>-0.96071394386108011</v>
      </c>
      <c r="G3427">
        <f ca="1"/>
        <v>2.5707657052091255</v>
      </c>
    </row>
    <row r="3428" spans="3:7">
      <c r="C3428">
        <f ca="1"/>
        <v>0.93247606843687281</v>
      </c>
      <c r="D3428">
        <f ca="1"/>
        <v>-1.5723221881135609</v>
      </c>
      <c r="E3428">
        <f ca="1"/>
        <v>-1.6389773227338067</v>
      </c>
      <c r="G3428">
        <f ca="1"/>
        <v>6.0279553458773805</v>
      </c>
    </row>
    <row r="3429" spans="3:7">
      <c r="C3429">
        <f ca="1"/>
        <v>1.7111796299083829E-2</v>
      </c>
      <c r="D3429">
        <f ca="1"/>
        <v>-0.26448330531682451</v>
      </c>
      <c r="E3429">
        <f ca="1"/>
        <v>0.75059994038827382</v>
      </c>
      <c r="G3429">
        <f ca="1"/>
        <v>0.63364450287477425</v>
      </c>
    </row>
    <row r="3430" spans="3:7">
      <c r="C3430">
        <f ca="1"/>
        <v>1.1210991376298569</v>
      </c>
      <c r="D3430">
        <f ca="1"/>
        <v>-0.15221256959300586</v>
      </c>
      <c r="E3430">
        <f ca="1"/>
        <v>-0.17477440592557875</v>
      </c>
      <c r="G3430">
        <f ca="1"/>
        <v>1.3105780357031533</v>
      </c>
    </row>
    <row r="3431" spans="3:7">
      <c r="C3431">
        <f ca="1"/>
        <v>-0.14027851878223185</v>
      </c>
      <c r="D3431">
        <f ca="1"/>
        <v>-0.72224879434766132</v>
      </c>
      <c r="E3431">
        <f ca="1"/>
        <v>1.2663585268533772</v>
      </c>
      <c r="G3431">
        <f ca="1"/>
        <v>2.1449853023026431</v>
      </c>
    </row>
    <row r="3432" spans="3:7">
      <c r="C3432">
        <f ca="1"/>
        <v>-0.74875587836903923</v>
      </c>
      <c r="D3432">
        <f ca="1"/>
        <v>-0.51140070676729676</v>
      </c>
      <c r="E3432">
        <f ca="1"/>
        <v>-0.23450048125836628</v>
      </c>
      <c r="G3432">
        <f ca="1"/>
        <v>0.87715652398468746</v>
      </c>
    </row>
    <row r="3433" spans="3:7">
      <c r="C3433">
        <f ca="1"/>
        <v>-0.26533437588010672</v>
      </c>
      <c r="D3433">
        <f ca="1"/>
        <v>0.21365427536742235</v>
      </c>
      <c r="E3433">
        <f ca="1"/>
        <v>5.7070477935792625E-2</v>
      </c>
      <c r="G3433">
        <f ca="1"/>
        <v>0.11930751985828389</v>
      </c>
    </row>
    <row r="3434" spans="3:7">
      <c r="C3434">
        <f ca="1"/>
        <v>-0.20721316768638509</v>
      </c>
      <c r="D3434">
        <f ca="1"/>
        <v>-0.27574700632448246</v>
      </c>
      <c r="E3434">
        <f ca="1"/>
        <v>-0.13968374347073767</v>
      </c>
      <c r="G3434">
        <f ca="1"/>
        <v>0.13848525654953897</v>
      </c>
    </row>
    <row r="3435" spans="3:7">
      <c r="C3435">
        <f ca="1"/>
        <v>0.28229232761631678</v>
      </c>
      <c r="D3435">
        <f ca="1"/>
        <v>1.13106146585108</v>
      </c>
      <c r="E3435">
        <f ca="1"/>
        <v>-5.9264425614795405E-2</v>
      </c>
      <c r="G3435">
        <f ca="1"/>
        <v>1.3625012699076833</v>
      </c>
    </row>
    <row r="3436" spans="3:7">
      <c r="C3436">
        <f ca="1"/>
        <v>0.65915994249022303</v>
      </c>
      <c r="D3436">
        <f ca="1"/>
        <v>-1.8990986585454022</v>
      </c>
      <c r="E3436">
        <f ca="1"/>
        <v>0.1978864307550674</v>
      </c>
      <c r="G3436">
        <f ca="1"/>
        <v>4.0802265841496412</v>
      </c>
    </row>
    <row r="3437" spans="3:7">
      <c r="C3437">
        <f ca="1"/>
        <v>-0.2235697400039332</v>
      </c>
      <c r="D3437">
        <f ca="1"/>
        <v>-0.24891476587461381</v>
      </c>
      <c r="E3437">
        <f ca="1"/>
        <v>0.6804097670243785</v>
      </c>
      <c r="G3437">
        <f ca="1"/>
        <v>0.57489944037800911</v>
      </c>
    </row>
    <row r="3438" spans="3:7">
      <c r="C3438">
        <f ca="1"/>
        <v>-2.4217419382209157E-2</v>
      </c>
      <c r="D3438">
        <f ca="1"/>
        <v>1.2027407962851704</v>
      </c>
      <c r="E3438">
        <f ca="1"/>
        <v>0.40865346193358498</v>
      </c>
      <c r="G3438">
        <f ca="1"/>
        <v>1.6141695584005236</v>
      </c>
    </row>
    <row r="3439" spans="3:7">
      <c r="C3439">
        <f ca="1"/>
        <v>1.7204110813908677</v>
      </c>
      <c r="D3439">
        <f ca="1"/>
        <v>9.0742033843088057E-2</v>
      </c>
      <c r="E3439">
        <f ca="1"/>
        <v>-0.52820148805323375</v>
      </c>
      <c r="G3439">
        <f ca="1"/>
        <v>3.2470452176601259</v>
      </c>
    </row>
    <row r="3440" spans="3:7">
      <c r="C3440">
        <f ca="1"/>
        <v>-2.0978845719477839</v>
      </c>
      <c r="D3440">
        <f ca="1"/>
        <v>-0.78740092803065853</v>
      </c>
      <c r="E3440">
        <f ca="1"/>
        <v>0.91094345291700096</v>
      </c>
      <c r="G3440">
        <f ca="1"/>
        <v>5.8509378730924269</v>
      </c>
    </row>
    <row r="3441" spans="3:7">
      <c r="C3441">
        <f ca="1"/>
        <v>-5.0667797139605675E-2</v>
      </c>
      <c r="D3441">
        <f ca="1"/>
        <v>0.1289473777664511</v>
      </c>
      <c r="E3441">
        <f ca="1"/>
        <v>-1.1355942973356299</v>
      </c>
      <c r="G3441">
        <f ca="1"/>
        <v>1.3087690600410271</v>
      </c>
    </row>
    <row r="3442" spans="3:7">
      <c r="C3442">
        <f ca="1"/>
        <v>0.10427385561100197</v>
      </c>
      <c r="D3442">
        <f ca="1"/>
        <v>1.5958075922977288</v>
      </c>
      <c r="E3442">
        <f ca="1"/>
        <v>0.61374836564985369</v>
      </c>
      <c r="G3442">
        <f ca="1"/>
        <v>2.9341619649369246</v>
      </c>
    </row>
    <row r="3443" spans="3:7">
      <c r="C3443">
        <f ca="1"/>
        <v>0.58495277237242072</v>
      </c>
      <c r="D3443">
        <f ca="1"/>
        <v>0.40593710346984058</v>
      </c>
      <c r="E3443">
        <f ca="1"/>
        <v>-0.52294157807535224</v>
      </c>
      <c r="G3443">
        <f ca="1"/>
        <v>0.78042257195960474</v>
      </c>
    </row>
    <row r="3444" spans="3:7">
      <c r="C3444">
        <f ca="1"/>
        <v>-1.4600598530961901</v>
      </c>
      <c r="D3444">
        <f ca="1"/>
        <v>0.92649515480148514</v>
      </c>
      <c r="E3444">
        <f ca="1"/>
        <v>0.8018566630183942</v>
      </c>
      <c r="G3444">
        <f ca="1"/>
        <v>3.6331421545208911</v>
      </c>
    </row>
    <row r="3445" spans="3:7">
      <c r="C3445">
        <f ca="1"/>
        <v>-1.610514658796846</v>
      </c>
      <c r="D3445">
        <f ca="1"/>
        <v>-0.40629506755809269</v>
      </c>
      <c r="E3445">
        <f ca="1"/>
        <v>-1.0593024599707321</v>
      </c>
      <c r="G3445">
        <f ca="1"/>
        <v>3.8809548498216011</v>
      </c>
    </row>
    <row r="3446" spans="3:7">
      <c r="C3446">
        <f ca="1"/>
        <v>0.76551470519651421</v>
      </c>
      <c r="D3446">
        <f ca="1"/>
        <v>-0.10464444703653811</v>
      </c>
      <c r="E3446">
        <f ca="1"/>
        <v>-0.8487101170751723</v>
      </c>
      <c r="G3446">
        <f ca="1"/>
        <v>1.3172720869934416</v>
      </c>
    </row>
    <row r="3447" spans="3:7">
      <c r="C3447">
        <f ca="1"/>
        <v>-0.7643541810691924</v>
      </c>
      <c r="D3447">
        <f ca="1"/>
        <v>-0.44067115255024358</v>
      </c>
      <c r="E3447">
        <f ca="1"/>
        <v>-6.4564876532732275E-4</v>
      </c>
      <c r="G3447">
        <f ca="1"/>
        <v>0.77842879567024403</v>
      </c>
    </row>
    <row r="3448" spans="3:7">
      <c r="C3448">
        <f ca="1"/>
        <v>1.0821069561439232</v>
      </c>
      <c r="D3448">
        <f ca="1"/>
        <v>-0.4278421042910926</v>
      </c>
      <c r="E3448">
        <f ca="1"/>
        <v>-0.16441436934250336</v>
      </c>
      <c r="G3448">
        <f ca="1"/>
        <v>1.3810364155855896</v>
      </c>
    </row>
    <row r="3449" spans="3:7">
      <c r="C3449">
        <f ca="1"/>
        <v>-0.96671126850702371</v>
      </c>
      <c r="D3449">
        <f ca="1"/>
        <v>-1.8553345754852857</v>
      </c>
      <c r="E3449">
        <f ca="1"/>
        <v>-9.7015759178496003E-2</v>
      </c>
      <c r="G3449">
        <f ca="1"/>
        <v>4.3862091211786041</v>
      </c>
    </row>
    <row r="3450" spans="3:7">
      <c r="C3450">
        <f ca="1"/>
        <v>0.47923621575202147</v>
      </c>
      <c r="D3450">
        <f ca="1"/>
        <v>1.8369823313232267</v>
      </c>
      <c r="E3450">
        <f ca="1"/>
        <v>1.9070425709728447</v>
      </c>
      <c r="G3450">
        <f ca="1"/>
        <v>7.2409828035847532</v>
      </c>
    </row>
    <row r="3451" spans="3:7">
      <c r="C3451">
        <f ca="1"/>
        <v>0.62912312852899288</v>
      </c>
      <c r="D3451">
        <f ca="1"/>
        <v>7.8209954762041609E-2</v>
      </c>
      <c r="E3451">
        <f ca="1"/>
        <v>1.2629853492110712</v>
      </c>
      <c r="G3451">
        <f ca="1"/>
        <v>1.9970447001957998</v>
      </c>
    </row>
    <row r="3452" spans="3:7">
      <c r="C3452">
        <f ca="1"/>
        <v>-0.54264529880467371</v>
      </c>
      <c r="D3452">
        <f ca="1"/>
        <v>-0.79768892597822805</v>
      </c>
      <c r="E3452">
        <f ca="1"/>
        <v>1.9913950156004101</v>
      </c>
      <c r="G3452">
        <f ca="1"/>
        <v>4.8964256511012705</v>
      </c>
    </row>
    <row r="3453" spans="3:7">
      <c r="C3453">
        <f ca="1"/>
        <v>-0.84450968852339325</v>
      </c>
      <c r="D3453">
        <f ca="1"/>
        <v>-0.20139826037173178</v>
      </c>
      <c r="E3453">
        <f ca="1"/>
        <v>1.1796189057081026</v>
      </c>
      <c r="G3453">
        <f ca="1"/>
        <v>2.1452586359946197</v>
      </c>
    </row>
    <row r="3454" spans="3:7">
      <c r="C3454">
        <f ca="1"/>
        <v>-0.41696201242438774</v>
      </c>
      <c r="D3454">
        <f ca="1"/>
        <v>0.92746104117958128</v>
      </c>
      <c r="E3454">
        <f ca="1"/>
        <v>0.8848670046378273</v>
      </c>
      <c r="G3454">
        <f ca="1"/>
        <v>1.8170309186076288</v>
      </c>
    </row>
    <row r="3455" spans="3:7">
      <c r="C3455">
        <f ca="1"/>
        <v>-0.82653274562643209</v>
      </c>
      <c r="D3455">
        <f ca="1"/>
        <v>0.54285857352558331</v>
      </c>
      <c r="E3455">
        <f ca="1"/>
        <v>2.3680216798997056</v>
      </c>
      <c r="G3455">
        <f ca="1"/>
        <v>6.5853784869180227</v>
      </c>
    </row>
    <row r="3456" spans="3:7">
      <c r="C3456">
        <f ca="1"/>
        <v>0.26182587891329595</v>
      </c>
      <c r="D3456">
        <f ca="1"/>
        <v>1.2082578214917741</v>
      </c>
      <c r="E3456">
        <f ca="1"/>
        <v>-0.59214794238180768</v>
      </c>
      <c r="G3456">
        <f ca="1"/>
        <v>1.8790789397317764</v>
      </c>
    </row>
    <row r="3457" spans="3:7">
      <c r="C3457">
        <f ca="1"/>
        <v>0.22357448949807876</v>
      </c>
      <c r="D3457">
        <f ca="1"/>
        <v>-1.450217013170195</v>
      </c>
      <c r="E3457">
        <f ca="1"/>
        <v>0.62209981758659605</v>
      </c>
      <c r="G3457">
        <f ca="1"/>
        <v>2.5401231206838846</v>
      </c>
    </row>
    <row r="3458" spans="3:7">
      <c r="C3458">
        <f ca="1"/>
        <v>-2.1930545513572053</v>
      </c>
      <c r="D3458">
        <f ca="1"/>
        <v>1.3845554186244406</v>
      </c>
      <c r="E3458">
        <f ca="1"/>
        <v>1.8731390163092012</v>
      </c>
      <c r="G3458">
        <f ca="1"/>
        <v>10.235131746890655</v>
      </c>
    </row>
    <row r="3459" spans="3:7">
      <c r="C3459">
        <f ca="1"/>
        <v>2.2525772058610176</v>
      </c>
      <c r="D3459">
        <f ca="1"/>
        <v>0.10603922417935938</v>
      </c>
      <c r="E3459">
        <f ca="1"/>
        <v>-0.42773025997848679</v>
      </c>
      <c r="G3459">
        <f ca="1"/>
        <v>5.2683015607304542</v>
      </c>
    </row>
    <row r="3460" spans="3:7">
      <c r="C3460">
        <f ca="1"/>
        <v>-0.1855969795678169</v>
      </c>
      <c r="D3460">
        <f ca="1"/>
        <v>6.2916082434375145E-2</v>
      </c>
      <c r="E3460">
        <f ca="1"/>
        <v>-0.66725764210771421</v>
      </c>
      <c r="G3460">
        <f ca="1"/>
        <v>0.48363743320473218</v>
      </c>
    </row>
    <row r="3461" spans="3:7">
      <c r="C3461">
        <f ca="1"/>
        <v>-2.0426300973490785</v>
      </c>
      <c r="D3461">
        <f ca="1"/>
        <v>8.3410904003790351E-2</v>
      </c>
      <c r="E3461">
        <f ca="1"/>
        <v>0.13734287659035319</v>
      </c>
      <c r="G3461">
        <f ca="1"/>
        <v>4.1981581592531487</v>
      </c>
    </row>
    <row r="3462" spans="3:7">
      <c r="C3462">
        <f ca="1"/>
        <v>0.9260755473533796</v>
      </c>
      <c r="D3462">
        <f ca="1"/>
        <v>-0.21354100491473529</v>
      </c>
      <c r="E3462">
        <f ca="1"/>
        <v>0.15726989843870531</v>
      </c>
      <c r="G3462">
        <f ca="1"/>
        <v>0.92794950114077734</v>
      </c>
    </row>
    <row r="3463" spans="3:7">
      <c r="C3463">
        <f ca="1"/>
        <v>-0.12968416647104386</v>
      </c>
      <c r="D3463">
        <f ca="1"/>
        <v>0.34777965963731261</v>
      </c>
      <c r="E3463">
        <f ca="1"/>
        <v>0.3617318605659921</v>
      </c>
      <c r="G3463">
        <f ca="1"/>
        <v>0.26861861363926876</v>
      </c>
    </row>
    <row r="3464" spans="3:7">
      <c r="C3464">
        <f ca="1"/>
        <v>0.26330442923105735</v>
      </c>
      <c r="D3464">
        <f ca="1"/>
        <v>2.197752928744454E-2</v>
      </c>
      <c r="E3464">
        <f ca="1"/>
        <v>0.30069353806492255</v>
      </c>
      <c r="G3464">
        <f ca="1"/>
        <v>0.16022883808027441</v>
      </c>
    </row>
    <row r="3465" spans="3:7">
      <c r="C3465">
        <f ca="1"/>
        <v>-1.3147274675723488</v>
      </c>
      <c r="D3465">
        <f ca="1"/>
        <v>-4.9819470500085408E-2</v>
      </c>
      <c r="E3465">
        <f ca="1"/>
        <v>-9.911909408547695E-2</v>
      </c>
      <c r="G3465">
        <f ca="1"/>
        <v>1.7408148884424359</v>
      </c>
    </row>
    <row r="3466" spans="3:7">
      <c r="C3466">
        <f ca="1"/>
        <v>2.5802767784767164</v>
      </c>
      <c r="D3466">
        <f ca="1"/>
        <v>-0.34121594512069259</v>
      </c>
      <c r="E3466">
        <f ca="1"/>
        <v>9.6404425803444091E-2</v>
      </c>
      <c r="G3466">
        <f ca="1"/>
        <v>6.7835503880652812</v>
      </c>
    </row>
    <row r="3467" spans="3:7">
      <c r="C3467">
        <f ca="1"/>
        <v>0.21980243522115897</v>
      </c>
      <c r="D3467">
        <f ca="1"/>
        <v>-1.4811597292147751</v>
      </c>
      <c r="E3467">
        <f ca="1"/>
        <v>-0.19466735329740525</v>
      </c>
      <c r="G3467">
        <f ca="1"/>
        <v>2.2800426324165546</v>
      </c>
    </row>
    <row r="3468" spans="3:7">
      <c r="C3468">
        <f ca="1"/>
        <v>-3.3502401693585888</v>
      </c>
      <c r="D3468">
        <f ca="1"/>
        <v>-1.2391263611596259</v>
      </c>
      <c r="E3468">
        <f ca="1"/>
        <v>-0.28173879169802729</v>
      </c>
      <c r="G3468">
        <f ca="1"/>
        <v>12.838920078052025</v>
      </c>
    </row>
    <row r="3469" spans="3:7">
      <c r="C3469">
        <f ca="1"/>
        <v>-0.81842766719929927</v>
      </c>
      <c r="D3469">
        <f ca="1"/>
        <v>0.16865588342437729</v>
      </c>
      <c r="E3469">
        <f ca="1"/>
        <v>1.5995738550378873</v>
      </c>
      <c r="G3469">
        <f ca="1"/>
        <v>3.2569051711717121</v>
      </c>
    </row>
    <row r="3470" spans="3:7">
      <c r="C3470">
        <f ca="1"/>
        <v>-0.16604065502511225</v>
      </c>
      <c r="D3470">
        <f ca="1"/>
        <v>-0.24691486014053182</v>
      </c>
      <c r="E3470">
        <f ca="1"/>
        <v>1.7429867190096395</v>
      </c>
      <c r="G3470">
        <f ca="1"/>
        <v>3.1265391499233748</v>
      </c>
    </row>
    <row r="3471" spans="3:7">
      <c r="C3471">
        <f ca="1"/>
        <v>-0.19297808774346109</v>
      </c>
      <c r="D3471">
        <f ca="1"/>
        <v>0.43624741945340811</v>
      </c>
      <c r="E3471">
        <f ca="1"/>
        <v>2.5032590797151735</v>
      </c>
      <c r="G3471">
        <f ca="1"/>
        <v>6.4938583735053381</v>
      </c>
    </row>
    <row r="3472" spans="3:7">
      <c r="C3472">
        <f ca="1"/>
        <v>1.082236679130383</v>
      </c>
      <c r="D3472">
        <f ca="1"/>
        <v>0.51242985665057217</v>
      </c>
      <c r="E3472">
        <f ca="1"/>
        <v>0.12273677187485313</v>
      </c>
      <c r="G3472">
        <f ca="1"/>
        <v>1.4488849028123452</v>
      </c>
    </row>
    <row r="3473" spans="3:7">
      <c r="C3473">
        <f ca="1"/>
        <v>-0.44563431940869036</v>
      </c>
      <c r="D3473">
        <f ca="1"/>
        <v>0.91751791178245168</v>
      </c>
      <c r="E3473">
        <f ca="1"/>
        <v>-1.8259759831308251</v>
      </c>
      <c r="G3473">
        <f ca="1"/>
        <v>4.3746173560470609</v>
      </c>
    </row>
    <row r="3474" spans="3:7">
      <c r="C3474">
        <f ca="1"/>
        <v>-0.76892109099646766</v>
      </c>
      <c r="D3474">
        <f ca="1"/>
        <v>1.47095252684815</v>
      </c>
      <c r="E3474">
        <f ca="1"/>
        <v>-0.93838455942580057</v>
      </c>
      <c r="G3474">
        <f ca="1"/>
        <v>3.6355065617889091</v>
      </c>
    </row>
    <row r="3475" spans="3:7">
      <c r="C3475">
        <f ca="1"/>
        <v>-0.63722490207915106</v>
      </c>
      <c r="D3475">
        <f ca="1"/>
        <v>-0.17687346900893186</v>
      </c>
      <c r="E3475">
        <f ca="1"/>
        <v>0.99779656412529716</v>
      </c>
      <c r="G3475">
        <f ca="1"/>
        <v>1.4329377832492856</v>
      </c>
    </row>
    <row r="3476" spans="3:7">
      <c r="C3476">
        <f ca="1"/>
        <v>-7.7791819111124288E-2</v>
      </c>
      <c r="D3476">
        <f ca="1"/>
        <v>0.60143207478837435</v>
      </c>
      <c r="E3476">
        <f ca="1"/>
        <v>-0.23524345105038477</v>
      </c>
      <c r="G3476">
        <f ca="1"/>
        <v>0.42311158896696138</v>
      </c>
    </row>
    <row r="3477" spans="3:7">
      <c r="C3477">
        <f ca="1"/>
        <v>-0.23314689466325991</v>
      </c>
      <c r="D3477">
        <f ca="1"/>
        <v>-1.0350724496271169</v>
      </c>
      <c r="E3477">
        <f ca="1"/>
        <v>0.69202183959622821</v>
      </c>
      <c r="G3477">
        <f ca="1"/>
        <v>1.6046266769463493</v>
      </c>
    </row>
    <row r="3478" spans="3:7">
      <c r="C3478">
        <f ca="1"/>
        <v>0.6210246420388823</v>
      </c>
      <c r="D3478">
        <f ca="1"/>
        <v>0.72260433353346687</v>
      </c>
      <c r="E3478">
        <f ca="1"/>
        <v>-6.0906783913965744E-3</v>
      </c>
      <c r="G3478">
        <f ca="1"/>
        <v>0.90786572522413511</v>
      </c>
    </row>
    <row r="3479" spans="3:7">
      <c r="C3479">
        <f ca="1"/>
        <v>-0.17463955518664248</v>
      </c>
      <c r="D3479">
        <f ca="1"/>
        <v>0.95496164058599964</v>
      </c>
      <c r="E3479">
        <f ca="1"/>
        <v>-0.68931357057558096</v>
      </c>
      <c r="G3479">
        <f ca="1"/>
        <v>1.4176039078061486</v>
      </c>
    </row>
    <row r="3480" spans="3:7">
      <c r="C3480">
        <f ca="1"/>
        <v>-8.5546582549499185E-3</v>
      </c>
      <c r="D3480">
        <f ca="1"/>
        <v>-1.2512311480851475</v>
      </c>
      <c r="E3480">
        <f ca="1"/>
        <v>-0.96884284202735271</v>
      </c>
      <c r="G3480">
        <f ca="1"/>
        <v>2.5043090206639729</v>
      </c>
    </row>
    <row r="3481" spans="3:7">
      <c r="C3481">
        <f ca="1"/>
        <v>-4.320771460233943E-2</v>
      </c>
      <c r="D3481">
        <f ca="1"/>
        <v>-0.44837930746733934</v>
      </c>
      <c r="E3481">
        <f ca="1"/>
        <v>-0.95472398952830506</v>
      </c>
      <c r="G3481">
        <f ca="1"/>
        <v>1.1144088061468913</v>
      </c>
    </row>
    <row r="3482" spans="3:7">
      <c r="C3482">
        <f ca="1"/>
        <v>0.19815900422150504</v>
      </c>
      <c r="D3482">
        <f ca="1"/>
        <v>-0.23002623087609811</v>
      </c>
      <c r="E3482">
        <f ca="1"/>
        <v>0.44519113224923229</v>
      </c>
      <c r="G3482">
        <f ca="1"/>
        <v>0.29037420207847586</v>
      </c>
    </row>
    <row r="3483" spans="3:7">
      <c r="C3483">
        <f ca="1"/>
        <v>0.2442344703417155</v>
      </c>
      <c r="D3483">
        <f ca="1"/>
        <v>1.4432333086307518</v>
      </c>
      <c r="E3483">
        <f ca="1"/>
        <v>0.19854891155216625</v>
      </c>
      <c r="G3483">
        <f ca="1"/>
        <v>2.1819945299229153</v>
      </c>
    </row>
    <row r="3484" spans="3:7">
      <c r="C3484">
        <f ca="1"/>
        <v>1.6576985364438157</v>
      </c>
      <c r="D3484">
        <f ca="1"/>
        <v>-1.0838065855059722</v>
      </c>
      <c r="E3484">
        <f ca="1"/>
        <v>-0.46911643252231539</v>
      </c>
      <c r="G3484">
        <f ca="1"/>
        <v>4.1426713797765471</v>
      </c>
    </row>
    <row r="3485" spans="3:7">
      <c r="C3485">
        <f ca="1"/>
        <v>-1.7259073246352039</v>
      </c>
      <c r="D3485">
        <f ca="1"/>
        <v>0.29067190837064844</v>
      </c>
      <c r="E3485">
        <f ca="1"/>
        <v>6.0799771584583058E-2</v>
      </c>
      <c r="G3485">
        <f ca="1"/>
        <v>3.0669428637700191</v>
      </c>
    </row>
    <row r="3486" spans="3:7">
      <c r="C3486">
        <f ca="1"/>
        <v>-0.44503133801577255</v>
      </c>
      <c r="D3486">
        <f ca="1"/>
        <v>0.29001215988225504</v>
      </c>
      <c r="E3486">
        <f ca="1"/>
        <v>1.0411661708574709</v>
      </c>
      <c r="G3486">
        <f ca="1"/>
        <v>1.3661869400336877</v>
      </c>
    </row>
    <row r="3487" spans="3:7">
      <c r="C3487">
        <f ca="1"/>
        <v>0.82827938952318159</v>
      </c>
      <c r="D3487">
        <f ca="1"/>
        <v>0.73928172143039084</v>
      </c>
      <c r="E3487">
        <f ca="1"/>
        <v>-0.46863830404388485</v>
      </c>
      <c r="G3487">
        <f ca="1"/>
        <v>1.452206070767105</v>
      </c>
    </row>
    <row r="3488" spans="3:7">
      <c r="C3488">
        <f ca="1"/>
        <v>-1.2349932416431955</v>
      </c>
      <c r="D3488">
        <f ca="1"/>
        <v>2.2766952186103557</v>
      </c>
      <c r="E3488">
        <f ca="1"/>
        <v>0.3933447815364004</v>
      </c>
      <c r="G3488">
        <f ca="1"/>
        <v>6.863269542509542</v>
      </c>
    </row>
    <row r="3489" spans="3:7">
      <c r="C3489">
        <f ca="1"/>
        <v>0.52484797160928953</v>
      </c>
      <c r="D3489">
        <f ca="1"/>
        <v>0.64820744446910128</v>
      </c>
      <c r="E3489">
        <f ca="1"/>
        <v>1.8827572263868468</v>
      </c>
      <c r="G3489">
        <f ca="1"/>
        <v>4.240413057879441</v>
      </c>
    </row>
    <row r="3490" spans="3:7">
      <c r="C3490">
        <f ca="1"/>
        <v>0.22288697711197766</v>
      </c>
      <c r="D3490">
        <f ca="1"/>
        <v>2.6552629967825334</v>
      </c>
      <c r="E3490">
        <f ca="1"/>
        <v>0.33514535959025432</v>
      </c>
      <c r="G3490">
        <f ca="1"/>
        <v>7.2124225987035562</v>
      </c>
    </row>
    <row r="3491" spans="3:7">
      <c r="C3491">
        <f ca="1"/>
        <v>0.69265159694291945</v>
      </c>
      <c r="D3491">
        <f ca="1"/>
        <v>1.3580266686110274</v>
      </c>
      <c r="E3491">
        <f ca="1"/>
        <v>-2.7030525768695068</v>
      </c>
      <c r="G3491">
        <f ca="1"/>
        <v>9.6304959007272224</v>
      </c>
    </row>
    <row r="3492" spans="3:7">
      <c r="C3492">
        <f ca="1"/>
        <v>-0.4258469462449771</v>
      </c>
      <c r="D3492">
        <f ca="1"/>
        <v>0.65249222138756624</v>
      </c>
      <c r="E3492">
        <f ca="1"/>
        <v>-0.1826452574549064</v>
      </c>
      <c r="G3492">
        <f ca="1"/>
        <v>0.64045101066822219</v>
      </c>
    </row>
    <row r="3493" spans="3:7">
      <c r="C3493">
        <f ca="1"/>
        <v>-0.95840872672350574</v>
      </c>
      <c r="D3493">
        <f ca="1"/>
        <v>0.2934377554401541</v>
      </c>
      <c r="E3493">
        <f ca="1"/>
        <v>-0.11046953118444336</v>
      </c>
      <c r="G3493">
        <f ca="1"/>
        <v>1.0168565210976379</v>
      </c>
    </row>
    <row r="3494" spans="3:7">
      <c r="C3494">
        <f ca="1"/>
        <v>1.1465492699163169</v>
      </c>
      <c r="D3494">
        <f ca="1"/>
        <v>0.47035857395859643</v>
      </c>
      <c r="E3494">
        <f ca="1"/>
        <v>0.21864057929791697</v>
      </c>
      <c r="G3494">
        <f ca="1"/>
        <v>1.5836161193577325</v>
      </c>
    </row>
    <row r="3495" spans="3:7">
      <c r="C3495">
        <f ca="1"/>
        <v>0.8437434124986759</v>
      </c>
      <c r="D3495">
        <f ca="1"/>
        <v>-0.38555544801365949</v>
      </c>
      <c r="E3495">
        <f ca="1"/>
        <v>1.7144415235827737</v>
      </c>
      <c r="G3495">
        <f ca="1"/>
        <v>3.7998656874127468</v>
      </c>
    </row>
    <row r="3496" spans="3:7">
      <c r="C3496">
        <f ca="1"/>
        <v>-1.4453695313728641</v>
      </c>
      <c r="D3496">
        <f ca="1"/>
        <v>0.91287297836782044</v>
      </c>
      <c r="E3496">
        <f ca="1"/>
        <v>0.58249800752741587</v>
      </c>
      <c r="G3496">
        <f ca="1"/>
        <v>3.2617340856285573</v>
      </c>
    </row>
    <row r="3497" spans="3:7">
      <c r="C3497">
        <f ca="1"/>
        <v>0.44049619902176457</v>
      </c>
      <c r="D3497">
        <f ca="1"/>
        <v>-0.88359969077705547</v>
      </c>
      <c r="E3497">
        <f ca="1"/>
        <v>0.15764409058555504</v>
      </c>
      <c r="G3497">
        <f ca="1"/>
        <v>0.9996369741904767</v>
      </c>
    </row>
    <row r="3498" spans="3:7">
      <c r="C3498">
        <f ca="1"/>
        <v>-0.44243611926439752</v>
      </c>
      <c r="D3498">
        <f ca="1"/>
        <v>-1.8134792615349875</v>
      </c>
      <c r="E3498">
        <f ca="1"/>
        <v>-1.7330238194110736</v>
      </c>
      <c r="G3498">
        <f ca="1"/>
        <v>6.48782831029337</v>
      </c>
    </row>
    <row r="3499" spans="3:7">
      <c r="C3499">
        <f ca="1"/>
        <v>-0.8541508957206162</v>
      </c>
      <c r="D3499">
        <f ca="1"/>
        <v>0.63718350776052779</v>
      </c>
      <c r="E3499">
        <f ca="1"/>
        <v>-6.1684846380062773E-3</v>
      </c>
      <c r="G3499">
        <f ca="1"/>
        <v>1.135614625425071</v>
      </c>
    </row>
    <row r="3500" spans="3:7">
      <c r="C3500">
        <f ca="1"/>
        <v>0.62722261943530633</v>
      </c>
      <c r="D3500">
        <f ca="1"/>
        <v>-0.86561192664102138</v>
      </c>
      <c r="E3500">
        <f ca="1"/>
        <v>9.3310815923151658E-2</v>
      </c>
      <c r="G3500">
        <f ca="1"/>
        <v>1.1513991302427125</v>
      </c>
    </row>
    <row r="3501" spans="3:7">
      <c r="C3501">
        <f ca="1"/>
        <v>0.4469934068792536</v>
      </c>
      <c r="D3501">
        <f ca="1"/>
        <v>0.53295246003340735</v>
      </c>
      <c r="E3501">
        <f ca="1"/>
        <v>0.78392772003285593</v>
      </c>
      <c r="G3501">
        <f ca="1"/>
        <v>1.0983841006850943</v>
      </c>
    </row>
    <row r="3502" spans="3:7">
      <c r="C3502">
        <f ca="1"/>
        <v>1.1153225551051817</v>
      </c>
      <c r="D3502">
        <f ca="1"/>
        <v>1.9388173102073386E-2</v>
      </c>
      <c r="E3502">
        <f ca="1"/>
        <v>2.2601341502879859</v>
      </c>
      <c r="G3502">
        <f ca="1"/>
        <v>6.3525266804805831</v>
      </c>
    </row>
    <row r="3503" spans="3:7">
      <c r="C3503">
        <f ca="1"/>
        <v>-3.9728982148247438E-2</v>
      </c>
      <c r="D3503">
        <f ca="1"/>
        <v>0.57031229836198016</v>
      </c>
      <c r="E3503">
        <f ca="1"/>
        <v>1.452616033639182</v>
      </c>
      <c r="G3503">
        <f ca="1"/>
        <v>2.436927850871089</v>
      </c>
    </row>
    <row r="3504" spans="3:7">
      <c r="C3504">
        <f ca="1"/>
        <v>-1.1304602527463472</v>
      </c>
      <c r="D3504">
        <f ca="1"/>
        <v>-1.0498902019459972</v>
      </c>
      <c r="E3504">
        <f ca="1"/>
        <v>-2.0895189836780501</v>
      </c>
      <c r="G3504">
        <f ca="1"/>
        <v>6.7462994023324931</v>
      </c>
    </row>
    <row r="3505" spans="3:7">
      <c r="C3505">
        <f ca="1"/>
        <v>0.58642272439521292</v>
      </c>
      <c r="D3505">
        <f ca="1"/>
        <v>-0.46643389969514831</v>
      </c>
      <c r="E3505">
        <f ca="1"/>
        <v>2.0436574363284303</v>
      </c>
      <c r="G3505">
        <f ca="1"/>
        <v>4.7379879115324197</v>
      </c>
    </row>
    <row r="3506" spans="3:7">
      <c r="C3506">
        <f ca="1"/>
        <v>-0.42721699855821693</v>
      </c>
      <c r="D3506">
        <f ca="1"/>
        <v>0.5800882102456828</v>
      </c>
      <c r="E3506">
        <f ca="1"/>
        <v>0.41952409725695833</v>
      </c>
      <c r="G3506">
        <f ca="1"/>
        <v>0.69501716370239686</v>
      </c>
    </row>
    <row r="3507" spans="3:7">
      <c r="C3507">
        <f ca="1"/>
        <v>1.1422842992973572</v>
      </c>
      <c r="D3507">
        <f ca="1"/>
        <v>-0.58291030832369384</v>
      </c>
      <c r="E3507">
        <f ca="1"/>
        <v>3.1833880870312088E-2</v>
      </c>
      <c r="G3507">
        <f ca="1"/>
        <v>1.6456112439425434</v>
      </c>
    </row>
    <row r="3508" spans="3:7">
      <c r="C3508">
        <f ca="1"/>
        <v>0.19889270470485845</v>
      </c>
      <c r="D3508">
        <f ca="1"/>
        <v>0.86451970021665792</v>
      </c>
      <c r="E3508">
        <f ca="1"/>
        <v>-0.64183838927523762</v>
      </c>
      <c r="G3508">
        <f ca="1"/>
        <v>1.1989091379949457</v>
      </c>
    </row>
    <row r="3509" spans="3:7">
      <c r="C3509">
        <f ca="1"/>
        <v>1.1948714187476985</v>
      </c>
      <c r="D3509">
        <f ca="1"/>
        <v>-1.8268527525391689</v>
      </c>
      <c r="E3509">
        <f ca="1"/>
        <v>-0.45280218518447951</v>
      </c>
      <c r="G3509">
        <f ca="1"/>
        <v>4.9701385057079159</v>
      </c>
    </row>
    <row r="3510" spans="3:7">
      <c r="C3510">
        <f ca="1"/>
        <v>0.94947433329142206</v>
      </c>
      <c r="D3510">
        <f ca="1"/>
        <v>0.9023639462853561</v>
      </c>
      <c r="E3510">
        <f ca="1"/>
        <v>-0.22482472642644144</v>
      </c>
      <c r="G3510">
        <f ca="1"/>
        <v>1.7663083587475956</v>
      </c>
    </row>
    <row r="3511" spans="3:7">
      <c r="C3511">
        <f ca="1"/>
        <v>-0.69265132655740147</v>
      </c>
      <c r="D3511">
        <f ca="1"/>
        <v>0.3572391057197235</v>
      </c>
      <c r="E3511">
        <f ca="1"/>
        <v>-0.9608793385036708</v>
      </c>
      <c r="G3511">
        <f ca="1"/>
        <v>1.5306747420004077</v>
      </c>
    </row>
    <row r="3512" spans="3:7">
      <c r="C3512">
        <f ca="1"/>
        <v>1.1151343046204321</v>
      </c>
      <c r="D3512">
        <f ca="1"/>
        <v>0.58368417313482579</v>
      </c>
      <c r="E3512">
        <f ca="1"/>
        <v>-4.9471187608193287E-2</v>
      </c>
      <c r="G3512">
        <f ca="1"/>
        <v>1.5866591297127448</v>
      </c>
    </row>
    <row r="3513" spans="3:7">
      <c r="C3513">
        <f ca="1"/>
        <v>0.51079765424386914</v>
      </c>
      <c r="D3513">
        <f ca="1"/>
        <v>-1.0982737670566416</v>
      </c>
      <c r="E3513">
        <f ca="1"/>
        <v>-0.64083724978027812</v>
      </c>
      <c r="G3513">
        <f ca="1"/>
        <v>1.8777918916917762</v>
      </c>
    </row>
    <row r="3514" spans="3:7">
      <c r="C3514">
        <f ca="1"/>
        <v>0.70113103119098186</v>
      </c>
      <c r="D3514">
        <f ca="1"/>
        <v>1.2766284228950529</v>
      </c>
      <c r="E3514">
        <f ca="1"/>
        <v>1.2663266248014358</v>
      </c>
      <c r="G3514">
        <f ca="1"/>
        <v>3.7249479737234359</v>
      </c>
    </row>
    <row r="3515" spans="3:7">
      <c r="C3515">
        <f ca="1"/>
        <v>-1.5951947364410026</v>
      </c>
      <c r="D3515">
        <f ca="1"/>
        <v>0.72109009862138818</v>
      </c>
      <c r="E3515">
        <f ca="1"/>
        <v>1.1696713937172344E-2</v>
      </c>
      <c r="G3515">
        <f ca="1"/>
        <v>3.0647539906158108</v>
      </c>
    </row>
    <row r="3516" spans="3:7">
      <c r="C3516">
        <f ca="1"/>
        <v>1.555171204859422</v>
      </c>
      <c r="D3516">
        <f ca="1"/>
        <v>0.3301591974147377</v>
      </c>
      <c r="E3516">
        <f ca="1"/>
        <v>-0.13143088137371717</v>
      </c>
      <c r="G3516">
        <f ca="1"/>
        <v>2.5448366486401222</v>
      </c>
    </row>
    <row r="3517" spans="3:7">
      <c r="C3517">
        <f ca="1"/>
        <v>0.14556347226707397</v>
      </c>
      <c r="D3517">
        <f ca="1"/>
        <v>-0.93709491135183642</v>
      </c>
      <c r="E3517">
        <f ca="1"/>
        <v>-1.4546615222537678</v>
      </c>
      <c r="G3517">
        <f ca="1"/>
        <v>3.015375741665602</v>
      </c>
    </row>
    <row r="3518" spans="3:7">
      <c r="C3518">
        <f ca="1"/>
        <v>0.90003705858725014</v>
      </c>
      <c r="D3518">
        <f ca="1"/>
        <v>0.78686633464215572</v>
      </c>
      <c r="E3518">
        <f ca="1"/>
        <v>-0.74837872080729417</v>
      </c>
      <c r="G3518">
        <f ca="1"/>
        <v>1.989296045180732</v>
      </c>
    </row>
    <row r="3519" spans="3:7">
      <c r="C3519">
        <f ca="1"/>
        <v>-0.12556786731567893</v>
      </c>
      <c r="D3519">
        <f ca="1"/>
        <v>-0.8716303143305264</v>
      </c>
      <c r="E3519">
        <f ca="1"/>
        <v>2.6572300234845754</v>
      </c>
      <c r="G3519">
        <f ca="1"/>
        <v>7.8363780918699772</v>
      </c>
    </row>
    <row r="3520" spans="3:7">
      <c r="C3520">
        <f ca="1"/>
        <v>-1.3443571359089295</v>
      </c>
      <c r="D3520">
        <f ca="1"/>
        <v>-0.29513082196939838</v>
      </c>
      <c r="E3520">
        <f ca="1"/>
        <v>0.60073916812706496</v>
      </c>
      <c r="G3520">
        <f ca="1"/>
        <v>2.2552858590675906</v>
      </c>
    </row>
    <row r="3521" spans="3:7">
      <c r="C3521">
        <f ca="1"/>
        <v>-1.6391979240281893</v>
      </c>
      <c r="D3521">
        <f ca="1"/>
        <v>-0.45520476950972411</v>
      </c>
      <c r="E3521">
        <f ca="1"/>
        <v>-2.0879380991021499</v>
      </c>
      <c r="G3521">
        <f ca="1"/>
        <v>7.2536667220050255</v>
      </c>
    </row>
    <row r="3522" spans="3:7">
      <c r="C3522">
        <f ca="1"/>
        <v>0.97182931737660616</v>
      </c>
      <c r="D3522">
        <f ca="1"/>
        <v>-1.3425755846222315E-2</v>
      </c>
      <c r="E3522">
        <f ca="1"/>
        <v>0.44594204771971147</v>
      </c>
      <c r="G3522">
        <f ca="1"/>
        <v>1.1434967829571721</v>
      </c>
    </row>
    <row r="3523" spans="3:7">
      <c r="C3523">
        <f ca="1"/>
        <v>0.22164909662895593</v>
      </c>
      <c r="D3523">
        <f ca="1"/>
        <v>1.3568525028144174</v>
      </c>
      <c r="E3523">
        <f ca="1"/>
        <v>-0.63131503319442017</v>
      </c>
      <c r="G3523">
        <f ca="1"/>
        <v>2.2887357075674526</v>
      </c>
    </row>
    <row r="3524" spans="3:7">
      <c r="C3524">
        <f ca="1"/>
        <v>0.5776415484438433</v>
      </c>
      <c r="D3524">
        <f ca="1"/>
        <v>0.85114487284991047</v>
      </c>
      <c r="E3524">
        <f ca="1"/>
        <v>0.60482207866807525</v>
      </c>
      <c r="G3524">
        <f ca="1"/>
        <v>1.4239270999116624</v>
      </c>
    </row>
    <row r="3525" spans="3:7">
      <c r="C3525">
        <f ca="1"/>
        <v>-0.44530155411511296</v>
      </c>
      <c r="D3525">
        <f ca="1"/>
        <v>-0.50614947345882799</v>
      </c>
      <c r="E3525">
        <f ca="1"/>
        <v>0.81999842747543528</v>
      </c>
      <c r="G3525">
        <f ca="1"/>
        <v>1.1268781846421705</v>
      </c>
    </row>
    <row r="3526" spans="3:7">
      <c r="C3526">
        <f ca="1"/>
        <v>0.91825519766447716</v>
      </c>
      <c r="D3526">
        <f ca="1"/>
        <v>-0.18512434279555204</v>
      </c>
      <c r="E3526">
        <f ca="1"/>
        <v>1.7738641246981279</v>
      </c>
      <c r="G3526">
        <f ca="1"/>
        <v>4.0240575632243685</v>
      </c>
    </row>
    <row r="3527" spans="3:7">
      <c r="C3527">
        <f ca="1"/>
        <v>-1.1190195084881525</v>
      </c>
      <c r="D3527">
        <f ca="1"/>
        <v>7.6873345293300963E-2</v>
      </c>
      <c r="E3527">
        <f ca="1"/>
        <v>-0.49821164485134822</v>
      </c>
      <c r="G3527">
        <f ca="1"/>
        <v>1.5063290146591353</v>
      </c>
    </row>
    <row r="3528" spans="3:7">
      <c r="C3528">
        <f ca="1"/>
        <v>-0.44947246524808993</v>
      </c>
      <c r="D3528">
        <f ca="1"/>
        <v>-1.8785440170490915</v>
      </c>
      <c r="E3528">
        <f ca="1"/>
        <v>-1.0073097504582351</v>
      </c>
      <c r="G3528">
        <f ca="1"/>
        <v>4.7456260543753643</v>
      </c>
    </row>
    <row r="3529" spans="3:7">
      <c r="C3529">
        <f ca="1"/>
        <v>1.2431992681628272</v>
      </c>
      <c r="D3529">
        <f ca="1"/>
        <v>0.20351980829800809</v>
      </c>
      <c r="E3529">
        <f ca="1"/>
        <v>-0.43805261529254053</v>
      </c>
      <c r="G3529">
        <f ca="1"/>
        <v>1.7788548264948818</v>
      </c>
    </row>
    <row r="3530" spans="3:7">
      <c r="C3530">
        <f ca="1"/>
        <v>-0.49438982370852297</v>
      </c>
      <c r="D3530">
        <f ca="1"/>
        <v>-1.0489606469763602</v>
      </c>
      <c r="E3530">
        <f ca="1"/>
        <v>0.38852191653185147</v>
      </c>
      <c r="G3530">
        <f ca="1"/>
        <v>1.4956890163171912</v>
      </c>
    </row>
    <row r="3531" spans="3:7">
      <c r="C3531">
        <f ca="1"/>
        <v>-0.18220183839207543</v>
      </c>
      <c r="D3531">
        <f ca="1"/>
        <v>-0.36328663968295655</v>
      </c>
      <c r="E3531">
        <f ca="1"/>
        <v>-0.11493298286876975</v>
      </c>
      <c r="G3531">
        <f ca="1"/>
        <v>0.1783842830366992</v>
      </c>
    </row>
    <row r="3532" spans="3:7">
      <c r="C3532">
        <f ca="1"/>
        <v>1.4227103900380811</v>
      </c>
      <c r="D3532">
        <f ca="1"/>
        <v>1.1379287786267831</v>
      </c>
      <c r="E3532">
        <f ca="1"/>
        <v>-0.5446166935100113</v>
      </c>
      <c r="G3532">
        <f ca="1"/>
        <v>3.6155941019991289</v>
      </c>
    </row>
    <row r="3533" spans="3:7">
      <c r="C3533">
        <f ca="1"/>
        <v>-0.3421944629372573</v>
      </c>
      <c r="D3533">
        <f ca="1"/>
        <v>-1.5811023672424644</v>
      </c>
      <c r="E3533">
        <f ca="1"/>
        <v>0.11587812488468967</v>
      </c>
      <c r="G3533">
        <f ca="1"/>
        <v>2.6304094859914344</v>
      </c>
    </row>
    <row r="3534" spans="3:7">
      <c r="C3534">
        <f ca="1"/>
        <v>-0.34149546478393034</v>
      </c>
      <c r="D3534">
        <f ca="1"/>
        <v>0.99701613810430434</v>
      </c>
      <c r="E3534">
        <f ca="1"/>
        <v>-0.41232208627450362</v>
      </c>
      <c r="G3534">
        <f ca="1"/>
        <v>1.2806698349381731</v>
      </c>
    </row>
    <row r="3535" spans="3:7">
      <c r="C3535">
        <f ca="1"/>
        <v>-1.6273151108658663</v>
      </c>
      <c r="D3535">
        <f ca="1"/>
        <v>-1.2677018838926986</v>
      </c>
      <c r="E3535">
        <f ca="1"/>
        <v>1.7512153724032391</v>
      </c>
      <c r="G3535">
        <f ca="1"/>
        <v>7.3219778170188992</v>
      </c>
    </row>
    <row r="3536" spans="3:7">
      <c r="C3536">
        <f ca="1"/>
        <v>0.64262077153483077</v>
      </c>
      <c r="D3536">
        <f ca="1"/>
        <v>0.52660636564117269</v>
      </c>
      <c r="E3536">
        <f ca="1"/>
        <v>-0.73304230291149108</v>
      </c>
      <c r="G3536">
        <f ca="1"/>
        <v>1.227626738199608</v>
      </c>
    </row>
    <row r="3537" spans="3:7">
      <c r="C3537">
        <f ca="1"/>
        <v>1.753966030918497</v>
      </c>
      <c r="D3537">
        <f ca="1"/>
        <v>0.34036595484774185</v>
      </c>
      <c r="E3537">
        <f ca="1"/>
        <v>-1.0847273675674156</v>
      </c>
      <c r="G3537">
        <f ca="1"/>
        <v>4.3688792827851355</v>
      </c>
    </row>
    <row r="3538" spans="3:7">
      <c r="C3538">
        <f ca="1"/>
        <v>-0.66450171301351946</v>
      </c>
      <c r="D3538">
        <f ca="1"/>
        <v>-4.1565006436108859E-2</v>
      </c>
      <c r="E3538">
        <f ca="1"/>
        <v>-1.4355385915817351</v>
      </c>
      <c r="G3538">
        <f ca="1"/>
        <v>2.5040612242784075</v>
      </c>
    </row>
    <row r="3539" spans="3:7">
      <c r="C3539">
        <f ca="1"/>
        <v>-0.70917001092586729</v>
      </c>
      <c r="D3539">
        <f ca="1"/>
        <v>0.82452996460001782</v>
      </c>
      <c r="E3539">
        <f ca="1"/>
        <v>0.83904481136467124</v>
      </c>
      <c r="G3539">
        <f ca="1"/>
        <v>1.8867679623978779</v>
      </c>
    </row>
    <row r="3540" spans="3:7">
      <c r="C3540">
        <f ca="1"/>
        <v>-2.1643813305806421</v>
      </c>
      <c r="D3540">
        <f ca="1"/>
        <v>-1.2457843806633597</v>
      </c>
      <c r="E3540">
        <f ca="1"/>
        <v>-0.35829424274672383</v>
      </c>
      <c r="G3540">
        <f ca="1"/>
        <v>6.3649000316562692</v>
      </c>
    </row>
    <row r="3541" spans="3:7">
      <c r="C3541">
        <f ca="1"/>
        <v>0.79554276808135194</v>
      </c>
      <c r="D3541">
        <f ca="1"/>
        <v>1.9706971575563639</v>
      </c>
      <c r="E3541">
        <f ca="1"/>
        <v>0.48422185526746692</v>
      </c>
      <c r="G3541">
        <f ca="1"/>
        <v>4.7510063877659396</v>
      </c>
    </row>
    <row r="3542" spans="3:7">
      <c r="C3542">
        <f ca="1"/>
        <v>3.5834906642997398E-2</v>
      </c>
      <c r="D3542">
        <f ca="1"/>
        <v>-0.97882210912811274</v>
      </c>
      <c r="E3542">
        <f ca="1"/>
        <v>0.37590767155329924</v>
      </c>
      <c r="G3542">
        <f ca="1"/>
        <v>1.1006834393847424</v>
      </c>
    </row>
    <row r="3543" spans="3:7">
      <c r="C3543">
        <f ca="1"/>
        <v>-0.48319347760393094</v>
      </c>
      <c r="D3543">
        <f ca="1"/>
        <v>-0.16056576542221301</v>
      </c>
      <c r="E3543">
        <f ca="1"/>
        <v>0.51515003471905829</v>
      </c>
      <c r="G3543">
        <f ca="1"/>
        <v>0.52463686009564858</v>
      </c>
    </row>
    <row r="3544" spans="3:7">
      <c r="C3544">
        <f ca="1"/>
        <v>0.34945408218086826</v>
      </c>
      <c r="D3544">
        <f ca="1"/>
        <v>-0.88036747044436792</v>
      </c>
      <c r="E3544">
        <f ca="1"/>
        <v>-1.1868577527255586</v>
      </c>
      <c r="G3544">
        <f ca="1"/>
        <v>2.3057963637742516</v>
      </c>
    </row>
    <row r="3545" spans="3:7">
      <c r="C3545">
        <f ca="1"/>
        <v>-0.8232631771983181</v>
      </c>
      <c r="D3545">
        <f ca="1"/>
        <v>1.272547304870574</v>
      </c>
      <c r="E3545">
        <f ca="1"/>
        <v>-0.25666043827338952</v>
      </c>
      <c r="G3545">
        <f ca="1"/>
        <v>2.3630134826387192</v>
      </c>
    </row>
    <row r="3546" spans="3:7">
      <c r="C3546">
        <f ca="1"/>
        <v>-0.65138026670455185</v>
      </c>
      <c r="D3546">
        <f ca="1"/>
        <v>1.0362449799863971</v>
      </c>
      <c r="E3546">
        <f ca="1"/>
        <v>0.64447314728921823</v>
      </c>
      <c r="G3546">
        <f ca="1"/>
        <v>1.913445547975972</v>
      </c>
    </row>
    <row r="3547" spans="3:7">
      <c r="C3547">
        <f ca="1"/>
        <v>-0.12284438671832069</v>
      </c>
      <c r="D3547">
        <f ca="1"/>
        <v>-1.3764646072420663</v>
      </c>
      <c r="E3547">
        <f ca="1"/>
        <v>-1.7873417570947145</v>
      </c>
      <c r="G3547">
        <f ca="1"/>
        <v>5.1043361149926776</v>
      </c>
    </row>
    <row r="3548" spans="3:7">
      <c r="C3548">
        <f ca="1"/>
        <v>0.36754882138732548</v>
      </c>
      <c r="D3548">
        <f ca="1"/>
        <v>0.17121983771956992</v>
      </c>
      <c r="E3548">
        <f ca="1"/>
        <v>0.37933279233504114</v>
      </c>
      <c r="G3548">
        <f ca="1"/>
        <v>0.30830173627262736</v>
      </c>
    </row>
    <row r="3549" spans="3:7">
      <c r="C3549">
        <f ca="1"/>
        <v>-0.54805087954153842</v>
      </c>
      <c r="D3549">
        <f ca="1"/>
        <v>0.16157539328719964</v>
      </c>
      <c r="E3549">
        <f ca="1"/>
        <v>9.8907143212894025E-2</v>
      </c>
      <c r="G3549">
        <f ca="1"/>
        <v>0.33624899726070301</v>
      </c>
    </row>
    <row r="3550" spans="3:7">
      <c r="C3550">
        <f ca="1"/>
        <v>0.45134805517784127</v>
      </c>
      <c r="D3550">
        <f ca="1"/>
        <v>-0.90249633014575414</v>
      </c>
      <c r="E3550">
        <f ca="1"/>
        <v>-0.28661236273747071</v>
      </c>
      <c r="G3550">
        <f ca="1"/>
        <v>1.1003613393133291</v>
      </c>
    </row>
    <row r="3551" spans="3:7">
      <c r="C3551">
        <f ca="1"/>
        <v>-8.5060967200918436E-2</v>
      </c>
      <c r="D3551">
        <f ca="1"/>
        <v>1.1155751118784114</v>
      </c>
      <c r="E3551">
        <f ca="1"/>
        <v>-0.16382277277490551</v>
      </c>
      <c r="G3551">
        <f ca="1"/>
        <v>1.2785810992633442</v>
      </c>
    </row>
    <row r="3552" spans="3:7">
      <c r="C3552">
        <f ca="1"/>
        <v>-0.33323263462055785</v>
      </c>
      <c r="D3552">
        <f ca="1"/>
        <v>-0.26837241167597897</v>
      </c>
      <c r="E3552">
        <f ca="1"/>
        <v>9.1114884595438886E-2</v>
      </c>
      <c r="G3552">
        <f ca="1"/>
        <v>0.1913696623197795</v>
      </c>
    </row>
    <row r="3553" spans="3:7">
      <c r="C3553">
        <f ca="1"/>
        <v>1.5431243130968231</v>
      </c>
      <c r="D3553">
        <f ca="1"/>
        <v>-0.10017999497458337</v>
      </c>
      <c r="E3553">
        <f ca="1"/>
        <v>-1.0809876857883378</v>
      </c>
      <c r="G3553">
        <f ca="1"/>
        <v>3.5598030538896759</v>
      </c>
    </row>
    <row r="3554" spans="3:7">
      <c r="C3554">
        <f ca="1"/>
        <v>6.9677554986908183E-2</v>
      </c>
      <c r="D3554">
        <f ca="1"/>
        <v>-1.3493997441726244</v>
      </c>
      <c r="E3554">
        <f ca="1"/>
        <v>1.3724614766237306</v>
      </c>
      <c r="G3554">
        <f ca="1"/>
        <v>3.7093851360582892</v>
      </c>
    </row>
    <row r="3555" spans="3:7">
      <c r="C3555">
        <f ca="1"/>
        <v>0.15724092911007839</v>
      </c>
      <c r="D3555">
        <f ca="1"/>
        <v>-0.12338278073699879</v>
      </c>
      <c r="E3555">
        <f ca="1"/>
        <v>0.27724738766214696</v>
      </c>
      <c r="G3555">
        <f ca="1"/>
        <v>0.11681413433527982</v>
      </c>
    </row>
    <row r="3556" spans="3:7">
      <c r="C3556">
        <f ca="1"/>
        <v>0.52113057957753017</v>
      </c>
      <c r="D3556">
        <f ca="1"/>
        <v>-0.39456503292447398</v>
      </c>
      <c r="E3556">
        <f ca="1"/>
        <v>0.74984967637245881</v>
      </c>
      <c r="G3556">
        <f ca="1"/>
        <v>0.98953318333338491</v>
      </c>
    </row>
    <row r="3557" spans="3:7">
      <c r="C3557">
        <f ca="1"/>
        <v>-0.21726111415172869</v>
      </c>
      <c r="D3557">
        <f ca="1"/>
        <v>-0.63629491992104292</v>
      </c>
      <c r="E3557">
        <f ca="1"/>
        <v>0.43580583722290234</v>
      </c>
      <c r="G3557">
        <f ca="1"/>
        <v>0.6420003445973318</v>
      </c>
    </row>
    <row r="3558" spans="3:7">
      <c r="C3558">
        <f ca="1"/>
        <v>0.10152845504751226</v>
      </c>
      <c r="D3558">
        <f ca="1"/>
        <v>0.36321278013127595</v>
      </c>
      <c r="E3558">
        <f ca="1"/>
        <v>-0.26688855117731192</v>
      </c>
      <c r="G3558">
        <f ca="1"/>
        <v>0.21346104958454995</v>
      </c>
    </row>
    <row r="3559" spans="3:7">
      <c r="C3559">
        <f ca="1"/>
        <v>-1.5282422252588801</v>
      </c>
      <c r="D3559">
        <f ca="1"/>
        <v>-9.3940036791801448E-2</v>
      </c>
      <c r="E3559">
        <f ca="1"/>
        <v>1.7425096815763135</v>
      </c>
      <c r="G3559">
        <f ca="1"/>
        <v>5.3806890199638442</v>
      </c>
    </row>
    <row r="3560" spans="3:7">
      <c r="C3560">
        <f ca="1"/>
        <v>-0.21283070317511321</v>
      </c>
      <c r="D3560">
        <f ca="1"/>
        <v>-0.52833792552879932</v>
      </c>
      <c r="E3560">
        <f ca="1"/>
        <v>0.63959390242777514</v>
      </c>
      <c r="G3560">
        <f ca="1"/>
        <v>0.73351823178887865</v>
      </c>
    </row>
    <row r="3561" spans="3:7">
      <c r="C3561">
        <f ca="1"/>
        <v>-0.69092668350224129</v>
      </c>
      <c r="D3561">
        <f ca="1"/>
        <v>-0.46917845862625562</v>
      </c>
      <c r="E3561">
        <f ca="1"/>
        <v>-1.1797687287039142</v>
      </c>
      <c r="G3561">
        <f ca="1"/>
        <v>2.0893623612419656</v>
      </c>
    </row>
    <row r="3562" spans="3:7">
      <c r="C3562">
        <f ca="1"/>
        <v>0.45403090147542607</v>
      </c>
      <c r="D3562">
        <f ca="1"/>
        <v>-1.3780165494589103</v>
      </c>
      <c r="E3562">
        <f ca="1"/>
        <v>-0.61304918419383159</v>
      </c>
      <c r="G3562">
        <f ca="1"/>
        <v>2.4809029723179523</v>
      </c>
    </row>
    <row r="3563" spans="3:7">
      <c r="C3563">
        <f ca="1"/>
        <v>0.26247526692283563</v>
      </c>
      <c r="D3563">
        <f ca="1"/>
        <v>-1.5150765792400118</v>
      </c>
      <c r="E3563">
        <f ca="1"/>
        <v>0.15997097491851747</v>
      </c>
      <c r="G3563">
        <f ca="1"/>
        <v>2.3899410195242106</v>
      </c>
    </row>
    <row r="3564" spans="3:7">
      <c r="C3564">
        <f ca="1"/>
        <v>0.41270214871984989</v>
      </c>
      <c r="D3564">
        <f ca="1"/>
        <v>0.54425133774159784</v>
      </c>
      <c r="E3564">
        <f ca="1"/>
        <v>1.3724181416341743</v>
      </c>
      <c r="G3564">
        <f ca="1"/>
        <v>2.3500641376781006</v>
      </c>
    </row>
    <row r="3565" spans="3:7">
      <c r="C3565">
        <f ca="1"/>
        <v>-1.8881066116911574E-4</v>
      </c>
      <c r="D3565">
        <f ca="1"/>
        <v>-0.38160744048810402</v>
      </c>
      <c r="E3565">
        <f ca="1"/>
        <v>0.27045951382532429</v>
      </c>
      <c r="G3565">
        <f ca="1"/>
        <v>0.21877262290397842</v>
      </c>
    </row>
    <row r="3566" spans="3:7">
      <c r="C3566">
        <f ca="1"/>
        <v>-5.3835268183657012E-2</v>
      </c>
      <c r="D3566">
        <f ca="1"/>
        <v>0.35842892251141467</v>
      </c>
      <c r="E3566">
        <f ca="1"/>
        <v>0.7131180348565801</v>
      </c>
      <c r="G3566">
        <f ca="1"/>
        <v>0.63990686023081045</v>
      </c>
    </row>
    <row r="3567" spans="3:7">
      <c r="C3567">
        <f ca="1"/>
        <v>-0.35143669697904667</v>
      </c>
      <c r="D3567">
        <f ca="1"/>
        <v>-1.0242659906682021</v>
      </c>
      <c r="E3567">
        <f ca="1"/>
        <v>-0.69664123132467504</v>
      </c>
      <c r="G3567">
        <f ca="1"/>
        <v>1.6579375768046152</v>
      </c>
    </row>
    <row r="3568" spans="3:7">
      <c r="C3568">
        <f ca="1"/>
        <v>1.6803983748660347</v>
      </c>
      <c r="D3568">
        <f ca="1"/>
        <v>-0.14657655473134207</v>
      </c>
      <c r="E3568">
        <f ca="1"/>
        <v>0.75512075672715562</v>
      </c>
      <c r="G3568">
        <f ca="1"/>
        <v>3.4154307418895127</v>
      </c>
    </row>
    <row r="3569" spans="3:7">
      <c r="C3569">
        <f ca="1"/>
        <v>1.1985834347892586</v>
      </c>
      <c r="D3569">
        <f ca="1"/>
        <v>-1.2599567209727962</v>
      </c>
      <c r="E3569">
        <f ca="1"/>
        <v>1.056904742031715</v>
      </c>
      <c r="G3569">
        <f ca="1"/>
        <v>4.1411408226048634</v>
      </c>
    </row>
    <row r="3570" spans="3:7">
      <c r="C3570">
        <f ca="1"/>
        <v>-8.8961192167047537E-2</v>
      </c>
      <c r="D3570">
        <f ca="1"/>
        <v>-0.93622428798737045</v>
      </c>
      <c r="E3570">
        <f ca="1"/>
        <v>0.86064036274446787</v>
      </c>
      <c r="G3570">
        <f ca="1"/>
        <v>1.6251318451141703</v>
      </c>
    </row>
    <row r="3571" spans="3:7">
      <c r="C3571">
        <f ca="1"/>
        <v>0.93778617881905935</v>
      </c>
      <c r="D3571">
        <f ca="1"/>
        <v>0.76857405684157587</v>
      </c>
      <c r="E3571">
        <f ca="1"/>
        <v>2.0625620293233937</v>
      </c>
      <c r="G3571">
        <f ca="1"/>
        <v>5.7243111228406072</v>
      </c>
    </row>
    <row r="3572" spans="3:7">
      <c r="C3572">
        <f ca="1"/>
        <v>-5.8542769778291426E-2</v>
      </c>
      <c r="D3572">
        <f ca="1"/>
        <v>-0.51132877590550097</v>
      </c>
      <c r="E3572">
        <f ca="1"/>
        <v>-1.5910525043635286</v>
      </c>
      <c r="G3572">
        <f ca="1"/>
        <v>2.7963324446037885</v>
      </c>
    </row>
    <row r="3573" spans="3:7">
      <c r="C3573">
        <f ca="1"/>
        <v>0.33733395798434818</v>
      </c>
      <c r="D3573">
        <f ca="1"/>
        <v>1.7194951009691439</v>
      </c>
      <c r="E3573">
        <f ca="1"/>
        <v>-0.40753652720086925</v>
      </c>
      <c r="G3573">
        <f ca="1"/>
        <v>3.2365436224692168</v>
      </c>
    </row>
    <row r="3574" spans="3:7">
      <c r="C3574">
        <f ca="1"/>
        <v>1.2091082391878947E-3</v>
      </c>
      <c r="D3574">
        <f ca="1"/>
        <v>1.6205069452664678</v>
      </c>
      <c r="E3574">
        <f ca="1"/>
        <v>0.35066337877471593</v>
      </c>
      <c r="G3574">
        <f ca="1"/>
        <v>2.7490090268132925</v>
      </c>
    </row>
    <row r="3575" spans="3:7">
      <c r="C3575">
        <f ca="1"/>
        <v>0.45518067474984603</v>
      </c>
      <c r="D3575">
        <f ca="1"/>
        <v>0.24363663815234921</v>
      </c>
      <c r="E3575">
        <f ca="1"/>
        <v>-0.43830798881493432</v>
      </c>
      <c r="G3575">
        <f ca="1"/>
        <v>0.4586621511748965</v>
      </c>
    </row>
    <row r="3576" spans="3:7">
      <c r="C3576">
        <f ca="1"/>
        <v>0.93873705037526789</v>
      </c>
      <c r="D3576">
        <f ca="1"/>
        <v>-2.0293722252383204</v>
      </c>
      <c r="E3576">
        <f ca="1"/>
        <v>-0.16885933868405439</v>
      </c>
      <c r="G3576">
        <f ca="1"/>
        <v>5.0280923545768061</v>
      </c>
    </row>
    <row r="3577" spans="3:7">
      <c r="C3577">
        <f ca="1"/>
        <v>1.752483735758871</v>
      </c>
      <c r="D3577">
        <f ca="1"/>
        <v>0.37797650939842509</v>
      </c>
      <c r="E3577">
        <f ca="1"/>
        <v>-1.1380471861288981</v>
      </c>
      <c r="G3577">
        <f ca="1"/>
        <v>4.5092168836122886</v>
      </c>
    </row>
    <row r="3578" spans="3:7">
      <c r="C3578">
        <f ca="1"/>
        <v>0.58422893696597289</v>
      </c>
      <c r="D3578">
        <f ca="1"/>
        <v>-9.9410724063128675E-2</v>
      </c>
      <c r="E3578">
        <f ca="1"/>
        <v>0.75122850759471527</v>
      </c>
      <c r="G3578">
        <f ca="1"/>
        <v>0.91555021347012944</v>
      </c>
    </row>
    <row r="3579" spans="3:7">
      <c r="C3579">
        <f ca="1"/>
        <v>-1.0440346859045122</v>
      </c>
      <c r="D3579">
        <f ca="1"/>
        <v>2.0912458927677489</v>
      </c>
      <c r="E3579">
        <f ca="1"/>
        <v>0.38171991559906565</v>
      </c>
      <c r="G3579">
        <f ca="1"/>
        <v>5.6090279033546704</v>
      </c>
    </row>
    <row r="3580" spans="3:7">
      <c r="C3580">
        <f ca="1"/>
        <v>-0.84561618610166578</v>
      </c>
      <c r="D3580">
        <f ca="1"/>
        <v>2.4654046517975448</v>
      </c>
      <c r="E3580">
        <f ca="1"/>
        <v>-0.70897943148618991</v>
      </c>
      <c r="G3580">
        <f ca="1"/>
        <v>7.2959386655725815</v>
      </c>
    </row>
    <row r="3581" spans="3:7">
      <c r="C3581">
        <f ca="1"/>
        <v>1.119124136337954</v>
      </c>
      <c r="D3581">
        <f ca="1"/>
        <v>-3.293060007771266E-2</v>
      </c>
      <c r="E3581">
        <f ca="1"/>
        <v>-0.26115068043710749</v>
      </c>
      <c r="G3581">
        <f ca="1"/>
        <v>1.3217229348484141</v>
      </c>
    </row>
    <row r="3582" spans="3:7">
      <c r="C3582">
        <f ca="1"/>
        <v>-0.27462696323514091</v>
      </c>
      <c r="D3582">
        <f ca="1"/>
        <v>-1.0915581626394759</v>
      </c>
      <c r="E3582">
        <f ca="1"/>
        <v>0.41191206020557258</v>
      </c>
      <c r="G3582">
        <f ca="1"/>
        <v>1.4365907367034234</v>
      </c>
    </row>
    <row r="3583" spans="3:7">
      <c r="C3583">
        <f ca="1"/>
        <v>-2.0234291943824156</v>
      </c>
      <c r="D3583">
        <f ca="1"/>
        <v>1.1273905228549144</v>
      </c>
      <c r="E3583">
        <f ca="1"/>
        <v>2.1289055225403914</v>
      </c>
      <c r="G3583">
        <f ca="1"/>
        <v>9.8975138196051269</v>
      </c>
    </row>
    <row r="3584" spans="3:7">
      <c r="C3584">
        <f ca="1"/>
        <v>0.23604359608819755</v>
      </c>
      <c r="D3584">
        <f ca="1"/>
        <v>-0.51162820274816534</v>
      </c>
      <c r="E3584">
        <f ca="1"/>
        <v>7.1498713287365318E-2</v>
      </c>
      <c r="G3584">
        <f ca="1"/>
        <v>0.32259206310331479</v>
      </c>
    </row>
    <row r="3585" spans="3:7">
      <c r="C3585">
        <f ca="1"/>
        <v>1.6928827409424139</v>
      </c>
      <c r="D3585">
        <f ca="1"/>
        <v>-0.24395937631667144</v>
      </c>
      <c r="E3585">
        <f ca="1"/>
        <v>-1.3628891767980456</v>
      </c>
      <c r="G3585">
        <f ca="1"/>
        <v>4.7828350601067733</v>
      </c>
    </row>
    <row r="3586" spans="3:7">
      <c r="C3586">
        <f ca="1"/>
        <v>1.6454847355216118</v>
      </c>
      <c r="D3586">
        <f ca="1"/>
        <v>0.28723442810930672</v>
      </c>
      <c r="E3586">
        <f ca="1"/>
        <v>-0.86260312161119379</v>
      </c>
      <c r="G3586">
        <f ca="1"/>
        <v>3.5342077769392852</v>
      </c>
    </row>
    <row r="3587" spans="3:7">
      <c r="C3587">
        <f ca="1"/>
        <v>-2.4572622753483429</v>
      </c>
      <c r="D3587">
        <f ca="1"/>
        <v>-1.2029105698102371</v>
      </c>
      <c r="E3587">
        <f ca="1"/>
        <v>-0.78206079291425479</v>
      </c>
      <c r="G3587">
        <f ca="1"/>
        <v>8.0967508126249772</v>
      </c>
    </row>
    <row r="3588" spans="3:7">
      <c r="C3588">
        <f ca="1"/>
        <v>-0.77837998369856398</v>
      </c>
      <c r="D3588">
        <f ca="1"/>
        <v>0.98490318560199397</v>
      </c>
      <c r="E3588">
        <f ca="1"/>
        <v>7.1517678919672659E-2</v>
      </c>
      <c r="G3588">
        <f ca="1"/>
        <v>1.5810244624295899</v>
      </c>
    </row>
    <row r="3589" spans="3:7">
      <c r="C3589">
        <f ca="1"/>
        <v>0.26083436202739568</v>
      </c>
      <c r="D3589">
        <f ca="1"/>
        <v>0.58382240796957463</v>
      </c>
      <c r="E3589">
        <f ca="1"/>
        <v>0.6652133069695052</v>
      </c>
      <c r="G3589">
        <f ca="1"/>
        <v>0.85139191223093613</v>
      </c>
    </row>
    <row r="3590" spans="3:7">
      <c r="C3590">
        <f ca="1"/>
        <v>-0.28791689426289552</v>
      </c>
      <c r="D3590">
        <f ca="1"/>
        <v>-0.27661180764330973</v>
      </c>
      <c r="E3590">
        <f ca="1"/>
        <v>1.2283136059185846</v>
      </c>
      <c r="G3590">
        <f ca="1"/>
        <v>1.6681645446144067</v>
      </c>
    </row>
    <row r="3591" spans="3:7">
      <c r="C3591">
        <f ca="1"/>
        <v>0.4271488682581519</v>
      </c>
      <c r="D3591">
        <f ca="1"/>
        <v>0.89192654055053844</v>
      </c>
      <c r="E3591">
        <f ca="1"/>
        <v>-1.3381779072456244</v>
      </c>
      <c r="G3591">
        <f ca="1"/>
        <v>2.7687092208329505</v>
      </c>
    </row>
    <row r="3592" spans="3:7">
      <c r="C3592">
        <f ca="1"/>
        <v>-1.8890934833059487</v>
      </c>
      <c r="D3592">
        <f ca="1"/>
        <v>0.59856163388602823</v>
      </c>
      <c r="E3592">
        <f ca="1"/>
        <v>0.49343299203818275</v>
      </c>
      <c r="G3592">
        <f ca="1"/>
        <v>4.1704263358610678</v>
      </c>
    </row>
    <row r="3593" spans="3:7">
      <c r="C3593">
        <f ca="1"/>
        <v>-0.38083761388490056</v>
      </c>
      <c r="D3593">
        <f ca="1"/>
        <v>-1.5340920430732161</v>
      </c>
      <c r="E3593">
        <f ca="1"/>
        <v>0.38727089174543222</v>
      </c>
      <c r="G3593">
        <f ca="1"/>
        <v>2.6484544283634013</v>
      </c>
    </row>
    <row r="3594" spans="3:7">
      <c r="C3594">
        <f ca="1"/>
        <v>0.48388876747963816</v>
      </c>
      <c r="D3594">
        <f ca="1"/>
        <v>-1.6338881188810399</v>
      </c>
      <c r="E3594">
        <f ca="1"/>
        <v>-0.32797146195209032</v>
      </c>
      <c r="G3594">
        <f ca="1"/>
        <v>3.0113040041685779</v>
      </c>
    </row>
    <row r="3595" spans="3:7">
      <c r="C3595">
        <f ca="1"/>
        <v>0.17620080933739829</v>
      </c>
      <c r="D3595">
        <f ca="1"/>
        <v>0.60780498426128615</v>
      </c>
      <c r="E3595">
        <f ca="1"/>
        <v>-0.59461857119932682</v>
      </c>
      <c r="G3595">
        <f ca="1"/>
        <v>0.75404486931914538</v>
      </c>
    </row>
    <row r="3596" spans="3:7">
      <c r="C3596">
        <f ca="1"/>
        <v>-1.9973900832142184</v>
      </c>
      <c r="D3596">
        <f ca="1"/>
        <v>-0.93753954156849939</v>
      </c>
      <c r="E3596">
        <f ca="1"/>
        <v>-0.48169620295095394</v>
      </c>
      <c r="G3596">
        <f ca="1"/>
        <v>5.1005787684643407</v>
      </c>
    </row>
    <row r="3597" spans="3:7">
      <c r="C3597">
        <f ca="1"/>
        <v>-0.50590234458166583</v>
      </c>
      <c r="D3597">
        <f ca="1"/>
        <v>6.163290482314232E-2</v>
      </c>
      <c r="E3597">
        <f ca="1"/>
        <v>0.72556832019275042</v>
      </c>
      <c r="G3597">
        <f ca="1"/>
        <v>0.78618518447749464</v>
      </c>
    </row>
    <row r="3598" spans="3:7">
      <c r="C3598">
        <f ca="1"/>
        <v>0.5926873916564902</v>
      </c>
      <c r="D3598">
        <f ca="1"/>
        <v>1.1210358548401949</v>
      </c>
      <c r="E3598">
        <f ca="1"/>
        <v>-1.0512237852266082</v>
      </c>
      <c r="G3598">
        <f ca="1"/>
        <v>2.7130711786920183</v>
      </c>
    </row>
    <row r="3599" spans="3:7">
      <c r="C3599">
        <f ca="1"/>
        <v>-1.4159119241574432</v>
      </c>
      <c r="D3599">
        <f ca="1"/>
        <v>0.11602555216309018</v>
      </c>
      <c r="E3599">
        <f ca="1"/>
        <v>0.22447558800768075</v>
      </c>
      <c r="G3599">
        <f ca="1"/>
        <v>2.0686577953373768</v>
      </c>
    </row>
    <row r="3600" spans="3:7">
      <c r="C3600">
        <f ca="1"/>
        <v>0.37610590915274206</v>
      </c>
      <c r="D3600">
        <f ca="1"/>
        <v>-0.13221769238653922</v>
      </c>
      <c r="E3600">
        <f ca="1"/>
        <v>0.74923078735452675</v>
      </c>
      <c r="G3600">
        <f ca="1"/>
        <v>0.72028394579951627</v>
      </c>
    </row>
    <row r="3601" spans="3:7">
      <c r="C3601">
        <f ca="1"/>
        <v>0.56495541725409015</v>
      </c>
      <c r="D3601">
        <f ca="1"/>
        <v>0.23379862599517157</v>
      </c>
      <c r="E3601">
        <f ca="1"/>
        <v>0.74208274705851884</v>
      </c>
      <c r="G3601">
        <f ca="1"/>
        <v>0.9245232244838909</v>
      </c>
    </row>
    <row r="3602" spans="3:7">
      <c r="C3602">
        <f ca="1"/>
        <v>-0.28974019193551631</v>
      </c>
      <c r="D3602">
        <f ca="1"/>
        <v>0.76450917965244047</v>
      </c>
      <c r="E3602">
        <f ca="1"/>
        <v>-0.52326709837093111</v>
      </c>
      <c r="G3602">
        <f ca="1"/>
        <v>0.94223212083321106</v>
      </c>
    </row>
    <row r="3603" spans="3:7">
      <c r="C3603">
        <f ca="1"/>
        <v>1.0777303987926174</v>
      </c>
      <c r="D3603">
        <f ca="1"/>
        <v>0.36878988258338424</v>
      </c>
      <c r="E3603">
        <f ca="1"/>
        <v>0.30676044039135891</v>
      </c>
      <c r="G3603">
        <f ca="1"/>
        <v>1.391610757766661</v>
      </c>
    </row>
    <row r="3604" spans="3:7">
      <c r="C3604">
        <f ca="1"/>
        <v>0.61110737315127917</v>
      </c>
      <c r="D3604">
        <f ca="1"/>
        <v>0.64835845392028402</v>
      </c>
      <c r="E3604">
        <f ca="1"/>
        <v>2.0464828658752463</v>
      </c>
      <c r="G3604">
        <f ca="1"/>
        <v>4.9819130266107194</v>
      </c>
    </row>
    <row r="3605" spans="3:7">
      <c r="C3605">
        <f ca="1"/>
        <v>0.77940267113961004</v>
      </c>
      <c r="D3605">
        <f ca="1"/>
        <v>0.7670431537107304</v>
      </c>
      <c r="E3605">
        <f ca="1"/>
        <v>0.2410871294954858</v>
      </c>
      <c r="G3605">
        <f ca="1"/>
        <v>1.2539467274424354</v>
      </c>
    </row>
    <row r="3606" spans="3:7">
      <c r="C3606">
        <f ca="1"/>
        <v>0.60560896725168367</v>
      </c>
      <c r="D3606">
        <f ca="1"/>
        <v>-1.2562795649900229</v>
      </c>
      <c r="E3606">
        <f ca="1"/>
        <v>0.59357134027979275</v>
      </c>
      <c r="G3606">
        <f ca="1"/>
        <v>2.2973275026287219</v>
      </c>
    </row>
    <row r="3607" spans="3:7">
      <c r="C3607">
        <f ca="1"/>
        <v>0.61330112094212785</v>
      </c>
      <c r="D3607">
        <f ca="1"/>
        <v>-0.44917876048917793</v>
      </c>
      <c r="E3607">
        <f ca="1"/>
        <v>-1.2928714610800485</v>
      </c>
      <c r="G3607">
        <f ca="1"/>
        <v>2.2494164386987241</v>
      </c>
    </row>
    <row r="3608" spans="3:7">
      <c r="C3608">
        <f ca="1"/>
        <v>1.5501440629411463</v>
      </c>
      <c r="D3608">
        <f ca="1"/>
        <v>0.3069969123957893</v>
      </c>
      <c r="E3608">
        <f ca="1"/>
        <v>-0.28500699563744702</v>
      </c>
      <c r="G3608">
        <f ca="1"/>
        <v>2.5784227076545161</v>
      </c>
    </row>
    <row r="3609" spans="3:7">
      <c r="C3609">
        <f ca="1"/>
        <v>1.4863125040145806E-2</v>
      </c>
      <c r="D3609">
        <f ca="1"/>
        <v>-0.69037207851853288</v>
      </c>
      <c r="E3609">
        <f ca="1"/>
        <v>0.17900913220349768</v>
      </c>
      <c r="G3609">
        <f ca="1"/>
        <v>0.50887878869620773</v>
      </c>
    </row>
    <row r="3610" spans="3:7">
      <c r="C3610">
        <f ca="1"/>
        <v>0.1972628854588459</v>
      </c>
      <c r="D3610">
        <f ca="1"/>
        <v>-0.33215936014547837</v>
      </c>
      <c r="E3610">
        <f ca="1"/>
        <v>0.51241499133124546</v>
      </c>
      <c r="G3610">
        <f ca="1"/>
        <v>0.41181160985280374</v>
      </c>
    </row>
    <row r="3611" spans="3:7">
      <c r="C3611">
        <f ca="1"/>
        <v>-0.38267584973066326</v>
      </c>
      <c r="D3611">
        <f ca="1"/>
        <v>-0.80816778047937243</v>
      </c>
      <c r="E3611">
        <f ca="1"/>
        <v>-0.30943265716092228</v>
      </c>
      <c r="G3611">
        <f ca="1"/>
        <v>0.89532453668970913</v>
      </c>
    </row>
    <row r="3612" spans="3:7">
      <c r="C3612">
        <f ca="1"/>
        <v>0.55583821324540383</v>
      </c>
      <c r="D3612">
        <f ca="1"/>
        <v>-1.643831366153246</v>
      </c>
      <c r="E3612">
        <f ca="1"/>
        <v>-0.99246092918064333</v>
      </c>
      <c r="G3612">
        <f ca="1"/>
        <v>3.9961163756031959</v>
      </c>
    </row>
    <row r="3613" spans="3:7">
      <c r="C3613">
        <f ca="1"/>
        <v>0.30172591607731297</v>
      </c>
      <c r="D3613">
        <f ca="1"/>
        <v>0.14375798908217324</v>
      </c>
      <c r="E3613">
        <f ca="1"/>
        <v>-0.41760744652640214</v>
      </c>
      <c r="G3613">
        <f ca="1"/>
        <v>0.28610086725194578</v>
      </c>
    </row>
    <row r="3614" spans="3:7">
      <c r="C3614">
        <f ca="1"/>
        <v>1.2432584864730158</v>
      </c>
      <c r="D3614">
        <f ca="1"/>
        <v>0.29647628056515019</v>
      </c>
      <c r="E3614">
        <f ca="1"/>
        <v>-1.1132235136602724</v>
      </c>
      <c r="G3614">
        <f ca="1"/>
        <v>2.8728564404910424</v>
      </c>
    </row>
    <row r="3615" spans="3:7">
      <c r="C3615">
        <f ca="1"/>
        <v>1.2457339454673544</v>
      </c>
      <c r="D3615">
        <f ca="1"/>
        <v>-0.40264348615059314</v>
      </c>
      <c r="E3615">
        <f ca="1"/>
        <v>-1.4246243611672871</v>
      </c>
      <c r="G3615">
        <f ca="1"/>
        <v>3.7435294102604653</v>
      </c>
    </row>
    <row r="3616" spans="3:7">
      <c r="C3616">
        <f ca="1"/>
        <v>5.4459693350225026E-2</v>
      </c>
      <c r="D3616">
        <f ca="1"/>
        <v>-0.33910457555616513</v>
      </c>
      <c r="E3616">
        <f ca="1"/>
        <v>-0.58452095280478744</v>
      </c>
      <c r="G3616">
        <f ca="1"/>
        <v>0.45962251563074402</v>
      </c>
    </row>
    <row r="3617" spans="3:7">
      <c r="C3617">
        <f ca="1"/>
        <v>0.40994060998982074</v>
      </c>
      <c r="D3617">
        <f ca="1"/>
        <v>2.0007295559868905</v>
      </c>
      <c r="E3617">
        <f ca="1"/>
        <v>-0.24472317352483336</v>
      </c>
      <c r="G3617">
        <f ca="1"/>
        <v>4.2308594915783919</v>
      </c>
    </row>
    <row r="3618" spans="3:7">
      <c r="C3618">
        <f ca="1"/>
        <v>-0.91338388715909336</v>
      </c>
      <c r="D3618">
        <f ca="1"/>
        <v>1.7380505085234497</v>
      </c>
      <c r="E3618">
        <f ca="1"/>
        <v>-1.7641158478263954</v>
      </c>
      <c r="G3618">
        <f ca="1"/>
        <v>6.9671944200527189</v>
      </c>
    </row>
    <row r="3619" spans="3:7">
      <c r="C3619">
        <f ca="1"/>
        <v>-0.84990052394386917</v>
      </c>
      <c r="D3619">
        <f ca="1"/>
        <v>-0.5214606438618189</v>
      </c>
      <c r="E3619">
        <f ca="1"/>
        <v>-0.85914028581236856</v>
      </c>
      <c r="G3619">
        <f ca="1"/>
        <v>1.7323741344026042</v>
      </c>
    </row>
    <row r="3620" spans="3:7">
      <c r="C3620">
        <f ca="1"/>
        <v>-1.5343192371211825</v>
      </c>
      <c r="D3620">
        <f ca="1"/>
        <v>1.8713582231561658</v>
      </c>
      <c r="E3620">
        <f ca="1"/>
        <v>0.36973041043161137</v>
      </c>
      <c r="G3620">
        <f ca="1"/>
        <v>5.9928176971722573</v>
      </c>
    </row>
    <row r="3621" spans="3:7">
      <c r="C3621">
        <f ca="1"/>
        <v>0.32789837378001446</v>
      </c>
      <c r="D3621">
        <f ca="1"/>
        <v>1.4328405524091745</v>
      </c>
      <c r="E3621">
        <f ca="1"/>
        <v>-0.23026433040817146</v>
      </c>
      <c r="G3621">
        <f ca="1"/>
        <v>2.21357105401413</v>
      </c>
    </row>
    <row r="3622" spans="3:7">
      <c r="C3622">
        <f ca="1"/>
        <v>0.8933872371065924</v>
      </c>
      <c r="D3622">
        <f ca="1"/>
        <v>0.26965502201492392</v>
      </c>
      <c r="E3622">
        <f ca="1"/>
        <v>0.83115258938614989</v>
      </c>
      <c r="G3622">
        <f ca="1"/>
        <v>1.5616692131661218</v>
      </c>
    </row>
    <row r="3623" spans="3:7">
      <c r="C3623">
        <f ca="1"/>
        <v>0.33920294916747518</v>
      </c>
      <c r="D3623">
        <f ca="1"/>
        <v>-0.17563109808769864</v>
      </c>
      <c r="E3623">
        <f ca="1"/>
        <v>0.12289622235929031</v>
      </c>
      <c r="G3623">
        <f ca="1"/>
        <v>0.1610084048095877</v>
      </c>
    </row>
    <row r="3624" spans="3:7">
      <c r="C3624">
        <f ca="1"/>
        <v>-1.4321453997725513</v>
      </c>
      <c r="D3624">
        <f ca="1"/>
        <v>-0.41245676419576505</v>
      </c>
      <c r="E3624">
        <f ca="1"/>
        <v>0.12539799255359563</v>
      </c>
      <c r="G3624">
        <f ca="1"/>
        <v>2.2368856849569929</v>
      </c>
    </row>
    <row r="3625" spans="3:7">
      <c r="C3625">
        <f ca="1"/>
        <v>1.4295204612504602</v>
      </c>
      <c r="D3625">
        <f ca="1"/>
        <v>0.8045219707426231</v>
      </c>
      <c r="E3625">
        <f ca="1"/>
        <v>-0.69742886879192945</v>
      </c>
      <c r="G3625">
        <f ca="1"/>
        <v>3.1771913775657135</v>
      </c>
    </row>
    <row r="3626" spans="3:7">
      <c r="C3626">
        <f ca="1"/>
        <v>0.14310180065110936</v>
      </c>
      <c r="D3626">
        <f ca="1"/>
        <v>-1.6907399632277453</v>
      </c>
      <c r="E3626">
        <f ca="1"/>
        <v>-1.053025558188629</v>
      </c>
      <c r="G3626">
        <f ca="1"/>
        <v>3.9879425748034212</v>
      </c>
    </row>
    <row r="3627" spans="3:7">
      <c r="C3627">
        <f ca="1"/>
        <v>-1.4059435352429535</v>
      </c>
      <c r="D3627">
        <f ca="1"/>
        <v>-0.49861059293076709</v>
      </c>
      <c r="E3627">
        <f ca="1"/>
        <v>-0.10071846383623313</v>
      </c>
      <c r="G3627">
        <f ca="1"/>
        <v>2.2354339566317556</v>
      </c>
    </row>
    <row r="3628" spans="3:7">
      <c r="C3628">
        <f ca="1"/>
        <v>-1.2512857848202967</v>
      </c>
      <c r="D3628">
        <f ca="1"/>
        <v>0.34791809247599931</v>
      </c>
      <c r="E3628">
        <f ca="1"/>
        <v>-0.27989904051354153</v>
      </c>
      <c r="G3628">
        <f ca="1"/>
        <v>1.7651065872458849</v>
      </c>
    </row>
    <row r="3629" spans="3:7">
      <c r="C3629">
        <f ca="1"/>
        <v>1.2098814332811774</v>
      </c>
      <c r="D3629">
        <f ca="1"/>
        <v>1.1432013613987155</v>
      </c>
      <c r="E3629">
        <f ca="1"/>
        <v>-0.16035786676272631</v>
      </c>
      <c r="G3629">
        <f ca="1"/>
        <v>2.7964370807350849</v>
      </c>
    </row>
    <row r="3630" spans="3:7">
      <c r="C3630">
        <f ca="1"/>
        <v>2.3488152528561295</v>
      </c>
      <c r="D3630">
        <f ca="1"/>
        <v>-0.15974587534559523</v>
      </c>
      <c r="E3630">
        <f ca="1"/>
        <v>1.691182400264424</v>
      </c>
      <c r="G3630">
        <f ca="1"/>
        <v>8.4025497477036719</v>
      </c>
    </row>
    <row r="3631" spans="3:7">
      <c r="C3631">
        <f ca="1"/>
        <v>0.38444358961792596</v>
      </c>
      <c r="D3631">
        <f ca="1"/>
        <v>0.83941241642518583</v>
      </c>
      <c r="E3631">
        <f ca="1"/>
        <v>-0.27029382640104782</v>
      </c>
      <c r="G3631">
        <f ca="1"/>
        <v>0.92546883103760558</v>
      </c>
    </row>
    <row r="3632" spans="3:7">
      <c r="C3632">
        <f ca="1"/>
        <v>-0.59375893328007967</v>
      </c>
      <c r="D3632">
        <f ca="1"/>
        <v>0.2729298702433241</v>
      </c>
      <c r="E3632">
        <f ca="1"/>
        <v>0.48723403171333746</v>
      </c>
      <c r="G3632">
        <f ca="1"/>
        <v>0.66443738658056939</v>
      </c>
    </row>
    <row r="3633" spans="3:7">
      <c r="C3633">
        <f ca="1"/>
        <v>1.3946421654428238</v>
      </c>
      <c r="D3633">
        <f ca="1"/>
        <v>-8.5989805812323128E-2</v>
      </c>
      <c r="E3633">
        <f ca="1"/>
        <v>1.1024309062352378</v>
      </c>
      <c r="G3633">
        <f ca="1"/>
        <v>3.1677749193573375</v>
      </c>
    </row>
    <row r="3634" spans="3:7">
      <c r="C3634">
        <f ca="1"/>
        <v>1.1932653111180314</v>
      </c>
      <c r="D3634">
        <f ca="1"/>
        <v>-1.5070669917192032</v>
      </c>
      <c r="E3634">
        <f ca="1"/>
        <v>-0.66312371572529605</v>
      </c>
      <c r="G3634">
        <f ca="1"/>
        <v>4.1348660826045043</v>
      </c>
    </row>
    <row r="3635" spans="3:7">
      <c r="C3635">
        <f ca="1"/>
        <v>0.5896284930308322</v>
      </c>
      <c r="D3635">
        <f ca="1"/>
        <v>-0.48355142514564053</v>
      </c>
      <c r="E3635">
        <f ca="1"/>
        <v>0.39770804947368305</v>
      </c>
      <c r="G3635">
        <f ca="1"/>
        <v>0.73965543317035165</v>
      </c>
    </row>
    <row r="3636" spans="3:7">
      <c r="C3636">
        <f ca="1"/>
        <v>0.17086738701098231</v>
      </c>
      <c r="D3636">
        <f ca="1"/>
        <v>1.8506562632545807</v>
      </c>
      <c r="E3636">
        <f ca="1"/>
        <v>0.82935826709735028</v>
      </c>
      <c r="G3636">
        <f ca="1"/>
        <v>4.1419594038700884</v>
      </c>
    </row>
    <row r="3637" spans="3:7">
      <c r="C3637">
        <f ca="1"/>
        <v>0.45038718899518843</v>
      </c>
      <c r="D3637">
        <f ca="1"/>
        <v>0.17365038667348554</v>
      </c>
      <c r="E3637">
        <f ca="1"/>
        <v>-0.26956160151646696</v>
      </c>
      <c r="G3637">
        <f ca="1"/>
        <v>0.30566653381496117</v>
      </c>
    </row>
    <row r="3638" spans="3:7">
      <c r="C3638">
        <f ca="1"/>
        <v>0.67147459664291753</v>
      </c>
      <c r="D3638">
        <f ca="1"/>
        <v>-1.3420345305830248</v>
      </c>
      <c r="E3638">
        <f ca="1"/>
        <v>0.28909364861977949</v>
      </c>
      <c r="G3638">
        <f ca="1"/>
        <v>2.3355099528862651</v>
      </c>
    </row>
    <row r="3639" spans="3:7">
      <c r="C3639">
        <f ca="1"/>
        <v>-1.7223081953612887</v>
      </c>
      <c r="D3639">
        <f ca="1"/>
        <v>-0.73055085867495784</v>
      </c>
      <c r="E3639">
        <f ca="1"/>
        <v>0.84894276292237614</v>
      </c>
      <c r="G3639">
        <f ca="1"/>
        <v>4.2207538916376546</v>
      </c>
    </row>
    <row r="3640" spans="3:7">
      <c r="C3640">
        <f ca="1"/>
        <v>-0.91756553721007161</v>
      </c>
      <c r="D3640">
        <f ca="1"/>
        <v>-0.14954994538833194</v>
      </c>
      <c r="E3640">
        <f ca="1"/>
        <v>0.3484262334351812</v>
      </c>
      <c r="G3640">
        <f ca="1"/>
        <v>0.98569254138708784</v>
      </c>
    </row>
    <row r="3641" spans="3:7">
      <c r="C3641">
        <f ca="1"/>
        <v>1.3641213102128471</v>
      </c>
      <c r="D3641">
        <f ca="1"/>
        <v>0.68145448789895779</v>
      </c>
      <c r="E3641">
        <f ca="1"/>
        <v>0.28708509033577939</v>
      </c>
      <c r="G3641">
        <f ca="1"/>
        <v>2.4076250171475477</v>
      </c>
    </row>
    <row r="3642" spans="3:7">
      <c r="C3642">
        <f ca="1"/>
        <v>-5.996567194573215E-2</v>
      </c>
      <c r="D3642">
        <f ca="1"/>
        <v>0.10216560551863156</v>
      </c>
      <c r="E3642">
        <f ca="1"/>
        <v>0.76879197456111759</v>
      </c>
      <c r="G3642">
        <f ca="1"/>
        <v>0.6050747929124739</v>
      </c>
    </row>
    <row r="3643" spans="3:7">
      <c r="C3643">
        <f ca="1"/>
        <v>-1.2655479587980389</v>
      </c>
      <c r="D3643">
        <f ca="1"/>
        <v>0.12871269588977433</v>
      </c>
      <c r="E3643">
        <f ca="1"/>
        <v>1.5062500022565177</v>
      </c>
      <c r="G3643">
        <f ca="1"/>
        <v>3.8869676633988561</v>
      </c>
    </row>
    <row r="3644" spans="3:7">
      <c r="C3644">
        <f ca="1"/>
        <v>-0.1486932370394381</v>
      </c>
      <c r="D3644">
        <f ca="1"/>
        <v>1.1748371950508139</v>
      </c>
      <c r="E3644">
        <f ca="1"/>
        <v>0.24293145183026632</v>
      </c>
      <c r="G3644">
        <f ca="1"/>
        <v>1.4613678039044915</v>
      </c>
    </row>
    <row r="3645" spans="3:7">
      <c r="C3645">
        <f ca="1"/>
        <v>7.2389070048355458E-2</v>
      </c>
      <c r="D3645">
        <f ca="1"/>
        <v>-0.56349153603286983</v>
      </c>
      <c r="E3645">
        <f ca="1"/>
        <v>0.25576984413757464</v>
      </c>
      <c r="G3645">
        <f ca="1"/>
        <v>0.38818110181330795</v>
      </c>
    </row>
    <row r="3646" spans="3:7">
      <c r="C3646">
        <f ca="1"/>
        <v>-0.59217163094410596</v>
      </c>
      <c r="D3646">
        <f ca="1"/>
        <v>-8.3796767261926877E-2</v>
      </c>
      <c r="E3646">
        <f ca="1"/>
        <v>0.51226862970368059</v>
      </c>
      <c r="G3646">
        <f ca="1"/>
        <v>0.62010828767703852</v>
      </c>
    </row>
    <row r="3647" spans="3:7">
      <c r="C3647">
        <f ca="1"/>
        <v>1.0790207452650771</v>
      </c>
      <c r="D3647">
        <f ca="1"/>
        <v>-1.3595127276312851</v>
      </c>
      <c r="E3647">
        <f ca="1"/>
        <v>-8.9577920674850705E-3</v>
      </c>
      <c r="G3647">
        <f ca="1"/>
        <v>3.0126408673425833</v>
      </c>
    </row>
    <row r="3648" spans="3:7">
      <c r="C3648">
        <f ca="1"/>
        <v>0.22647770155275149</v>
      </c>
      <c r="D3648">
        <f ca="1"/>
        <v>-9.182682033942019E-2</v>
      </c>
      <c r="E3648">
        <f ca="1"/>
        <v>-0.9045435667224816</v>
      </c>
      <c r="G3648">
        <f ca="1"/>
        <v>0.87792337833329381</v>
      </c>
    </row>
    <row r="3649" spans="3:7">
      <c r="C3649">
        <f ca="1"/>
        <v>-2.6217291898895874</v>
      </c>
      <c r="D3649">
        <f ca="1"/>
        <v>0.40712482853110044</v>
      </c>
      <c r="E3649">
        <f ca="1"/>
        <v>7.9362684621109458E-2</v>
      </c>
      <c r="G3649">
        <f ca="1"/>
        <v>7.0455130068358596</v>
      </c>
    </row>
    <row r="3650" spans="3:7">
      <c r="C3650">
        <f ca="1"/>
        <v>1.1594613295244325</v>
      </c>
      <c r="D3650">
        <f ca="1"/>
        <v>3.4035596426817971E-2</v>
      </c>
      <c r="E3650">
        <f ca="1"/>
        <v>2.1434105106326557E-2</v>
      </c>
      <c r="G3650">
        <f ca="1"/>
        <v>1.3459684173484028</v>
      </c>
    </row>
    <row r="3651" spans="3:7">
      <c r="C3651">
        <f ca="1"/>
        <v>8.3261485472874167E-2</v>
      </c>
      <c r="D3651">
        <f ca="1"/>
        <v>-0.62439519713852232</v>
      </c>
      <c r="E3651">
        <f ca="1"/>
        <v>0.2564260207668681</v>
      </c>
      <c r="G3651">
        <f ca="1"/>
        <v>0.46255614129913403</v>
      </c>
    </row>
    <row r="3652" spans="3:7">
      <c r="C3652">
        <f ca="1"/>
        <v>1.8889870890798055</v>
      </c>
      <c r="D3652">
        <f ca="1"/>
        <v>-0.56836641514405961</v>
      </c>
      <c r="E3652">
        <f ca="1"/>
        <v>-1.2384611049283756</v>
      </c>
      <c r="G3652">
        <f ca="1"/>
        <v>5.4250985129943192</v>
      </c>
    </row>
    <row r="3653" spans="3:7">
      <c r="C3653">
        <f ca="1"/>
        <v>0.84055148159945203</v>
      </c>
      <c r="D3653">
        <f ca="1"/>
        <v>0.974725586498977</v>
      </c>
      <c r="E3653">
        <f ca="1"/>
        <v>0.69321358434234892</v>
      </c>
      <c r="G3653">
        <f ca="1"/>
        <v>2.1371618357115754</v>
      </c>
    </row>
    <row r="3654" spans="3:7">
      <c r="C3654">
        <f ca="1"/>
        <v>0.75194766401647739</v>
      </c>
      <c r="D3654">
        <f ca="1"/>
        <v>-0.5242954156248294</v>
      </c>
      <c r="E3654">
        <f ca="1"/>
        <v>1.583929581115711</v>
      </c>
      <c r="G3654">
        <f ca="1"/>
        <v>3.3491438901984418</v>
      </c>
    </row>
    <row r="3655" spans="3:7">
      <c r="C3655">
        <f ca="1"/>
        <v>-0.11928859614943817</v>
      </c>
      <c r="D3655">
        <f ca="1"/>
        <v>-0.59578447756136987</v>
      </c>
      <c r="E3655">
        <f ca="1"/>
        <v>-2.3898698927494793</v>
      </c>
      <c r="G3655">
        <f ca="1"/>
        <v>6.0806670171447852</v>
      </c>
    </row>
    <row r="3656" spans="3:7">
      <c r="C3656">
        <f ca="1"/>
        <v>0.2071239142431896</v>
      </c>
      <c r="D3656">
        <f ca="1"/>
        <v>0.6544225403308247</v>
      </c>
      <c r="E3656">
        <f ca="1"/>
        <v>1.4862248049289888</v>
      </c>
      <c r="G3656">
        <f ca="1"/>
        <v>2.6800333479306806</v>
      </c>
    </row>
    <row r="3657" spans="3:7">
      <c r="C3657">
        <f ca="1"/>
        <v>0.25920805093702304</v>
      </c>
      <c r="D3657">
        <f ca="1"/>
        <v>-0.12893634923387717</v>
      </c>
      <c r="E3657">
        <f ca="1"/>
        <v>7.7201776310070122E-2</v>
      </c>
      <c r="G3657">
        <f ca="1"/>
        <v>8.9773510089760783E-2</v>
      </c>
    </row>
    <row r="3658" spans="3:7">
      <c r="C3658">
        <f ca="1"/>
        <v>-0.31000188234651699</v>
      </c>
      <c r="D3658">
        <f ca="1"/>
        <v>0.64033368792443424</v>
      </c>
      <c r="E3658">
        <f ca="1"/>
        <v>-1.0857194556604435</v>
      </c>
      <c r="G3658">
        <f ca="1"/>
        <v>1.6849151353489003</v>
      </c>
    </row>
    <row r="3659" spans="3:7">
      <c r="C3659">
        <f ca="1"/>
        <v>-0.29580165549671134</v>
      </c>
      <c r="D3659">
        <f ca="1"/>
        <v>2.2805151225021563</v>
      </c>
      <c r="E3659">
        <f ca="1"/>
        <v>0.55396831344787456</v>
      </c>
      <c r="G3659">
        <f ca="1"/>
        <v>5.5951287356599027</v>
      </c>
    </row>
    <row r="3660" spans="3:7">
      <c r="C3660">
        <f ca="1"/>
        <v>-1.2062317358533903</v>
      </c>
      <c r="D3660">
        <f ca="1"/>
        <v>-1.2596868986061127</v>
      </c>
      <c r="E3660">
        <f ca="1"/>
        <v>-1.9076387150571452</v>
      </c>
      <c r="G3660">
        <f ca="1"/>
        <v>6.6808915502846462</v>
      </c>
    </row>
    <row r="3661" spans="3:7">
      <c r="C3661">
        <f ca="1"/>
        <v>-0.76520141532657016</v>
      </c>
      <c r="D3661">
        <f ca="1"/>
        <v>-1.8571699987701493</v>
      </c>
      <c r="E3661">
        <f ca="1"/>
        <v>1.5136414754710379</v>
      </c>
      <c r="G3661">
        <f ca="1"/>
        <v>6.3257241266158433</v>
      </c>
    </row>
    <row r="3662" spans="3:7">
      <c r="C3662">
        <f ca="1"/>
        <v>-0.41915491152090517</v>
      </c>
      <c r="D3662">
        <f ca="1"/>
        <v>0.4001094928013923</v>
      </c>
      <c r="E3662">
        <f ca="1"/>
        <v>-0.23579341595250056</v>
      </c>
      <c r="G3662">
        <f ca="1"/>
        <v>0.39137698108843416</v>
      </c>
    </row>
    <row r="3663" spans="3:7">
      <c r="C3663">
        <f ca="1"/>
        <v>-0.27470429738745522</v>
      </c>
      <c r="D3663">
        <f ca="1"/>
        <v>-1.5014581428169003</v>
      </c>
      <c r="E3663">
        <f ca="1"/>
        <v>-2.5716165303527796</v>
      </c>
      <c r="G3663">
        <f ca="1"/>
        <v>8.9430505848179802</v>
      </c>
    </row>
    <row r="3664" spans="3:7">
      <c r="C3664">
        <f ca="1"/>
        <v>0.93449701144669339</v>
      </c>
      <c r="D3664">
        <f ca="1"/>
        <v>0.25061423996702153</v>
      </c>
      <c r="E3664">
        <f ca="1"/>
        <v>1.0652362243719526</v>
      </c>
      <c r="G3664">
        <f ca="1"/>
        <v>2.0708203753912624</v>
      </c>
    </row>
    <row r="3665" spans="3:7">
      <c r="C3665">
        <f ca="1"/>
        <v>0.21474643930534171</v>
      </c>
      <c r="D3665">
        <f ca="1"/>
        <v>0.50265134377660992</v>
      </c>
      <c r="E3665">
        <f ca="1"/>
        <v>-1.527536681868594</v>
      </c>
      <c r="G3665">
        <f ca="1"/>
        <v>2.632142721048869</v>
      </c>
    </row>
    <row r="3666" spans="3:7">
      <c r="C3666">
        <f ca="1"/>
        <v>1.2266088407792897</v>
      </c>
      <c r="D3666">
        <f ca="1"/>
        <v>-0.34964937952314529</v>
      </c>
      <c r="E3666">
        <f ca="1"/>
        <v>-0.97218400229867896</v>
      </c>
      <c r="G3666">
        <f ca="1"/>
        <v>2.5719656712043113</v>
      </c>
    </row>
    <row r="3667" spans="3:7">
      <c r="C3667">
        <f ca="1"/>
        <v>0.50239318028249036</v>
      </c>
      <c r="D3667">
        <f ca="1"/>
        <v>-7.3053830771094522E-2</v>
      </c>
      <c r="E3667">
        <f ca="1"/>
        <v>-3.5666216836766212E-3</v>
      </c>
      <c r="G3667">
        <f ca="1"/>
        <v>0.257748490574921</v>
      </c>
    </row>
    <row r="3668" spans="3:7">
      <c r="C3668">
        <f ca="1"/>
        <v>-0.98592603504452503</v>
      </c>
      <c r="D3668">
        <f ca="1"/>
        <v>-0.93709115703751344</v>
      </c>
      <c r="E3668">
        <f ca="1"/>
        <v>0.77046443682286248</v>
      </c>
      <c r="G3668">
        <f ca="1"/>
        <v>2.4438054315852944</v>
      </c>
    </row>
    <row r="3669" spans="3:7">
      <c r="C3669">
        <f ca="1"/>
        <v>-0.89653274579828013</v>
      </c>
      <c r="D3669">
        <f ca="1"/>
        <v>1.4848755505994802</v>
      </c>
      <c r="E3669">
        <f ca="1"/>
        <v>-0.66674172026846201</v>
      </c>
      <c r="G3669">
        <f ca="1"/>
        <v>3.4531708866032615</v>
      </c>
    </row>
    <row r="3670" spans="3:7">
      <c r="C3670">
        <f ca="1"/>
        <v>-1.8854408397764602E-2</v>
      </c>
      <c r="D3670">
        <f ca="1"/>
        <v>0.25574872650857167</v>
      </c>
      <c r="E3670">
        <f ca="1"/>
        <v>-0.137411190395446</v>
      </c>
      <c r="G3670">
        <f ca="1"/>
        <v>8.4644735072679403E-2</v>
      </c>
    </row>
    <row r="3671" spans="3:7">
      <c r="C3671">
        <f ca="1"/>
        <v>2.6253155871072333E-2</v>
      </c>
      <c r="D3671">
        <f ca="1"/>
        <v>0.56297419493442546</v>
      </c>
      <c r="E3671">
        <f ca="1"/>
        <v>-0.69749346066659801</v>
      </c>
      <c r="G3671">
        <f ca="1"/>
        <v>0.8041263000279224</v>
      </c>
    </row>
    <row r="3672" spans="3:7">
      <c r="C3672">
        <f ca="1"/>
        <v>-7.7751193092485847E-3</v>
      </c>
      <c r="D3672">
        <f ca="1"/>
        <v>-0.30588744258080297</v>
      </c>
      <c r="E3672">
        <f ca="1"/>
        <v>5.6628681129942258E-2</v>
      </c>
      <c r="G3672">
        <f ca="1"/>
        <v>9.6834387535413763E-2</v>
      </c>
    </row>
    <row r="3673" spans="3:7">
      <c r="C3673">
        <f ca="1"/>
        <v>2.8045192299150159</v>
      </c>
      <c r="D3673">
        <f ca="1"/>
        <v>-0.73536547303687794</v>
      </c>
      <c r="E3673">
        <f ca="1"/>
        <v>2.7163314831674154E-2</v>
      </c>
      <c r="G3673">
        <f ca="1"/>
        <v>8.4068283355705091</v>
      </c>
    </row>
    <row r="3674" spans="3:7">
      <c r="C3674">
        <f ca="1"/>
        <v>-0.82670697216160904</v>
      </c>
      <c r="D3674">
        <f ca="1"/>
        <v>1.5577818685977838</v>
      </c>
      <c r="E3674">
        <f ca="1"/>
        <v>-0.72443650237167423</v>
      </c>
      <c r="G3674">
        <f ca="1"/>
        <v>3.6349370139211232</v>
      </c>
    </row>
    <row r="3675" spans="3:7">
      <c r="C3675">
        <f ca="1"/>
        <v>-1.2441697601606396</v>
      </c>
      <c r="D3675">
        <f ca="1"/>
        <v>1.8300352691910441E-3</v>
      </c>
      <c r="E3675">
        <f ca="1"/>
        <v>0.57675300862231627</v>
      </c>
      <c r="G3675">
        <f ca="1"/>
        <v>1.8806057740821636</v>
      </c>
    </row>
    <row r="3676" spans="3:7">
      <c r="C3676">
        <f ca="1"/>
        <v>1.3750978118359911</v>
      </c>
      <c r="D3676">
        <f ca="1"/>
        <v>0.34765213041405935</v>
      </c>
      <c r="E3676">
        <f ca="1"/>
        <v>-1.5758131868926202</v>
      </c>
      <c r="G3676">
        <f ca="1"/>
        <v>4.4949431958822412</v>
      </c>
    </row>
    <row r="3677" spans="3:7">
      <c r="C3677">
        <f ca="1"/>
        <v>-9.4938637026968808E-2</v>
      </c>
      <c r="D3677">
        <f ca="1"/>
        <v>-0.85810468187801026</v>
      </c>
      <c r="E3677">
        <f ca="1"/>
        <v>-1.8765459396926565</v>
      </c>
      <c r="G3677">
        <f ca="1"/>
        <v>4.2667816536384953</v>
      </c>
    </row>
    <row r="3678" spans="3:7">
      <c r="C3678">
        <f ca="1"/>
        <v>-1.3645165610585557</v>
      </c>
      <c r="D3678">
        <f ca="1"/>
        <v>2.3519362326936943</v>
      </c>
      <c r="E3678">
        <f ca="1"/>
        <v>0.8219965461022104</v>
      </c>
      <c r="G3678">
        <f ca="1"/>
        <v>8.0691878098644363</v>
      </c>
    </row>
    <row r="3679" spans="3:7">
      <c r="C3679">
        <f ca="1"/>
        <v>0.42017193415564202</v>
      </c>
      <c r="D3679">
        <f ca="1"/>
        <v>-1.2461125840758454</v>
      </c>
      <c r="E3679">
        <f ca="1"/>
        <v>-0.32765985212816595</v>
      </c>
      <c r="G3679">
        <f ca="1"/>
        <v>1.8367020051409255</v>
      </c>
    </row>
    <row r="3680" spans="3:7">
      <c r="C3680">
        <f ca="1"/>
        <v>9.3143049606870913E-3</v>
      </c>
      <c r="D3680">
        <f ca="1"/>
        <v>0.84777428698039692</v>
      </c>
      <c r="E3680">
        <f ca="1"/>
        <v>3.4126733668961552E-2</v>
      </c>
      <c r="G3680">
        <f ca="1"/>
        <v>0.71997263189293337</v>
      </c>
    </row>
    <row r="3681" spans="3:7">
      <c r="C3681">
        <f ca="1"/>
        <v>0.13775315684499675</v>
      </c>
      <c r="D3681">
        <f ca="1"/>
        <v>-2.5414952485896256</v>
      </c>
      <c r="E3681">
        <f ca="1"/>
        <v>-1.3794919512745354</v>
      </c>
      <c r="G3681">
        <f ca="1"/>
        <v>8.3811720744556304</v>
      </c>
    </row>
    <row r="3682" spans="3:7">
      <c r="C3682">
        <f ca="1"/>
        <v>1.8181272646653914</v>
      </c>
      <c r="D3682">
        <f ca="1"/>
        <v>2.3642653701022961E-2</v>
      </c>
      <c r="E3682">
        <f ca="1"/>
        <v>-0.3970073906045487</v>
      </c>
      <c r="G3682">
        <f ca="1"/>
        <v>3.4637605937883178</v>
      </c>
    </row>
    <row r="3683" spans="3:7">
      <c r="C3683">
        <f ca="1"/>
        <v>-0.88978803680285734</v>
      </c>
      <c r="D3683">
        <f ca="1"/>
        <v>0.87460172661613755</v>
      </c>
      <c r="E3683">
        <f ca="1"/>
        <v>-0.49332680446594906</v>
      </c>
      <c r="G3683">
        <f ca="1"/>
        <v>1.8000222666419967</v>
      </c>
    </row>
    <row r="3684" spans="3:7">
      <c r="C3684">
        <f ca="1"/>
        <v>-0.9561031675385967</v>
      </c>
      <c r="D3684">
        <f ca="1"/>
        <v>-0.2718618455225697</v>
      </c>
      <c r="E3684">
        <f ca="1"/>
        <v>-0.40076794032674179</v>
      </c>
      <c r="G3684">
        <f ca="1"/>
        <v>1.1486570720220144</v>
      </c>
    </row>
    <row r="3685" spans="3:7">
      <c r="C3685">
        <f ca="1"/>
        <v>-0.53221401335754026</v>
      </c>
      <c r="D3685">
        <f ca="1"/>
        <v>-4.6211215199705558E-2</v>
      </c>
      <c r="E3685">
        <f ca="1"/>
        <v>-1.2746235855177075</v>
      </c>
      <c r="G3685">
        <f ca="1"/>
        <v>1.9100525171823901</v>
      </c>
    </row>
    <row r="3686" spans="3:7">
      <c r="C3686">
        <f ca="1"/>
        <v>-0.13082280721995179</v>
      </c>
      <c r="D3686">
        <f ca="1"/>
        <v>1.6821031598288116</v>
      </c>
      <c r="E3686">
        <f ca="1"/>
        <v>-0.49352928034729154</v>
      </c>
      <c r="G3686">
        <f ca="1"/>
        <v>3.090156797755097</v>
      </c>
    </row>
    <row r="3687" spans="3:7">
      <c r="C3687">
        <f ca="1"/>
        <v>7.966673035734971E-2</v>
      </c>
      <c r="D3687">
        <f ca="1"/>
        <v>1.2441547678774558</v>
      </c>
      <c r="E3687">
        <f ca="1"/>
        <v>2.1268710672223938</v>
      </c>
      <c r="G3687">
        <f ca="1"/>
        <v>6.0778484109457613</v>
      </c>
    </row>
    <row r="3688" spans="3:7">
      <c r="C3688">
        <f ca="1"/>
        <v>1.2296067440002569</v>
      </c>
      <c r="D3688">
        <f ca="1"/>
        <v>1.0455452636537534</v>
      </c>
      <c r="E3688">
        <f ca="1"/>
        <v>0.16293401911039118</v>
      </c>
      <c r="G3688">
        <f ca="1"/>
        <v>2.6316451378231753</v>
      </c>
    </row>
    <row r="3689" spans="3:7">
      <c r="C3689">
        <f ca="1"/>
        <v>-0.48875832660324875</v>
      </c>
      <c r="D3689">
        <f ca="1"/>
        <v>0.98176300824743845</v>
      </c>
      <c r="E3689">
        <f ca="1"/>
        <v>-1.2583041124934622</v>
      </c>
      <c r="G3689">
        <f ca="1"/>
        <v>2.7860725457050273</v>
      </c>
    </row>
    <row r="3690" spans="3:7">
      <c r="C3690">
        <f ca="1"/>
        <v>0.83468699690418435</v>
      </c>
      <c r="D3690">
        <f ca="1"/>
        <v>-0.1649388234627775</v>
      </c>
      <c r="E3690">
        <f ca="1"/>
        <v>0.71372732583790821</v>
      </c>
      <c r="G3690">
        <f ca="1"/>
        <v>1.2333138939339428</v>
      </c>
    </row>
    <row r="3691" spans="3:7">
      <c r="C3691">
        <f ca="1"/>
        <v>-5.9199817920300782E-2</v>
      </c>
      <c r="D3691">
        <f ca="1"/>
        <v>0.79402083560009828</v>
      </c>
      <c r="E3691">
        <f ca="1"/>
        <v>6.1876107382970299E-3</v>
      </c>
      <c r="G3691">
        <f ca="1"/>
        <v>0.63401199233552374</v>
      </c>
    </row>
    <row r="3692" spans="3:7">
      <c r="C3692">
        <f ca="1"/>
        <v>-0.31865705403996841</v>
      </c>
      <c r="D3692">
        <f ca="1"/>
        <v>0.64405527417485398</v>
      </c>
      <c r="E3692">
        <f ca="1"/>
        <v>-1.930604165769676</v>
      </c>
      <c r="G3692">
        <f ca="1"/>
        <v>4.243581959169104</v>
      </c>
    </row>
    <row r="3693" spans="3:7">
      <c r="C3693">
        <f ca="1"/>
        <v>-1.570192745019299</v>
      </c>
      <c r="D3693">
        <f ca="1"/>
        <v>-1.300801330132769</v>
      </c>
      <c r="E3693">
        <f ca="1"/>
        <v>-1.29557142815046</v>
      </c>
      <c r="G3693">
        <f ca="1"/>
        <v>5.8360946824262445</v>
      </c>
    </row>
    <row r="3694" spans="3:7">
      <c r="C3694">
        <f ca="1"/>
        <v>0.57208416269282691</v>
      </c>
      <c r="D3694">
        <f ca="1"/>
        <v>-9.1633430272595406E-2</v>
      </c>
      <c r="E3694">
        <f ca="1"/>
        <v>0.77959570806089906</v>
      </c>
      <c r="G3694">
        <f ca="1"/>
        <v>0.94344644277445</v>
      </c>
    </row>
    <row r="3695" spans="3:7">
      <c r="C3695">
        <f ca="1"/>
        <v>-1.1145279745553314</v>
      </c>
      <c r="D3695">
        <f ca="1"/>
        <v>0.77870719625359719</v>
      </c>
      <c r="E3695">
        <f ca="1"/>
        <v>0.63067179348324653</v>
      </c>
      <c r="G3695">
        <f ca="1"/>
        <v>2.2463044146589226</v>
      </c>
    </row>
    <row r="3696" spans="3:7">
      <c r="C3696">
        <f ca="1"/>
        <v>-0.71213424060691943</v>
      </c>
      <c r="D3696">
        <f ca="1"/>
        <v>0.1740273194239329</v>
      </c>
      <c r="E3696">
        <f ca="1"/>
        <v>-1.9047729985525128</v>
      </c>
      <c r="G3696">
        <f ca="1"/>
        <v>4.1655808605654041</v>
      </c>
    </row>
    <row r="3697" spans="3:7">
      <c r="C3697">
        <f ca="1"/>
        <v>0.86412759915756787</v>
      </c>
      <c r="D3697">
        <f ca="1"/>
        <v>-0.24113627440407648</v>
      </c>
      <c r="E3697">
        <f ca="1"/>
        <v>-0.27367505646754303</v>
      </c>
      <c r="G3697">
        <f ca="1"/>
        <v>0.87976124699181324</v>
      </c>
    </row>
    <row r="3698" spans="3:7">
      <c r="C3698">
        <f ca="1"/>
        <v>-1.0935595654903525</v>
      </c>
      <c r="D3698">
        <f ca="1"/>
        <v>0.25704026747994435</v>
      </c>
      <c r="E3698">
        <f ca="1"/>
        <v>1.8360475307422837</v>
      </c>
      <c r="G3698">
        <f ca="1"/>
        <v>4.6330127575264468</v>
      </c>
    </row>
    <row r="3699" spans="3:7">
      <c r="C3699">
        <f ca="1"/>
        <v>0.28990333293432013</v>
      </c>
      <c r="D3699">
        <f ca="1"/>
        <v>6.3516983305803756E-2</v>
      </c>
      <c r="E3699">
        <f ca="1"/>
        <v>8.1296111174932906E-2</v>
      </c>
      <c r="G3699">
        <f ca="1"/>
        <v>9.4687407306864063E-2</v>
      </c>
    </row>
    <row r="3700" spans="3:7">
      <c r="C3700">
        <f ca="1"/>
        <v>0.57505673627055442</v>
      </c>
      <c r="D3700">
        <f ca="1"/>
        <v>2.0716332525668641</v>
      </c>
      <c r="E3700">
        <f ca="1"/>
        <v>-0.16745678986443427</v>
      </c>
      <c r="G3700">
        <f ca="1"/>
        <v>4.6503963595426079</v>
      </c>
    </row>
    <row r="3701" spans="3:7">
      <c r="C3701">
        <f ca="1"/>
        <v>1.1899077785889378</v>
      </c>
      <c r="D3701">
        <f ca="1"/>
        <v>0.19001100838269105</v>
      </c>
      <c r="E3701">
        <f ca="1"/>
        <v>-0.23636088669234157</v>
      </c>
      <c r="G3701">
        <f ca="1"/>
        <v>1.5078511736110578</v>
      </c>
    </row>
    <row r="3702" spans="3:7">
      <c r="C3702">
        <f ca="1"/>
        <v>0.25615983591687652</v>
      </c>
      <c r="D3702">
        <f ca="1"/>
        <v>0.5185531548900314</v>
      </c>
      <c r="E3702">
        <f ca="1"/>
        <v>-6.3453216032643908E-2</v>
      </c>
      <c r="G3702">
        <f ca="1"/>
        <v>0.33854154660825136</v>
      </c>
    </row>
    <row r="3703" spans="3:7">
      <c r="C3703">
        <f ca="1"/>
        <v>-0.53561080444063491</v>
      </c>
      <c r="D3703">
        <f ca="1"/>
        <v>0.99448873397615001</v>
      </c>
      <c r="E3703">
        <f ca="1"/>
        <v>-1.5377958336357742</v>
      </c>
      <c r="G3703">
        <f ca="1"/>
        <v>3.6407028017865755</v>
      </c>
    </row>
    <row r="3704" spans="3:7">
      <c r="C3704">
        <f ca="1"/>
        <v>-0.49684812525522098</v>
      </c>
      <c r="D3704">
        <f ca="1"/>
        <v>0.13243098659179192</v>
      </c>
      <c r="E3704">
        <f ca="1"/>
        <v>-0.74102757589474888</v>
      </c>
      <c r="G3704">
        <f ca="1"/>
        <v>0.81351789401575092</v>
      </c>
    </row>
    <row r="3705" spans="3:7">
      <c r="C3705">
        <f ca="1"/>
        <v>-0.36514710263848971</v>
      </c>
      <c r="D3705">
        <f ca="1"/>
        <v>-0.29092098456432497</v>
      </c>
      <c r="E3705">
        <f ca="1"/>
        <v>2.0982818996485797</v>
      </c>
      <c r="G3705">
        <f ca="1"/>
        <v>4.6207543562180122</v>
      </c>
    </row>
    <row r="3706" spans="3:7">
      <c r="C3706">
        <f ca="1"/>
        <v>-1.4472259335763902</v>
      </c>
      <c r="D3706">
        <f ca="1"/>
        <v>1.8402190829204637</v>
      </c>
      <c r="E3706">
        <f ca="1"/>
        <v>-0.71103432001816214</v>
      </c>
      <c r="G3706">
        <f ca="1"/>
        <v>5.986438980204376</v>
      </c>
    </row>
    <row r="3707" spans="3:7">
      <c r="C3707">
        <f ca="1"/>
        <v>-0.8422293647789787</v>
      </c>
      <c r="D3707">
        <f ca="1"/>
        <v>-1.2633159574951316</v>
      </c>
      <c r="E3707">
        <f ca="1"/>
        <v>1.6434657618418662</v>
      </c>
      <c r="G3707">
        <f ca="1"/>
        <v>5.0062972217043082</v>
      </c>
    </row>
    <row r="3708" spans="3:7">
      <c r="C3708">
        <f ca="1"/>
        <v>-1.6436124988948266</v>
      </c>
      <c r="D3708">
        <f ca="1"/>
        <v>0.9896070366627393</v>
      </c>
      <c r="E3708">
        <f ca="1"/>
        <v>-6.9232806902319297E-2</v>
      </c>
      <c r="G3708">
        <f ca="1"/>
        <v>3.6855773150872788</v>
      </c>
    </row>
    <row r="3709" spans="3:7">
      <c r="C3709">
        <f ca="1"/>
        <v>-1.0420690411768521</v>
      </c>
      <c r="D3709">
        <f ca="1"/>
        <v>0.68791917690728677</v>
      </c>
      <c r="E3709">
        <f ca="1"/>
        <v>0.96887301453777197</v>
      </c>
      <c r="G3709">
        <f ca="1"/>
        <v>2.4978555988355522</v>
      </c>
    </row>
    <row r="3710" spans="3:7">
      <c r="C3710">
        <f ca="1"/>
        <v>0.16785396920084755</v>
      </c>
      <c r="D3710">
        <f ca="1"/>
        <v>2.2159095584426138</v>
      </c>
      <c r="E3710">
        <f ca="1"/>
        <v>-0.52695779214982219</v>
      </c>
      <c r="G3710">
        <f ca="1"/>
        <v>5.2161146408812344</v>
      </c>
    </row>
    <row r="3711" spans="3:7">
      <c r="C3711">
        <f ca="1"/>
        <v>-1.9311734090905797</v>
      </c>
      <c r="D3711">
        <f ca="1"/>
        <v>1.2678691319970656</v>
      </c>
      <c r="E3711">
        <f ca="1"/>
        <v>2.2345626814657811</v>
      </c>
      <c r="G3711">
        <f ca="1"/>
        <v>10.330193249249065</v>
      </c>
    </row>
    <row r="3712" spans="3:7">
      <c r="C3712">
        <f ca="1"/>
        <v>-1.5207077000264655</v>
      </c>
      <c r="D3712">
        <f ca="1"/>
        <v>-0.24469542323339946</v>
      </c>
      <c r="E3712">
        <f ca="1"/>
        <v>1.4038014890972985</v>
      </c>
      <c r="G3712">
        <f ca="1"/>
        <v>4.3430863798629478</v>
      </c>
    </row>
    <row r="3713" spans="3:7">
      <c r="C3713">
        <f ca="1"/>
        <v>-5.8799041737149733E-2</v>
      </c>
      <c r="D3713">
        <f ca="1"/>
        <v>1.3452197423320813</v>
      </c>
      <c r="E3713">
        <f ca="1"/>
        <v>-0.16858664148010727</v>
      </c>
      <c r="G3713">
        <f ca="1"/>
        <v>1.8414949381547405</v>
      </c>
    </row>
    <row r="3714" spans="3:7">
      <c r="C3714">
        <f ca="1"/>
        <v>-1.9242834634867272</v>
      </c>
      <c r="D3714">
        <f ca="1"/>
        <v>1.049019566068051</v>
      </c>
      <c r="E3714">
        <f ca="1"/>
        <v>-1.1874474879162145</v>
      </c>
      <c r="G3714">
        <f ca="1"/>
        <v>6.2133404344006049</v>
      </c>
    </row>
    <row r="3715" spans="3:7">
      <c r="C3715">
        <f ca="1"/>
        <v>-0.96369912168675542</v>
      </c>
      <c r="D3715">
        <f ca="1"/>
        <v>5.7233030315917456E-2</v>
      </c>
      <c r="E3715">
        <f ca="1"/>
        <v>-0.3663429708379321</v>
      </c>
      <c r="G3715">
        <f ca="1"/>
        <v>1.0661987891813285</v>
      </c>
    </row>
    <row r="3716" spans="3:7">
      <c r="C3716">
        <f ca="1"/>
        <v>-0.24528206231841693</v>
      </c>
      <c r="D3716">
        <f ca="1"/>
        <v>0.342621103014633</v>
      </c>
      <c r="E3716">
        <f ca="1"/>
        <v>0.10997827474193596</v>
      </c>
      <c r="G3716">
        <f ca="1"/>
        <v>0.18964773124135229</v>
      </c>
    </row>
    <row r="3717" spans="3:7">
      <c r="C3717">
        <f ca="1"/>
        <v>-0.34001694553252632</v>
      </c>
      <c r="D3717">
        <f ca="1"/>
        <v>0.46087447229532119</v>
      </c>
      <c r="E3717">
        <f ca="1"/>
        <v>1.7245012691807899</v>
      </c>
      <c r="G3717">
        <f ca="1"/>
        <v>3.3019214298689148</v>
      </c>
    </row>
    <row r="3718" spans="3:7">
      <c r="C3718">
        <f ca="1"/>
        <v>0.89979500568901705</v>
      </c>
      <c r="D3718">
        <f ca="1"/>
        <v>-2.7712787842272117</v>
      </c>
      <c r="E3718">
        <f ca="1"/>
        <v>-0.95331132530888052</v>
      </c>
      <c r="G3718">
        <f ca="1"/>
        <v>9.3984196351329263</v>
      </c>
    </row>
    <row r="3719" spans="3:7">
      <c r="C3719">
        <f ca="1"/>
        <v>1.0305827477672151</v>
      </c>
      <c r="D3719">
        <f ca="1"/>
        <v>-0.48206431569171376</v>
      </c>
      <c r="E3719">
        <f ca="1"/>
        <v>0.61872645137373916</v>
      </c>
      <c r="G3719">
        <f ca="1"/>
        <v>1.6773092260882838</v>
      </c>
    </row>
    <row r="3720" spans="3:7">
      <c r="C3720">
        <f ca="1"/>
        <v>1.6555632586685365</v>
      </c>
      <c r="D3720">
        <f ca="1"/>
        <v>0.56074863377834838</v>
      </c>
      <c r="E3720">
        <f ca="1"/>
        <v>1.0189190398736225</v>
      </c>
      <c r="G3720">
        <f ca="1"/>
        <v>4.0935247435544522</v>
      </c>
    </row>
    <row r="3721" spans="3:7">
      <c r="C3721">
        <f ca="1"/>
        <v>0.5557874162709654</v>
      </c>
      <c r="D3721">
        <f ca="1"/>
        <v>0.31410136061251898</v>
      </c>
      <c r="E3721">
        <f ca="1"/>
        <v>-0.1430730710021034</v>
      </c>
      <c r="G3721">
        <f ca="1"/>
        <v>0.42802922046976394</v>
      </c>
    </row>
    <row r="3722" spans="3:7">
      <c r="C3722">
        <f ca="1"/>
        <v>0.39666185134645032</v>
      </c>
      <c r="D3722">
        <f ca="1"/>
        <v>-0.61649780478896599</v>
      </c>
      <c r="E3722">
        <f ca="1"/>
        <v>0.44239202934640498</v>
      </c>
      <c r="G3722">
        <f ca="1"/>
        <v>0.73312087525243796</v>
      </c>
    </row>
    <row r="3723" spans="3:7">
      <c r="C3723">
        <f ca="1"/>
        <v>2.3812522737004609</v>
      </c>
      <c r="D3723">
        <f ca="1"/>
        <v>0.86524124120583856</v>
      </c>
      <c r="E3723">
        <f ca="1"/>
        <v>0.27063741806649438</v>
      </c>
      <c r="G3723">
        <f ca="1"/>
        <v>6.4922494085447333</v>
      </c>
    </row>
    <row r="3724" spans="3:7">
      <c r="C3724">
        <f ca="1"/>
        <v>0.90418955635728826</v>
      </c>
      <c r="D3724">
        <f ca="1"/>
        <v>-1.0721338891582972</v>
      </c>
      <c r="E3724">
        <f ca="1"/>
        <v>0.1725243229168629</v>
      </c>
      <c r="G3724">
        <f ca="1"/>
        <v>1.9967944721052078</v>
      </c>
    </row>
    <row r="3725" spans="3:7">
      <c r="C3725">
        <f ca="1"/>
        <v>-0.10720734262353362</v>
      </c>
      <c r="D3725">
        <f ca="1"/>
        <v>0.64899147444362892</v>
      </c>
      <c r="E3725">
        <f ca="1"/>
        <v>-1.0532621872667591</v>
      </c>
      <c r="G3725">
        <f ca="1"/>
        <v>1.542044583338873</v>
      </c>
    </row>
    <row r="3726" spans="3:7">
      <c r="C3726">
        <f ca="1"/>
        <v>-1.8453022949296076</v>
      </c>
      <c r="D3726">
        <f ca="1"/>
        <v>8.5779327855398338E-2</v>
      </c>
      <c r="E3726">
        <f ca="1"/>
        <v>-0.75741521573107784</v>
      </c>
      <c r="G3726">
        <f ca="1"/>
        <v>3.9861764617807558</v>
      </c>
    </row>
    <row r="3727" spans="3:7">
      <c r="C3727">
        <f ca="1"/>
        <v>0.97056690388104294</v>
      </c>
      <c r="D3727">
        <f ca="1"/>
        <v>-0.59264950878124456</v>
      </c>
      <c r="E3727">
        <f ca="1"/>
        <v>0.58285802766497929</v>
      </c>
      <c r="G3727">
        <f ca="1"/>
        <v>1.632957035581394</v>
      </c>
    </row>
    <row r="3728" spans="3:7">
      <c r="C3728">
        <f ca="1"/>
        <v>-0.18888358455064419</v>
      </c>
      <c r="D3728">
        <f ca="1"/>
        <v>1.8576437375674144</v>
      </c>
      <c r="E3728">
        <f ca="1"/>
        <v>0.51353364477231744</v>
      </c>
      <c r="G3728">
        <f ca="1"/>
        <v>3.7502340685492741</v>
      </c>
    </row>
    <row r="3729" spans="3:7">
      <c r="C3729">
        <f ca="1"/>
        <v>0.18969735823631698</v>
      </c>
      <c r="D3729">
        <f ca="1"/>
        <v>0.66154895126372093</v>
      </c>
      <c r="E3729">
        <f ca="1"/>
        <v>0.60829507995283005</v>
      </c>
      <c r="G3729">
        <f ca="1"/>
        <v>0.84365500693478657</v>
      </c>
    </row>
    <row r="3730" spans="3:7">
      <c r="C3730">
        <f ca="1"/>
        <v>-0.53108266315594321</v>
      </c>
      <c r="D3730">
        <f ca="1"/>
        <v>0.17145078572966901</v>
      </c>
      <c r="E3730">
        <f ca="1"/>
        <v>-1.063389401144001</v>
      </c>
      <c r="G3730">
        <f ca="1"/>
        <v>1.4422411854975272</v>
      </c>
    </row>
    <row r="3731" spans="3:7">
      <c r="C3731">
        <f ca="1"/>
        <v>-0.98028051622020951</v>
      </c>
      <c r="D3731">
        <f ca="1"/>
        <v>-0.9947774295862597</v>
      </c>
      <c r="E3731">
        <f ca="1"/>
        <v>-0.30720217085909285</v>
      </c>
      <c r="G3731">
        <f ca="1"/>
        <v>2.0449051986757456</v>
      </c>
    </row>
    <row r="3732" spans="3:7">
      <c r="C3732">
        <f ca="1"/>
        <v>2.1550293693478695</v>
      </c>
      <c r="D3732">
        <f ca="1"/>
        <v>-0.20289449585989358</v>
      </c>
      <c r="E3732">
        <f ca="1"/>
        <v>-1.9920910944210701</v>
      </c>
      <c r="G3732">
        <f ca="1"/>
        <v>8.6537446876738535</v>
      </c>
    </row>
    <row r="3733" spans="3:7">
      <c r="C3733">
        <f ca="1"/>
        <v>-0.14011750589122629</v>
      </c>
      <c r="D3733">
        <f ca="1"/>
        <v>0.54510450077247941</v>
      </c>
      <c r="E3733">
        <f ca="1"/>
        <v>-1.3481328236221664</v>
      </c>
      <c r="G3733">
        <f ca="1"/>
        <v>2.1342339423470671</v>
      </c>
    </row>
    <row r="3734" spans="3:7">
      <c r="C3734">
        <f ca="1"/>
        <v>-0.16253068027550166</v>
      </c>
      <c r="D3734">
        <f ca="1"/>
        <v>0.62581343055477301</v>
      </c>
      <c r="E3734">
        <f ca="1"/>
        <v>0.43235959089218162</v>
      </c>
      <c r="G3734">
        <f ca="1"/>
        <v>0.60499348773000572</v>
      </c>
    </row>
    <row r="3735" spans="3:7">
      <c r="C3735">
        <f ca="1"/>
        <v>0.83000431096433458</v>
      </c>
      <c r="D3735">
        <f ca="1"/>
        <v>-0.21784946156783383</v>
      </c>
      <c r="E3735">
        <f ca="1"/>
        <v>-0.3417959258890233</v>
      </c>
      <c r="G3735">
        <f ca="1"/>
        <v>0.85318999907910964</v>
      </c>
    </row>
    <row r="3736" spans="3:7">
      <c r="C3736">
        <f ca="1"/>
        <v>-0.72811835661715163</v>
      </c>
      <c r="D3736">
        <f ca="1"/>
        <v>-0.6271048845712599</v>
      </c>
      <c r="E3736">
        <f ca="1"/>
        <v>-0.59041146994349181</v>
      </c>
      <c r="G3736">
        <f ca="1"/>
        <v>1.2720025813368294</v>
      </c>
    </row>
    <row r="3737" spans="3:7">
      <c r="C3737">
        <f ca="1"/>
        <v>0.61561701779415434</v>
      </c>
      <c r="D3737">
        <f ca="1"/>
        <v>0.99288936014207474</v>
      </c>
      <c r="E3737">
        <f ca="1"/>
        <v>-1.1289749167518213</v>
      </c>
      <c r="G3737">
        <f ca="1"/>
        <v>2.6393979567358885</v>
      </c>
    </row>
    <row r="3738" spans="3:7">
      <c r="C3738">
        <f ca="1"/>
        <v>-0.63791200317048824</v>
      </c>
      <c r="D3738">
        <f ca="1"/>
        <v>-1.5217609339830993</v>
      </c>
      <c r="E3738">
        <f ca="1"/>
        <v>-0.62805732226149136</v>
      </c>
      <c r="G3738">
        <f ca="1"/>
        <v>3.1171440640323747</v>
      </c>
    </row>
    <row r="3739" spans="3:7">
      <c r="C3739">
        <f ca="1"/>
        <v>-1.1156209359062486</v>
      </c>
      <c r="D3739">
        <f ca="1"/>
        <v>-0.96611853680554705</v>
      </c>
      <c r="E3739">
        <f ca="1"/>
        <v>0.84183555550542977</v>
      </c>
      <c r="G3739">
        <f ca="1"/>
        <v>2.8866822023047605</v>
      </c>
    </row>
    <row r="3740" spans="3:7">
      <c r="C3740">
        <f ca="1"/>
        <v>0.64614652761378388</v>
      </c>
      <c r="D3740">
        <f ca="1"/>
        <v>-1.3102522336776488</v>
      </c>
      <c r="E3740">
        <f ca="1"/>
        <v>0.2203012957387413</v>
      </c>
      <c r="G3740">
        <f ca="1"/>
        <v>2.1827989119087867</v>
      </c>
    </row>
    <row r="3741" spans="3:7">
      <c r="C3741">
        <f ca="1"/>
        <v>-0.27663374573398292</v>
      </c>
      <c r="D3741">
        <f ca="1"/>
        <v>-0.79173292691266439</v>
      </c>
      <c r="E3741">
        <f ca="1"/>
        <v>0.46862432538564847</v>
      </c>
      <c r="G3741">
        <f ca="1"/>
        <v>0.92297601517966243</v>
      </c>
    </row>
    <row r="3742" spans="3:7">
      <c r="C3742">
        <f ca="1"/>
        <v>1.6681947624869466</v>
      </c>
      <c r="D3742">
        <f ca="1"/>
        <v>0.20693321361408087</v>
      </c>
      <c r="E3742">
        <f ca="1"/>
        <v>1.0617182084007104</v>
      </c>
      <c r="G3742">
        <f ca="1"/>
        <v>3.952940674535145</v>
      </c>
    </row>
    <row r="3743" spans="3:7">
      <c r="C3743">
        <f ca="1"/>
        <v>-1.0243511244520425</v>
      </c>
      <c r="D3743">
        <f ca="1"/>
        <v>-0.68803725130661808</v>
      </c>
      <c r="E3743">
        <f ca="1"/>
        <v>-1.6694680496601653</v>
      </c>
      <c r="G3743">
        <f ca="1"/>
        <v>4.3098140541878465</v>
      </c>
    </row>
    <row r="3744" spans="3:7">
      <c r="C3744">
        <f ca="1"/>
        <v>-1.6422992904618845</v>
      </c>
      <c r="D3744">
        <f ca="1"/>
        <v>-0.27646350028799904</v>
      </c>
      <c r="E3744">
        <f ca="1"/>
        <v>-1.8653821129744001E-3</v>
      </c>
      <c r="G3744">
        <f ca="1"/>
        <v>2.7735825060935291</v>
      </c>
    </row>
    <row r="3745" spans="3:7">
      <c r="C3745">
        <f ca="1"/>
        <v>2.2530493881191931</v>
      </c>
      <c r="D3745">
        <f ca="1"/>
        <v>-2.1568231997853156</v>
      </c>
      <c r="E3745">
        <f ca="1"/>
        <v>0.90596551894892485</v>
      </c>
      <c r="G3745">
        <f ca="1"/>
        <v>10.548891381960832</v>
      </c>
    </row>
    <row r="3746" spans="3:7">
      <c r="C3746">
        <f ca="1"/>
        <v>1.0722014753961264</v>
      </c>
      <c r="D3746">
        <f ca="1"/>
        <v>0.48369848100918378</v>
      </c>
      <c r="E3746">
        <f ca="1"/>
        <v>0.22158419686899114</v>
      </c>
      <c r="G3746">
        <f ca="1"/>
        <v>1.4326797806742977</v>
      </c>
    </row>
    <row r="3747" spans="3:7">
      <c r="C3747">
        <f ca="1"/>
        <v>-0.89223870080097956</v>
      </c>
      <c r="D3747">
        <f ca="1"/>
        <v>1.5407706846096687</v>
      </c>
      <c r="E3747">
        <f ca="1"/>
        <v>0.93881426063847984</v>
      </c>
      <c r="G3747">
        <f ca="1"/>
        <v>4.051436417737742</v>
      </c>
    </row>
    <row r="3748" spans="3:7">
      <c r="C3748">
        <f ca="1"/>
        <v>-0.62906825762348373</v>
      </c>
      <c r="D3748">
        <f ca="1"/>
        <v>-0.64627411125211198</v>
      </c>
      <c r="E3748">
        <f ca="1"/>
        <v>-1.0624707021398776</v>
      </c>
      <c r="G3748">
        <f ca="1"/>
        <v>1.9422410925297573</v>
      </c>
    </row>
    <row r="3749" spans="3:7">
      <c r="C3749">
        <f ca="1"/>
        <v>-0.65197753789089896</v>
      </c>
      <c r="D3749">
        <f ca="1"/>
        <v>-0.44265467403279518</v>
      </c>
      <c r="E3749">
        <f ca="1"/>
        <v>1.9384086660213764</v>
      </c>
      <c r="G3749">
        <f ca="1"/>
        <v>4.3784460268641308</v>
      </c>
    </row>
    <row r="3750" spans="3:7">
      <c r="C3750">
        <f ca="1"/>
        <v>0.19391707354211918</v>
      </c>
      <c r="D3750">
        <f ca="1"/>
        <v>-0.65203883942902097</v>
      </c>
      <c r="E3750">
        <f ca="1"/>
        <v>-0.91691406533765696</v>
      </c>
      <c r="G3750">
        <f ca="1"/>
        <v>1.3034898827491133</v>
      </c>
    </row>
    <row r="3751" spans="3:7">
      <c r="C3751">
        <f ca="1"/>
        <v>0.62345615465078552</v>
      </c>
      <c r="D3751">
        <f ca="1"/>
        <v>0.51200625946031386</v>
      </c>
      <c r="E3751">
        <f ca="1"/>
        <v>1.1657292571826969E-2</v>
      </c>
      <c r="G3751">
        <f ca="1"/>
        <v>0.65098387896859156</v>
      </c>
    </row>
    <row r="3752" spans="3:7">
      <c r="C3752">
        <f ca="1"/>
        <v>-0.45557442966276002</v>
      </c>
      <c r="D3752">
        <f ca="1"/>
        <v>-0.77476277087977763</v>
      </c>
      <c r="E3752">
        <f ca="1"/>
        <v>0.56317754765963446</v>
      </c>
      <c r="G3752">
        <f ca="1"/>
        <v>1.1249743622917798</v>
      </c>
    </row>
    <row r="3753" spans="3:7">
      <c r="C3753">
        <f ca="1"/>
        <v>0.87422470717399325</v>
      </c>
      <c r="D3753">
        <f ca="1"/>
        <v>1.414095388275562</v>
      </c>
      <c r="E3753">
        <f ca="1"/>
        <v>-1.9100830233340216</v>
      </c>
      <c r="G3753">
        <f ca="1"/>
        <v>6.4123517618045032</v>
      </c>
    </row>
    <row r="3754" spans="3:7">
      <c r="C3754">
        <f ca="1"/>
        <v>-1.9909274280250688</v>
      </c>
      <c r="D3754">
        <f ca="1"/>
        <v>0.38909325189652383</v>
      </c>
      <c r="E3754">
        <f ca="1"/>
        <v>-0.65014608770679505</v>
      </c>
      <c r="G3754">
        <f ca="1"/>
        <v>4.5378755176943786</v>
      </c>
    </row>
    <row r="3755" spans="3:7">
      <c r="C3755">
        <f ca="1"/>
        <v>-1.1823606467854841</v>
      </c>
      <c r="D3755">
        <f ca="1"/>
        <v>1.4115131919129427</v>
      </c>
      <c r="E3755">
        <f ca="1"/>
        <v>1.2330972950530394</v>
      </c>
      <c r="G3755">
        <f ca="1"/>
        <v>4.9108751290783745</v>
      </c>
    </row>
    <row r="3756" spans="3:7">
      <c r="C3756">
        <f ca="1"/>
        <v>-1.1243926924885284</v>
      </c>
      <c r="D3756">
        <f ca="1"/>
        <v>0.12325554667972904</v>
      </c>
      <c r="E3756">
        <f ca="1"/>
        <v>1.5232162131656233</v>
      </c>
      <c r="G3756">
        <f ca="1"/>
        <v>3.5996384887595427</v>
      </c>
    </row>
    <row r="3757" spans="3:7">
      <c r="C3757">
        <f ca="1"/>
        <v>-0.74440935845596612</v>
      </c>
      <c r="D3757">
        <f ca="1"/>
        <v>0.36031802010939112</v>
      </c>
      <c r="E3757">
        <f ca="1"/>
        <v>0.15557814208765799</v>
      </c>
      <c r="G3757">
        <f ca="1"/>
        <v>0.70817892686782213</v>
      </c>
    </row>
    <row r="3758" spans="3:7">
      <c r="C3758">
        <f ca="1"/>
        <v>0.33230841969340197</v>
      </c>
      <c r="D3758">
        <f ca="1"/>
        <v>-0.49834296071990775</v>
      </c>
      <c r="E3758">
        <f ca="1"/>
        <v>-1.253907259735872</v>
      </c>
      <c r="G3758">
        <f ca="1"/>
        <v>1.9310580083165334</v>
      </c>
    </row>
    <row r="3759" spans="3:7">
      <c r="C3759">
        <f ca="1"/>
        <v>0.30013406765298978</v>
      </c>
      <c r="D3759">
        <f ca="1"/>
        <v>0.7030060589191014</v>
      </c>
      <c r="E3759">
        <f ca="1"/>
        <v>-0.24889810678726915</v>
      </c>
      <c r="G3759">
        <f ca="1"/>
        <v>0.6462482450051833</v>
      </c>
    </row>
    <row r="3760" spans="3:7">
      <c r="C3760">
        <f ca="1"/>
        <v>1.100082837649653</v>
      </c>
      <c r="D3760">
        <f ca="1"/>
        <v>-0.90805838822352314</v>
      </c>
      <c r="E3760">
        <f ca="1"/>
        <v>0.63606984882338269</v>
      </c>
      <c r="G3760">
        <f ca="1"/>
        <v>2.4393371386966161</v>
      </c>
    </row>
    <row r="3761" spans="3:7">
      <c r="C3761">
        <f ca="1"/>
        <v>0.83907100858299444</v>
      </c>
      <c r="D3761">
        <f ca="1"/>
        <v>-0.7100194572079116</v>
      </c>
      <c r="E3761">
        <f ca="1"/>
        <v>-1.9886660892631132</v>
      </c>
      <c r="G3761">
        <f ca="1"/>
        <v>5.1629606016433449</v>
      </c>
    </row>
    <row r="3762" spans="3:7">
      <c r="C3762">
        <f ca="1"/>
        <v>0.22782484710503437</v>
      </c>
      <c r="D3762">
        <f ca="1"/>
        <v>0.30999787830484599</v>
      </c>
      <c r="E3762">
        <f ca="1"/>
        <v>0.10681381256700422</v>
      </c>
      <c r="G3762">
        <f ca="1"/>
        <v>0.15941203606703752</v>
      </c>
    </row>
    <row r="3763" spans="3:7">
      <c r="C3763">
        <f ca="1"/>
        <v>-0.20004615717091093</v>
      </c>
      <c r="D3763">
        <f ca="1"/>
        <v>1.0771534792613049</v>
      </c>
      <c r="E3763">
        <f ca="1"/>
        <v>1.7917215372226514</v>
      </c>
      <c r="G3763">
        <f ca="1"/>
        <v>4.4105441498310842</v>
      </c>
    </row>
    <row r="3764" spans="3:7">
      <c r="C3764">
        <f ca="1"/>
        <v>-1.0086960171010217</v>
      </c>
      <c r="D3764">
        <f ca="1"/>
        <v>-0.46764730959286965</v>
      </c>
      <c r="E3764">
        <f ca="1"/>
        <v>-1.200429752723283</v>
      </c>
      <c r="G3764">
        <f ca="1"/>
        <v>2.6771932523081965</v>
      </c>
    </row>
    <row r="3765" spans="3:7">
      <c r="C3765">
        <f ca="1"/>
        <v>-0.18181160551352035</v>
      </c>
      <c r="D3765">
        <f ca="1"/>
        <v>-0.43893951136585374</v>
      </c>
      <c r="E3765">
        <f ca="1"/>
        <v>-0.49352597077238486</v>
      </c>
      <c r="G3765">
        <f ca="1"/>
        <v>0.46929123836432329</v>
      </c>
    </row>
    <row r="3766" spans="3:7">
      <c r="C3766">
        <f ca="1"/>
        <v>-0.56499016613106945</v>
      </c>
      <c r="D3766">
        <f ca="1"/>
        <v>-1.4541729296607142</v>
      </c>
      <c r="E3766">
        <f ca="1"/>
        <v>-0.70532255329718674</v>
      </c>
      <c r="G3766">
        <f ca="1"/>
        <v>2.9313127013725011</v>
      </c>
    </row>
    <row r="3767" spans="3:7">
      <c r="C3767">
        <f ca="1"/>
        <v>-0.86489872473183327</v>
      </c>
      <c r="D3767">
        <f ca="1"/>
        <v>0.52119685743146948</v>
      </c>
      <c r="E3767">
        <f ca="1"/>
        <v>0.43577773876358655</v>
      </c>
      <c r="G3767">
        <f ca="1"/>
        <v>1.2095982058410957</v>
      </c>
    </row>
    <row r="3768" spans="3:7">
      <c r="C3768">
        <f ca="1"/>
        <v>0.95908583738088071</v>
      </c>
      <c r="D3768">
        <f ca="1"/>
        <v>0.46827112827767131</v>
      </c>
      <c r="E3768">
        <f ca="1"/>
        <v>1.4177489501368168</v>
      </c>
      <c r="G3768">
        <f ca="1"/>
        <v>3.1491355786570745</v>
      </c>
    </row>
    <row r="3769" spans="3:7">
      <c r="C3769">
        <f ca="1"/>
        <v>-1.9189684402105074</v>
      </c>
      <c r="D3769">
        <f ca="1"/>
        <v>0.16618514708030219</v>
      </c>
      <c r="E3769">
        <f ca="1"/>
        <v>-1.0572611726248655</v>
      </c>
      <c r="G3769">
        <f ca="1"/>
        <v>4.8278585647741554</v>
      </c>
    </row>
    <row r="3770" spans="3:7">
      <c r="C3770">
        <f ca="1"/>
        <v>-0.13671030747736251</v>
      </c>
      <c r="D3770">
        <f ca="1"/>
        <v>-0.80940098819861395</v>
      </c>
      <c r="E3770">
        <f ca="1"/>
        <v>-0.39000841554672488</v>
      </c>
      <c r="G3770">
        <f ca="1"/>
        <v>0.82592623206471472</v>
      </c>
    </row>
    <row r="3771" spans="3:7">
      <c r="C3771">
        <f ca="1"/>
        <v>-1.3049629321053819</v>
      </c>
      <c r="D3771">
        <f ca="1"/>
        <v>0.62068013328466054</v>
      </c>
      <c r="E3771">
        <f ca="1"/>
        <v>0.41443633441469091</v>
      </c>
      <c r="G3771">
        <f ca="1"/>
        <v>2.2599295573064255</v>
      </c>
    </row>
    <row r="3772" spans="3:7">
      <c r="C3772">
        <f ca="1"/>
        <v>-0.31531043474357623</v>
      </c>
      <c r="D3772">
        <f ca="1"/>
        <v>2.3593909683384271</v>
      </c>
      <c r="E3772">
        <f ca="1"/>
        <v>1.7141734457897881</v>
      </c>
      <c r="G3772">
        <f ca="1"/>
        <v>8.6045370139859614</v>
      </c>
    </row>
    <row r="3773" spans="3:7">
      <c r="C3773">
        <f ca="1"/>
        <v>-0.59012047437945914</v>
      </c>
      <c r="D3773">
        <f ca="1"/>
        <v>0.7301556070987415</v>
      </c>
      <c r="E3773">
        <f ca="1"/>
        <v>1.3474465850757364</v>
      </c>
      <c r="G3773">
        <f ca="1"/>
        <v>2.6969816844918335</v>
      </c>
    </row>
    <row r="3774" spans="3:7">
      <c r="C3774">
        <f ca="1"/>
        <v>-0.65826817313154162</v>
      </c>
      <c r="D3774">
        <f ca="1"/>
        <v>-0.78236266063627213</v>
      </c>
      <c r="E3774">
        <f ca="1"/>
        <v>0.4155439037716081</v>
      </c>
      <c r="G3774">
        <f ca="1"/>
        <v>1.2180850564775514</v>
      </c>
    </row>
    <row r="3775" spans="3:7">
      <c r="C3775">
        <f ca="1"/>
        <v>-0.72896285715074549</v>
      </c>
      <c r="D3775">
        <f ca="1"/>
        <v>-0.18163435926215735</v>
      </c>
      <c r="E3775">
        <f ca="1"/>
        <v>-0.56360529820619742</v>
      </c>
      <c r="G3775">
        <f ca="1"/>
        <v>0.88202881973604941</v>
      </c>
    </row>
    <row r="3776" spans="3:7">
      <c r="C3776">
        <f ca="1"/>
        <v>0.2162483797819863</v>
      </c>
      <c r="D3776">
        <f ca="1"/>
        <v>0.78502998445713001</v>
      </c>
      <c r="E3776">
        <f ca="1"/>
        <v>9.1491506498101154E-3</v>
      </c>
      <c r="G3776">
        <f ca="1"/>
        <v>0.66311914521270887</v>
      </c>
    </row>
    <row r="3777" spans="3:7">
      <c r="C3777">
        <f ca="1"/>
        <v>0.32809934368910149</v>
      </c>
      <c r="D3777">
        <f ca="1"/>
        <v>-0.88872863605779207</v>
      </c>
      <c r="E3777">
        <f ca="1"/>
        <v>-0.93902806247906889</v>
      </c>
      <c r="G3777">
        <f ca="1"/>
        <v>1.7792614700015568</v>
      </c>
    </row>
    <row r="3778" spans="3:7">
      <c r="C3778">
        <f ca="1"/>
        <v>-0.78772303075787609</v>
      </c>
      <c r="D3778">
        <f ca="1"/>
        <v>0.25254298027020416</v>
      </c>
      <c r="E3778">
        <f ca="1"/>
        <v>1.5001915758369287E-2</v>
      </c>
      <c r="G3778">
        <f ca="1"/>
        <v>0.68451058754655181</v>
      </c>
    </row>
    <row r="3779" spans="3:7">
      <c r="C3779">
        <f ca="1"/>
        <v>-1.8313659441742134</v>
      </c>
      <c r="D3779">
        <f ca="1"/>
        <v>-0.56139911868583448</v>
      </c>
      <c r="E3779">
        <f ca="1"/>
        <v>3.3099011705714353E-2</v>
      </c>
      <c r="G3779">
        <f ca="1"/>
        <v>3.6701657365182347</v>
      </c>
    </row>
    <row r="3780" spans="3:7">
      <c r="C3780">
        <f ca="1"/>
        <v>0.26615951561897039</v>
      </c>
      <c r="D3780">
        <f ca="1"/>
        <v>-0.19300771354236237</v>
      </c>
      <c r="E3780">
        <f ca="1"/>
        <v>-0.97475674809380231</v>
      </c>
      <c r="G3780">
        <f ca="1"/>
        <v>1.0582435831957799</v>
      </c>
    </row>
    <row r="3781" spans="3:7">
      <c r="C3781">
        <f ca="1"/>
        <v>-1.4712424347193762</v>
      </c>
      <c r="D3781">
        <f ca="1"/>
        <v>0.82058002786623019</v>
      </c>
      <c r="E3781">
        <f ca="1"/>
        <v>-0.16085129871642917</v>
      </c>
      <c r="G3781">
        <f ca="1"/>
        <v>2.8637790241507028</v>
      </c>
    </row>
    <row r="3782" spans="3:7">
      <c r="C3782">
        <f ca="1"/>
        <v>0.65578312941562944</v>
      </c>
      <c r="D3782">
        <f ca="1"/>
        <v>-1.4954329201153393</v>
      </c>
      <c r="E3782">
        <f ca="1"/>
        <v>0.73306323333129408</v>
      </c>
      <c r="G3782">
        <f ca="1"/>
        <v>3.2037528354529785</v>
      </c>
    </row>
    <row r="3783" spans="3:7">
      <c r="C3783">
        <f ca="1"/>
        <v>-0.67674869586591224</v>
      </c>
      <c r="D3783">
        <f ca="1"/>
        <v>-0.76724143119111921</v>
      </c>
      <c r="E3783">
        <f ca="1"/>
        <v>1.0235566645667129</v>
      </c>
      <c r="G3783">
        <f ca="1"/>
        <v>2.0943164566713444</v>
      </c>
    </row>
    <row r="3784" spans="3:7">
      <c r="C3784">
        <f ca="1"/>
        <v>0.72065923174679503</v>
      </c>
      <c r="D3784">
        <f ca="1"/>
        <v>-0.98359985304950504</v>
      </c>
      <c r="E3784">
        <f ca="1"/>
        <v>0.57693853456835464</v>
      </c>
      <c r="G3784">
        <f ca="1"/>
        <v>1.8196764718907694</v>
      </c>
    </row>
    <row r="3785" spans="3:7">
      <c r="C3785">
        <f ca="1"/>
        <v>1.0433459272628358</v>
      </c>
      <c r="D3785">
        <f ca="1"/>
        <v>0.20878840370625582</v>
      </c>
      <c r="E3785">
        <f ca="1"/>
        <v>-0.38176028437072157</v>
      </c>
      <c r="G3785">
        <f ca="1"/>
        <v>1.2779042361809674</v>
      </c>
    </row>
    <row r="3786" spans="3:7">
      <c r="C3786">
        <f ca="1"/>
        <v>1.0494408628260627</v>
      </c>
      <c r="D3786">
        <f ca="1"/>
        <v>-0.30442092311383051</v>
      </c>
      <c r="E3786">
        <f ca="1"/>
        <v>-0.52405301932903969</v>
      </c>
      <c r="G3786">
        <f ca="1"/>
        <v>1.4686297900664704</v>
      </c>
    </row>
    <row r="3787" spans="3:7">
      <c r="C3787">
        <f ca="1"/>
        <v>-0.52762671916820314</v>
      </c>
      <c r="D3787">
        <f ca="1"/>
        <v>-0.91780008680519354</v>
      </c>
      <c r="E3787">
        <f ca="1"/>
        <v>-0.32023152546800915</v>
      </c>
      <c r="G3787">
        <f ca="1"/>
        <v>1.223295184023391</v>
      </c>
    </row>
    <row r="3788" spans="3:7">
      <c r="C3788">
        <f ca="1"/>
        <v>0.85197619439726102</v>
      </c>
      <c r="D3788">
        <f ca="1"/>
        <v>0.23165644068960259</v>
      </c>
      <c r="E3788">
        <f ca="1"/>
        <v>-0.31461501458918661</v>
      </c>
      <c r="G3788">
        <f ca="1"/>
        <v>0.87851074973756904</v>
      </c>
    </row>
    <row r="3789" spans="3:7">
      <c r="C3789">
        <f ca="1"/>
        <v>0.62084227829409955</v>
      </c>
      <c r="D3789">
        <f ca="1"/>
        <v>-1.0060860667542599</v>
      </c>
      <c r="E3789">
        <f ca="1"/>
        <v>2.7562811962191169</v>
      </c>
      <c r="G3789">
        <f ca="1"/>
        <v>8.9947403408655511</v>
      </c>
    </row>
    <row r="3790" spans="3:7">
      <c r="C3790">
        <f ca="1"/>
        <v>-1.2468747633752846</v>
      </c>
      <c r="D3790">
        <f ca="1"/>
        <v>0.50901064378380467</v>
      </c>
      <c r="E3790">
        <f ca="1"/>
        <v>-2.5935518140230682</v>
      </c>
      <c r="G3790">
        <f ca="1"/>
        <v>8.5402995230497236</v>
      </c>
    </row>
    <row r="3791" spans="3:7">
      <c r="C3791">
        <f ca="1"/>
        <v>0.58015898123950116</v>
      </c>
      <c r="D3791">
        <f ca="1"/>
        <v>0.89221381502117825</v>
      </c>
      <c r="E3791">
        <f ca="1"/>
        <v>-0.84397488068622528</v>
      </c>
      <c r="G3791">
        <f ca="1"/>
        <v>1.8449235344568293</v>
      </c>
    </row>
    <row r="3792" spans="3:7">
      <c r="C3792">
        <f ca="1"/>
        <v>-0.15324368111532746</v>
      </c>
      <c r="D3792">
        <f ca="1"/>
        <v>-0.68411178607268142</v>
      </c>
      <c r="E3792">
        <f ca="1"/>
        <v>0.92231118201466955</v>
      </c>
      <c r="G3792">
        <f ca="1"/>
        <v>1.3421504781146272</v>
      </c>
    </row>
    <row r="3793" spans="3:7">
      <c r="C3793">
        <f ca="1"/>
        <v>-2.5420206792015954</v>
      </c>
      <c r="D3793">
        <f ca="1"/>
        <v>-0.52326465515547593</v>
      </c>
      <c r="E3793">
        <f ca="1"/>
        <v>-1.0966034346061544</v>
      </c>
      <c r="G3793">
        <f ca="1"/>
        <v>7.9382141256135341</v>
      </c>
    </row>
    <row r="3794" spans="3:7">
      <c r="C3794">
        <f ca="1"/>
        <v>0.50391775637495717</v>
      </c>
      <c r="D3794">
        <f ca="1"/>
        <v>-0.81309570144211041</v>
      </c>
      <c r="E3794">
        <f ca="1"/>
        <v>1.1913162691992285</v>
      </c>
      <c r="G3794">
        <f ca="1"/>
        <v>2.3342921781523769</v>
      </c>
    </row>
    <row r="3795" spans="3:7">
      <c r="C3795">
        <f ca="1"/>
        <v>-0.23777810873331412</v>
      </c>
      <c r="D3795">
        <f ca="1"/>
        <v>0.70608752374627148</v>
      </c>
      <c r="E3795">
        <f ca="1"/>
        <v>-0.37556710587695313</v>
      </c>
      <c r="G3795">
        <f ca="1"/>
        <v>0.69614867119972368</v>
      </c>
    </row>
    <row r="3796" spans="3:7">
      <c r="C3796">
        <f ca="1"/>
        <v>0.40990941559648736</v>
      </c>
      <c r="D3796">
        <f ca="1"/>
        <v>1.4906297085944955</v>
      </c>
      <c r="E3796">
        <f ca="1"/>
        <v>-1.7366731237382989</v>
      </c>
      <c r="G3796">
        <f ca="1"/>
        <v>5.4060361958541048</v>
      </c>
    </row>
    <row r="3797" spans="3:7">
      <c r="C3797">
        <f ca="1"/>
        <v>0.48453547080071219</v>
      </c>
      <c r="D3797">
        <f ca="1"/>
        <v>-0.93407756799423169</v>
      </c>
      <c r="E3797">
        <f ca="1"/>
        <v>1.396803878855273</v>
      </c>
      <c r="G3797">
        <f ca="1"/>
        <v>3.0583366014792226</v>
      </c>
    </row>
    <row r="3798" spans="3:7">
      <c r="C3798">
        <f ca="1"/>
        <v>-0.18496571155968367</v>
      </c>
      <c r="D3798">
        <f ca="1"/>
        <v>-1.3569015566000584</v>
      </c>
      <c r="E3798">
        <f ca="1"/>
        <v>-9.1524629765316695E-2</v>
      </c>
      <c r="G3798">
        <f ca="1"/>
        <v>1.8837709066101198</v>
      </c>
    </row>
    <row r="3799" spans="3:7">
      <c r="C3799">
        <f ca="1"/>
        <v>0.53772023620877285</v>
      </c>
      <c r="D3799">
        <f ca="1"/>
        <v>1.0794312145988132</v>
      </c>
      <c r="E3799">
        <f ca="1"/>
        <v>-1.0097177069229868</v>
      </c>
      <c r="G3799">
        <f ca="1"/>
        <v>2.473844647152502</v>
      </c>
    </row>
    <row r="3800" spans="3:7">
      <c r="C3800">
        <f ca="1"/>
        <v>0.64212345061582132</v>
      </c>
      <c r="D3800">
        <f ca="1"/>
        <v>1.9618522296206253E-2</v>
      </c>
      <c r="E3800">
        <f ca="1"/>
        <v>0.67021336773282114</v>
      </c>
      <c r="G3800">
        <f ca="1"/>
        <v>0.86189337053562554</v>
      </c>
    </row>
    <row r="3801" spans="3:7">
      <c r="C3801">
        <f ca="1"/>
        <v>-1.7577432479875228</v>
      </c>
      <c r="D3801">
        <f ca="1"/>
        <v>-0.67829279388256247</v>
      </c>
      <c r="E3801">
        <f ca="1"/>
        <v>-0.26107335640001988</v>
      </c>
      <c r="G3801">
        <f ca="1"/>
        <v>3.6179017375007101</v>
      </c>
    </row>
    <row r="3802" spans="3:7">
      <c r="C3802">
        <f ca="1"/>
        <v>-0.82078027711811896</v>
      </c>
      <c r="D3802">
        <f ca="1"/>
        <v>1.4781783979958429</v>
      </c>
      <c r="E3802">
        <f ca="1"/>
        <v>-7.5566947500339085E-2</v>
      </c>
      <c r="G3802">
        <f ca="1"/>
        <v>2.864402003162172</v>
      </c>
    </row>
    <row r="3803" spans="3:7">
      <c r="C3803">
        <f ca="1"/>
        <v>0.24133507013859118</v>
      </c>
      <c r="D3803">
        <f ca="1"/>
        <v>-0.48994332496878223</v>
      </c>
      <c r="E3803">
        <f ca="1"/>
        <v>-0.44040466395051292</v>
      </c>
      <c r="G3803">
        <f ca="1"/>
        <v>0.49224334578962869</v>
      </c>
    </row>
    <row r="3804" spans="3:7">
      <c r="C3804">
        <f ca="1"/>
        <v>1.0376814116227766</v>
      </c>
      <c r="D3804">
        <f ca="1"/>
        <v>2.3859663572637406</v>
      </c>
      <c r="E3804">
        <f ca="1"/>
        <v>0.87502650089440526</v>
      </c>
      <c r="G3804">
        <f ca="1"/>
        <v>7.5352895472893486</v>
      </c>
    </row>
    <row r="3805" spans="3:7">
      <c r="C3805">
        <f ca="1"/>
        <v>1.1209509896257379</v>
      </c>
      <c r="D3805">
        <f ca="1"/>
        <v>1.7700098565368274</v>
      </c>
      <c r="E3805">
        <f ca="1"/>
        <v>1.3783936390754941</v>
      </c>
      <c r="G3805">
        <f ca="1"/>
        <v>6.2894350376242247</v>
      </c>
    </row>
    <row r="3806" spans="3:7">
      <c r="C3806">
        <f ca="1"/>
        <v>-0.25703831747690875</v>
      </c>
      <c r="D3806">
        <f ca="1"/>
        <v>-0.59075769255192412</v>
      </c>
      <c r="E3806">
        <f ca="1"/>
        <v>4.2345313552315703E-2</v>
      </c>
      <c r="G3806">
        <f ca="1"/>
        <v>0.41685647354047778</v>
      </c>
    </row>
    <row r="3807" spans="3:7">
      <c r="C3807">
        <f ca="1"/>
        <v>0.28661802391764052</v>
      </c>
      <c r="D3807">
        <f ca="1"/>
        <v>-0.55732008903059638</v>
      </c>
      <c r="E3807">
        <f ca="1"/>
        <v>0.76623627910302816</v>
      </c>
      <c r="G3807">
        <f ca="1"/>
        <v>0.9798736086851787</v>
      </c>
    </row>
    <row r="3808" spans="3:7">
      <c r="C3808">
        <f ca="1"/>
        <v>-0.81777379424400709</v>
      </c>
      <c r="D3808">
        <f ca="1"/>
        <v>-0.61185813191858962</v>
      </c>
      <c r="E3808">
        <f ca="1"/>
        <v>1.1173637520994568</v>
      </c>
      <c r="G3808">
        <f ca="1"/>
        <v>2.291626106652922</v>
      </c>
    </row>
    <row r="3809" spans="3:7">
      <c r="C3809">
        <f ca="1"/>
        <v>-1.575643572858481</v>
      </c>
      <c r="D3809">
        <f ca="1"/>
        <v>0.2043483292523024</v>
      </c>
      <c r="E3809">
        <f ca="1"/>
        <v>-1.9353276874869028</v>
      </c>
      <c r="G3809">
        <f ca="1"/>
        <v>6.26990416631185</v>
      </c>
    </row>
    <row r="3810" spans="3:7">
      <c r="C3810">
        <f ca="1"/>
        <v>-0.27542403928541437</v>
      </c>
      <c r="D3810">
        <f ca="1"/>
        <v>-0.75209368013907629</v>
      </c>
      <c r="E3810">
        <f ca="1"/>
        <v>-0.70192986693632287</v>
      </c>
      <c r="G3810">
        <f ca="1"/>
        <v>1.1342088432186768</v>
      </c>
    </row>
    <row r="3811" spans="3:7">
      <c r="C3811">
        <f ca="1"/>
        <v>2.1209335946100927</v>
      </c>
      <c r="D3811">
        <f ca="1"/>
        <v>1.2697798561496578</v>
      </c>
      <c r="E3811">
        <f ca="1"/>
        <v>-0.83225704509308929</v>
      </c>
      <c r="G3811">
        <f ca="1"/>
        <v>6.8033519849362154</v>
      </c>
    </row>
    <row r="3812" spans="3:7">
      <c r="C3812">
        <f ca="1"/>
        <v>-0.95292407437543314</v>
      </c>
      <c r="D3812">
        <f ca="1"/>
        <v>2.5273264720200601E-2</v>
      </c>
      <c r="E3812">
        <f ca="1"/>
        <v>0.14874280583606284</v>
      </c>
      <c r="G3812">
        <f ca="1"/>
        <v>0.93082745172187809</v>
      </c>
    </row>
    <row r="3813" spans="3:7">
      <c r="C3813">
        <f ca="1"/>
        <v>-1.8690592646404249</v>
      </c>
      <c r="D3813">
        <f ca="1"/>
        <v>-9.9861748370947981E-2</v>
      </c>
      <c r="E3813">
        <f ca="1"/>
        <v>1.0192822263154229</v>
      </c>
      <c r="G3813">
        <f ca="1"/>
        <v>4.5422911604084337</v>
      </c>
    </row>
    <row r="3814" spans="3:7">
      <c r="C3814">
        <f ca="1"/>
        <v>-1.0253384137806685</v>
      </c>
      <c r="D3814">
        <f ca="1"/>
        <v>-0.15166625559292221</v>
      </c>
      <c r="E3814">
        <f ca="1"/>
        <v>0.24469674057407503</v>
      </c>
      <c r="G3814">
        <f ca="1"/>
        <v>1.134198010707411</v>
      </c>
    </row>
    <row r="3815" spans="3:7">
      <c r="C3815">
        <f ca="1"/>
        <v>-0.28137404282081768</v>
      </c>
      <c r="D3815">
        <f ca="1"/>
        <v>-1.4679048750495782</v>
      </c>
      <c r="E3815">
        <f ca="1"/>
        <v>0.42038308285647574</v>
      </c>
      <c r="G3815">
        <f ca="1"/>
        <v>2.4106380105195635</v>
      </c>
    </row>
    <row r="3816" spans="3:7">
      <c r="C3816">
        <f ca="1"/>
        <v>1.0908984347688326E-2</v>
      </c>
      <c r="D3816">
        <f ca="1"/>
        <v>-0.23061590795515224</v>
      </c>
      <c r="E3816">
        <f ca="1"/>
        <v>4.757113260422683E-2</v>
      </c>
      <c r="G3816">
        <f ca="1"/>
        <v>5.5565715598726292E-2</v>
      </c>
    </row>
    <row r="3817" spans="3:7">
      <c r="C3817">
        <f ca="1"/>
        <v>-0.33374621867659804</v>
      </c>
      <c r="D3817">
        <f ca="1"/>
        <v>1.8512330983795888</v>
      </c>
      <c r="E3817">
        <f ca="1"/>
        <v>-1.7911171096928193</v>
      </c>
      <c r="G3817">
        <f ca="1"/>
        <v>6.7465510236513797</v>
      </c>
    </row>
    <row r="3818" spans="3:7">
      <c r="C3818">
        <f ca="1"/>
        <v>1.342280823703629</v>
      </c>
      <c r="D3818">
        <f ca="1"/>
        <v>-0.1172135541713655</v>
      </c>
      <c r="E3818">
        <f ca="1"/>
        <v>0.71994028492296058</v>
      </c>
      <c r="G3818">
        <f ca="1"/>
        <v>2.3337708408189304</v>
      </c>
    </row>
    <row r="3819" spans="3:7">
      <c r="C3819">
        <f ca="1"/>
        <v>-0.22301781471859233</v>
      </c>
      <c r="D3819">
        <f ca="1"/>
        <v>-0.90270084213186552</v>
      </c>
      <c r="E3819">
        <f ca="1"/>
        <v>0.20161638134373341</v>
      </c>
      <c r="G3819">
        <f ca="1"/>
        <v>0.90525492129357732</v>
      </c>
    </row>
    <row r="3820" spans="3:7">
      <c r="C3820">
        <f ca="1"/>
        <v>0.13243430437080789</v>
      </c>
      <c r="D3820">
        <f ca="1"/>
        <v>0.60431367006776282</v>
      </c>
      <c r="E3820">
        <f ca="1"/>
        <v>-1.1065381104745264</v>
      </c>
      <c r="G3820">
        <f ca="1"/>
        <v>1.607160446737484</v>
      </c>
    </row>
    <row r="3821" spans="3:7">
      <c r="C3821">
        <f ca="1"/>
        <v>-1.3243316217358518</v>
      </c>
      <c r="D3821">
        <f ca="1"/>
        <v>-0.62416457800171798</v>
      </c>
      <c r="E3821">
        <f ca="1"/>
        <v>1.442403995787342</v>
      </c>
      <c r="G3821">
        <f ca="1"/>
        <v>4.2239649518248648</v>
      </c>
    </row>
    <row r="3822" spans="3:7">
      <c r="C3822">
        <f ca="1"/>
        <v>-8.0230257853754594E-2</v>
      </c>
      <c r="D3822">
        <f ca="1"/>
        <v>-0.89684073536924735</v>
      </c>
      <c r="E3822">
        <f ca="1"/>
        <v>-0.14378360105424545</v>
      </c>
      <c r="G3822">
        <f ca="1"/>
        <v>0.83143392282505868</v>
      </c>
    </row>
    <row r="3823" spans="3:7">
      <c r="C3823">
        <f ca="1"/>
        <v>-1.236434223003525</v>
      </c>
      <c r="D3823">
        <f ca="1"/>
        <v>1.0905481219330897</v>
      </c>
      <c r="E3823">
        <f ca="1"/>
        <v>1.3491424536817671</v>
      </c>
      <c r="G3823">
        <f ca="1"/>
        <v>4.5382501543925784</v>
      </c>
    </row>
    <row r="3824" spans="3:7">
      <c r="C3824">
        <f ca="1"/>
        <v>-1.1415670892220595</v>
      </c>
      <c r="D3824">
        <f ca="1"/>
        <v>0.93443010720756026</v>
      </c>
      <c r="E3824">
        <f ca="1"/>
        <v>-1.2738643599266475</v>
      </c>
      <c r="G3824">
        <f ca="1"/>
        <v>3.7990654519421856</v>
      </c>
    </row>
    <row r="3825" spans="3:7">
      <c r="C3825">
        <f ca="1"/>
        <v>-0.64539604802503736</v>
      </c>
      <c r="D3825">
        <f ca="1"/>
        <v>-1.7106266307640743</v>
      </c>
      <c r="E3825">
        <f ca="1"/>
        <v>-0.25474546910947016</v>
      </c>
      <c r="G3825">
        <f ca="1"/>
        <v>3.4076747827173888</v>
      </c>
    </row>
    <row r="3826" spans="3:7">
      <c r="C3826">
        <f ca="1"/>
        <v>0.33703913411445618</v>
      </c>
      <c r="D3826">
        <f ca="1"/>
        <v>-0.69963746775827917</v>
      </c>
      <c r="E3826">
        <f ca="1"/>
        <v>0.32539431703471089</v>
      </c>
      <c r="G3826">
        <f ca="1"/>
        <v>0.70896942577432553</v>
      </c>
    </row>
    <row r="3827" spans="3:7">
      <c r="C3827">
        <f ca="1"/>
        <v>1.7822155420108365</v>
      </c>
      <c r="D3827">
        <f ca="1"/>
        <v>1.797219279518778</v>
      </c>
      <c r="E3827">
        <f ca="1"/>
        <v>0.10881869613840621</v>
      </c>
      <c r="G3827">
        <f ca="1"/>
        <v>6.418130885488238</v>
      </c>
    </row>
    <row r="3828" spans="3:7">
      <c r="C3828">
        <f ca="1"/>
        <v>-1.0465480911636269</v>
      </c>
      <c r="D3828">
        <f ca="1"/>
        <v>0.32497228490397234</v>
      </c>
      <c r="E3828">
        <f ca="1"/>
        <v>-1.5566468915618716</v>
      </c>
      <c r="G3828">
        <f ca="1"/>
        <v>3.6240194380831769</v>
      </c>
    </row>
    <row r="3829" spans="3:7">
      <c r="C3829">
        <f ca="1"/>
        <v>0.12069310384174518</v>
      </c>
      <c r="D3829">
        <f ca="1"/>
        <v>-0.81619569075041254</v>
      </c>
      <c r="E3829">
        <f ca="1"/>
        <v>-0.12681530614981998</v>
      </c>
      <c r="G3829">
        <f ca="1"/>
        <v>0.69682435278836985</v>
      </c>
    </row>
    <row r="3830" spans="3:7">
      <c r="C3830">
        <f ca="1"/>
        <v>0.24967540053001094</v>
      </c>
      <c r="D3830">
        <f ca="1"/>
        <v>-2.1153456882339401</v>
      </c>
      <c r="E3830">
        <f ca="1"/>
        <v>1.8895458357508386</v>
      </c>
      <c r="G3830">
        <f ca="1"/>
        <v>8.1074086517630786</v>
      </c>
    </row>
    <row r="3831" spans="3:7">
      <c r="C3831">
        <f ca="1"/>
        <v>1.9918161949549218</v>
      </c>
      <c r="D3831">
        <f ca="1"/>
        <v>-1.1060831255879993</v>
      </c>
      <c r="E3831">
        <f ca="1"/>
        <v>0.93434655159595381</v>
      </c>
      <c r="G3831">
        <f ca="1"/>
        <v>6.0637551136744712</v>
      </c>
    </row>
    <row r="3832" spans="3:7">
      <c r="C3832">
        <f ca="1"/>
        <v>-1.1163255735980893</v>
      </c>
      <c r="D3832">
        <f ca="1"/>
        <v>0.16742579015539277</v>
      </c>
      <c r="E3832">
        <f ca="1"/>
        <v>1.1405860637936895</v>
      </c>
      <c r="G3832">
        <f ca="1"/>
        <v>2.5751507503986431</v>
      </c>
    </row>
    <row r="3833" spans="3:7">
      <c r="C3833">
        <f ca="1"/>
        <v>1.7356451874675634</v>
      </c>
      <c r="D3833">
        <f ca="1"/>
        <v>0.84563740265897869</v>
      </c>
      <c r="E3833">
        <f ca="1"/>
        <v>1.0129118844282075</v>
      </c>
      <c r="G3833">
        <f ca="1"/>
        <v>4.7535573191710387</v>
      </c>
    </row>
    <row r="3834" spans="3:7">
      <c r="C3834">
        <f ca="1"/>
        <v>7.2286246702067333E-2</v>
      </c>
      <c r="D3834">
        <f ca="1"/>
        <v>-3.9281705490859312E-2</v>
      </c>
      <c r="E3834">
        <f ca="1"/>
        <v>0.34936593917346059</v>
      </c>
      <c r="G3834">
        <f ca="1"/>
        <v>0.12882491330309692</v>
      </c>
    </row>
    <row r="3835" spans="3:7">
      <c r="C3835">
        <f ca="1"/>
        <v>-0.63051150813182022</v>
      </c>
      <c r="D3835">
        <f ca="1"/>
        <v>1.5910374032513572</v>
      </c>
      <c r="E3835">
        <f ca="1"/>
        <v>-0.23696689085713016</v>
      </c>
      <c r="G3835">
        <f ca="1"/>
        <v>2.9850980877939794</v>
      </c>
    </row>
    <row r="3836" spans="3:7">
      <c r="C3836">
        <f ca="1"/>
        <v>0.44423767724272628</v>
      </c>
      <c r="D3836">
        <f ca="1"/>
        <v>-1.400957721912254</v>
      </c>
      <c r="E3836">
        <f ca="1"/>
        <v>0.13706655339857104</v>
      </c>
      <c r="G3836">
        <f ca="1"/>
        <v>2.1788168925281486</v>
      </c>
    </row>
    <row r="3837" spans="3:7">
      <c r="C3837">
        <f ca="1"/>
        <v>-0.99242060309887525</v>
      </c>
      <c r="D3837">
        <f ca="1"/>
        <v>5.2766056916707466E-2</v>
      </c>
      <c r="E3837">
        <f ca="1"/>
        <v>-0.13911624065277042</v>
      </c>
      <c r="G3837">
        <f ca="1"/>
        <v>1.0070362386310321</v>
      </c>
    </row>
    <row r="3838" spans="3:7">
      <c r="C3838">
        <f ca="1"/>
        <v>1.4775789715015288</v>
      </c>
      <c r="D3838">
        <f ca="1"/>
        <v>0.16055900659490113</v>
      </c>
      <c r="E3838">
        <f ca="1"/>
        <v>1.2020223026112558</v>
      </c>
      <c r="G3838">
        <f ca="1"/>
        <v>3.6538764275971225</v>
      </c>
    </row>
    <row r="3839" spans="3:7">
      <c r="C3839">
        <f ca="1"/>
        <v>1.2342449002510172</v>
      </c>
      <c r="D3839">
        <f ca="1"/>
        <v>5.5346836618237263E-2</v>
      </c>
      <c r="E3839">
        <f ca="1"/>
        <v>0.44465351588118257</v>
      </c>
      <c r="G3839">
        <f ca="1"/>
        <v>1.7241404953047863</v>
      </c>
    </row>
    <row r="3840" spans="3:7">
      <c r="C3840">
        <f ca="1"/>
        <v>-0.97683747031862256</v>
      </c>
      <c r="D3840">
        <f ca="1"/>
        <v>1.5025349600885074</v>
      </c>
      <c r="E3840">
        <f ca="1"/>
        <v>-0.73258431428416171</v>
      </c>
      <c r="G3840">
        <f ca="1"/>
        <v>3.748502527241854</v>
      </c>
    </row>
    <row r="3841" spans="3:7">
      <c r="C3841">
        <f ca="1"/>
        <v>0.48452502904842171</v>
      </c>
      <c r="D3841">
        <f ca="1"/>
        <v>9.0388087643713047E-2</v>
      </c>
      <c r="E3841">
        <f ca="1"/>
        <v>1.6615478696434913</v>
      </c>
      <c r="G3841">
        <f ca="1"/>
        <v>3.0036758332790856</v>
      </c>
    </row>
    <row r="3842" spans="3:7">
      <c r="C3842">
        <f ca="1"/>
        <v>1.0999499889729807</v>
      </c>
      <c r="D3842">
        <f ca="1"/>
        <v>-1.1724868125037904</v>
      </c>
      <c r="E3842">
        <f ca="1"/>
        <v>-0.17967754276617096</v>
      </c>
      <c r="G3842">
        <f ca="1"/>
        <v>2.6168993231114479</v>
      </c>
    </row>
    <row r="3843" spans="3:7">
      <c r="C3843">
        <f ca="1"/>
        <v>-1.3757175420381345</v>
      </c>
      <c r="D3843">
        <f ca="1"/>
        <v>-1.1849934710506296</v>
      </c>
      <c r="E3843">
        <f ca="1"/>
        <v>0.95649509107415165</v>
      </c>
      <c r="G3843">
        <f ca="1"/>
        <v>4.2116911411530156</v>
      </c>
    </row>
    <row r="3844" spans="3:7">
      <c r="C3844">
        <f ca="1"/>
        <v>-0.72291782024893858</v>
      </c>
      <c r="D3844">
        <f ca="1"/>
        <v>-1.6790854096550962</v>
      </c>
      <c r="E3844">
        <f ca="1"/>
        <v>-0.98755884978440434</v>
      </c>
      <c r="G3844">
        <f ca="1"/>
        <v>4.3172104695375948</v>
      </c>
    </row>
    <row r="3845" spans="3:7">
      <c r="C3845">
        <f ca="1"/>
        <v>-0.61404063903099604</v>
      </c>
      <c r="D3845">
        <f ca="1"/>
        <v>0.39796310723039185</v>
      </c>
      <c r="E3845">
        <f ca="1"/>
        <v>-0.89292171849147151</v>
      </c>
      <c r="G3845">
        <f ca="1"/>
        <v>1.3327297364518249</v>
      </c>
    </row>
    <row r="3846" spans="3:7">
      <c r="C3846">
        <f ca="1"/>
        <v>7.0568833010494242E-2</v>
      </c>
      <c r="D3846">
        <f ca="1"/>
        <v>-1.7261861758616963</v>
      </c>
      <c r="E3846">
        <f ca="1"/>
        <v>0.7155883952750951</v>
      </c>
      <c r="G3846">
        <f ca="1"/>
        <v>3.4967654253808762</v>
      </c>
    </row>
    <row r="3847" spans="3:7">
      <c r="C3847">
        <f ca="1"/>
        <v>-1.287271623962478</v>
      </c>
      <c r="D3847">
        <f ca="1"/>
        <v>2.1824252406569151</v>
      </c>
      <c r="E3847">
        <f ca="1"/>
        <v>-0.97133407764713253</v>
      </c>
      <c r="G3847">
        <f ca="1"/>
        <v>7.3635380553139953</v>
      </c>
    </row>
    <row r="3848" spans="3:7">
      <c r="C3848">
        <f ca="1"/>
        <v>-1.7193775120762058</v>
      </c>
      <c r="D3848">
        <f ca="1"/>
        <v>1.5750339824234902</v>
      </c>
      <c r="E3848">
        <f ca="1"/>
        <v>-0.50464302795454408</v>
      </c>
      <c r="G3848">
        <f ca="1"/>
        <v>5.6916556604852939</v>
      </c>
    </row>
    <row r="3849" spans="3:7">
      <c r="C3849">
        <f ca="1"/>
        <v>-0.82589533243618063</v>
      </c>
      <c r="D3849">
        <f ca="1"/>
        <v>0.33423074535073488</v>
      </c>
      <c r="E3849">
        <f ca="1"/>
        <v>0.71455072710049194</v>
      </c>
      <c r="G3849">
        <f ca="1"/>
        <v>1.3043960328774187</v>
      </c>
    </row>
    <row r="3850" spans="3:7">
      <c r="C3850">
        <f ca="1"/>
        <v>-0.85911813440985596</v>
      </c>
      <c r="D3850">
        <f ca="1"/>
        <v>0.88042933258957945</v>
      </c>
      <c r="E3850">
        <f ca="1"/>
        <v>0.68266665095827395</v>
      </c>
      <c r="G3850">
        <f ca="1"/>
        <v>1.9792735348865895</v>
      </c>
    </row>
    <row r="3851" spans="3:7">
      <c r="C3851">
        <f ca="1"/>
        <v>0.7664097678031272</v>
      </c>
      <c r="D3851">
        <f ca="1"/>
        <v>0.57138310464727804</v>
      </c>
      <c r="E3851">
        <f ca="1"/>
        <v>-1.2866432879176166</v>
      </c>
      <c r="G3851">
        <f ca="1"/>
        <v>2.5693135348038605</v>
      </c>
    </row>
    <row r="3852" spans="3:7">
      <c r="C3852">
        <f ca="1"/>
        <v>-0.41511971975578466</v>
      </c>
      <c r="D3852">
        <f ca="1"/>
        <v>1.5807184184060479</v>
      </c>
      <c r="E3852">
        <f ca="1"/>
        <v>-0.47994947050788228</v>
      </c>
      <c r="G3852">
        <f ca="1"/>
        <v>2.9013465942590351</v>
      </c>
    </row>
    <row r="3853" spans="3:7">
      <c r="C3853">
        <f ca="1"/>
        <v>-1.2320788040171022</v>
      </c>
      <c r="D3853">
        <f ca="1"/>
        <v>-0.61361395588685497</v>
      </c>
      <c r="E3853">
        <f ca="1"/>
        <v>0.50839961230682129</v>
      </c>
      <c r="G3853">
        <f ca="1"/>
        <v>2.1530104319610546</v>
      </c>
    </row>
    <row r="3854" spans="3:7">
      <c r="C3854">
        <f ca="1"/>
        <v>0.87555943798784419</v>
      </c>
      <c r="D3854">
        <f ca="1"/>
        <v>-1.1922900368138973</v>
      </c>
      <c r="E3854">
        <f ca="1"/>
        <v>0.4265451612407708</v>
      </c>
      <c r="G3854">
        <f ca="1"/>
        <v>2.3701006359131895</v>
      </c>
    </row>
    <row r="3855" spans="3:7">
      <c r="C3855">
        <f ca="1"/>
        <v>-0.20380484482554601</v>
      </c>
      <c r="D3855">
        <f ca="1"/>
        <v>-0.79824445241423025</v>
      </c>
      <c r="E3855">
        <f ca="1"/>
        <v>-0.56311988351253739</v>
      </c>
      <c r="G3855">
        <f ca="1"/>
        <v>0.9958346237916329</v>
      </c>
    </row>
    <row r="3856" spans="3:7">
      <c r="C3856">
        <f ca="1"/>
        <v>0.77805123264180776</v>
      </c>
      <c r="D3856">
        <f ca="1"/>
        <v>1.3543016683420823</v>
      </c>
      <c r="E3856">
        <f ca="1"/>
        <v>0.37999970568004549</v>
      </c>
      <c r="G3856">
        <f ca="1"/>
        <v>2.5838965058065053</v>
      </c>
    </row>
    <row r="3857" spans="3:7">
      <c r="C3857">
        <f ca="1"/>
        <v>0.29559176133848702</v>
      </c>
      <c r="D3857">
        <f ca="1"/>
        <v>-1.0025605887473288</v>
      </c>
      <c r="E3857">
        <f ca="1"/>
        <v>-0.55449080369966708</v>
      </c>
      <c r="G3857">
        <f ca="1"/>
        <v>1.3999622748680822</v>
      </c>
    </row>
    <row r="3858" spans="3:7">
      <c r="C3858">
        <f ca="1"/>
        <v>-0.25331425645982436</v>
      </c>
      <c r="D3858">
        <f ca="1"/>
        <v>4.9879005678476647E-2</v>
      </c>
      <c r="E3858">
        <f ca="1"/>
        <v>1.3072627770485115</v>
      </c>
      <c r="G3858">
        <f ca="1"/>
        <v>1.7755919959898532</v>
      </c>
    </row>
    <row r="3859" spans="3:7">
      <c r="C3859">
        <f ca="1"/>
        <v>2.0780750728370938</v>
      </c>
      <c r="D3859">
        <f ca="1"/>
        <v>-0.57864261173218678</v>
      </c>
      <c r="E3859">
        <f ca="1"/>
        <v>-0.35179732731853985</v>
      </c>
      <c r="G3859">
        <f ca="1"/>
        <v>4.7769846399676066</v>
      </c>
    </row>
    <row r="3860" spans="3:7">
      <c r="C3860">
        <f ca="1"/>
        <v>0.4643282886529162</v>
      </c>
      <c r="D3860">
        <f ca="1"/>
        <v>0.40217458227506703</v>
      </c>
      <c r="E3860">
        <f ca="1"/>
        <v>1.7803518878779463</v>
      </c>
      <c r="G3860">
        <f ca="1"/>
        <v>3.5469979989420377</v>
      </c>
    </row>
    <row r="3861" spans="3:7">
      <c r="C3861">
        <f ca="1"/>
        <v>-1.34850836679157</v>
      </c>
      <c r="D3861">
        <f ca="1"/>
        <v>0.33082198079460151</v>
      </c>
      <c r="E3861">
        <f ca="1"/>
        <v>0.66473556150210156</v>
      </c>
      <c r="G3861">
        <f ca="1"/>
        <v>2.3697913650092457</v>
      </c>
    </row>
    <row r="3862" spans="3:7">
      <c r="C3862">
        <f ca="1"/>
        <v>0.31659015041030952</v>
      </c>
      <c r="D3862">
        <f ca="1"/>
        <v>0.77410442498424992</v>
      </c>
      <c r="E3862">
        <f ca="1"/>
        <v>0.34787764269438204</v>
      </c>
      <c r="G3862">
        <f ca="1"/>
        <v>0.82048583840361888</v>
      </c>
    </row>
    <row r="3863" spans="3:7">
      <c r="C3863">
        <f ca="1"/>
        <v>0.61951399050666989</v>
      </c>
      <c r="D3863">
        <f ca="1"/>
        <v>-0.21767230095390389</v>
      </c>
      <c r="E3863">
        <f ca="1"/>
        <v>-0.77388840184314356</v>
      </c>
      <c r="G3863">
        <f ca="1"/>
        <v>1.0300820735434</v>
      </c>
    </row>
    <row r="3864" spans="3:7">
      <c r="C3864">
        <f ca="1"/>
        <v>-0.76146717284366383</v>
      </c>
      <c r="D3864">
        <f ca="1"/>
        <v>0.18902055443471585</v>
      </c>
      <c r="E3864">
        <f ca="1"/>
        <v>2.3315033720745397</v>
      </c>
      <c r="G3864">
        <f ca="1"/>
        <v>6.051468999312279</v>
      </c>
    </row>
    <row r="3865" spans="3:7">
      <c r="C3865">
        <f ca="1"/>
        <v>0.71673914584164589</v>
      </c>
      <c r="D3865">
        <f ca="1"/>
        <v>-1.1574369860800684</v>
      </c>
      <c r="E3865">
        <f ca="1"/>
        <v>-0.72218631404594535</v>
      </c>
      <c r="G3865">
        <f ca="1"/>
        <v>2.3749284521231933</v>
      </c>
    </row>
    <row r="3866" spans="3:7">
      <c r="C3866">
        <f ca="1"/>
        <v>-0.41684830454335176</v>
      </c>
      <c r="D3866">
        <f ca="1"/>
        <v>0.32990616142877605</v>
      </c>
      <c r="E3866">
        <f ca="1"/>
        <v>-0.63393663823479285</v>
      </c>
      <c r="G3866">
        <f ca="1"/>
        <v>0.68447624564576715</v>
      </c>
    </row>
    <row r="3867" spans="3:7">
      <c r="C3867">
        <f ca="1"/>
        <v>-0.4741701611332268</v>
      </c>
      <c r="D3867">
        <f ca="1"/>
        <v>-0.64205286121796368</v>
      </c>
      <c r="E3867">
        <f ca="1"/>
        <v>-0.40827060173484431</v>
      </c>
      <c r="G3867">
        <f ca="1"/>
        <v>0.80375410254821589</v>
      </c>
    </row>
    <row r="3868" spans="3:7">
      <c r="C3868">
        <f ca="1"/>
        <v>0.41166875065144398</v>
      </c>
      <c r="D3868">
        <f ca="1"/>
        <v>-1.2153190026132374</v>
      </c>
      <c r="E3868">
        <f ca="1"/>
        <v>-1.0713179470009375</v>
      </c>
      <c r="G3868">
        <f ca="1"/>
        <v>2.7941935819420585</v>
      </c>
    </row>
    <row r="3869" spans="3:7">
      <c r="C3869">
        <f ca="1"/>
        <v>0.71602412231375812</v>
      </c>
      <c r="D3869">
        <f ca="1"/>
        <v>0.43113258619946465</v>
      </c>
      <c r="E3869">
        <f ca="1"/>
        <v>-5.2250300282616624E-2</v>
      </c>
      <c r="G3869">
        <f ca="1"/>
        <v>0.70129594449785004</v>
      </c>
    </row>
    <row r="3870" spans="3:7">
      <c r="C3870">
        <f ca="1"/>
        <v>0.80223853767054398</v>
      </c>
      <c r="D3870">
        <f ca="1"/>
        <v>1.0143568638323346</v>
      </c>
      <c r="E3870">
        <f ca="1"/>
        <v>-0.30335610702875554</v>
      </c>
      <c r="G3870">
        <f ca="1"/>
        <v>1.7645314461991839</v>
      </c>
    </row>
    <row r="3871" spans="3:7">
      <c r="C3871">
        <f ca="1"/>
        <v>0.50853506669080584</v>
      </c>
      <c r="D3871">
        <f ca="1"/>
        <v>-2.1169164297859173</v>
      </c>
      <c r="E3871">
        <f ca="1"/>
        <v>-6.0586791362792998E-2</v>
      </c>
      <c r="G3871">
        <f ca="1"/>
        <v>4.7436138440394151</v>
      </c>
    </row>
    <row r="3872" spans="3:7">
      <c r="C3872">
        <f ca="1"/>
        <v>0.13192645512373907</v>
      </c>
      <c r="D3872">
        <f ca="1"/>
        <v>-0.96444552513842574</v>
      </c>
      <c r="E3872">
        <f ca="1"/>
        <v>-0.11634745160460447</v>
      </c>
      <c r="G3872">
        <f ca="1"/>
        <v>0.96109649001593556</v>
      </c>
    </row>
    <row r="3873" spans="3:7">
      <c r="C3873">
        <f ca="1"/>
        <v>1.9896542879841062</v>
      </c>
      <c r="D3873">
        <f ca="1"/>
        <v>0.42898505544108034</v>
      </c>
      <c r="E3873">
        <f ca="1"/>
        <v>-0.84460911492888957</v>
      </c>
      <c r="G3873">
        <f ca="1"/>
        <v>4.8561169205062891</v>
      </c>
    </row>
    <row r="3874" spans="3:7">
      <c r="C3874">
        <f ca="1"/>
        <v>-1.8616556556916615</v>
      </c>
      <c r="D3874">
        <f ca="1"/>
        <v>-0.46525260404440227</v>
      </c>
      <c r="E3874">
        <f ca="1"/>
        <v>1.0254712994230244</v>
      </c>
      <c r="G3874">
        <f ca="1"/>
        <v>4.7338131518791933</v>
      </c>
    </row>
    <row r="3875" spans="3:7">
      <c r="C3875">
        <f ca="1"/>
        <v>0.63895226121144288</v>
      </c>
      <c r="D3875">
        <f ca="1"/>
        <v>-0.84345485504321416</v>
      </c>
      <c r="E3875">
        <f ca="1"/>
        <v>0.35494877560313637</v>
      </c>
      <c r="G3875">
        <f ca="1"/>
        <v>1.2456647179053508</v>
      </c>
    </row>
    <row r="3876" spans="3:7">
      <c r="C3876">
        <f ca="1"/>
        <v>-1.7678981808805652</v>
      </c>
      <c r="D3876">
        <f ca="1"/>
        <v>-0.81286119994501937</v>
      </c>
      <c r="E3876">
        <f ca="1"/>
        <v>1.3272182015908611</v>
      </c>
      <c r="G3876">
        <f ca="1"/>
        <v>5.547715462970948</v>
      </c>
    </row>
    <row r="3877" spans="3:7">
      <c r="C3877">
        <f ca="1"/>
        <v>-1.3832090309843592</v>
      </c>
      <c r="D3877">
        <f ca="1"/>
        <v>-0.23059074692342821</v>
      </c>
      <c r="E3877">
        <f ca="1"/>
        <v>-2.4799183595325514E-2</v>
      </c>
      <c r="G3877">
        <f ca="1"/>
        <v>1.9670543154703892</v>
      </c>
    </row>
    <row r="3878" spans="3:7">
      <c r="C3878">
        <f ca="1"/>
        <v>2.6110376814947296</v>
      </c>
      <c r="D3878">
        <f ca="1"/>
        <v>-1.7824255798536806</v>
      </c>
      <c r="E3878">
        <f ca="1"/>
        <v>0.88554319776788282</v>
      </c>
      <c r="G3878">
        <f ca="1"/>
        <v>10.77874547701507</v>
      </c>
    </row>
    <row r="3879" spans="3:7">
      <c r="C3879">
        <f ca="1"/>
        <v>-0.394919614460844</v>
      </c>
      <c r="D3879">
        <f ca="1"/>
        <v>1.5894260805939651</v>
      </c>
      <c r="E3879">
        <f ca="1"/>
        <v>0.16908503791199739</v>
      </c>
      <c r="G3879">
        <f ca="1"/>
        <v>2.710826517603897</v>
      </c>
    </row>
    <row r="3880" spans="3:7">
      <c r="C3880">
        <f ca="1"/>
        <v>-1.0420700460998302</v>
      </c>
      <c r="D3880">
        <f ca="1"/>
        <v>2.0139119406234784</v>
      </c>
      <c r="E3880">
        <f ca="1"/>
        <v>0.5576606893357593</v>
      </c>
      <c r="G3880">
        <f ca="1"/>
        <v>5.4527367299947613</v>
      </c>
    </row>
    <row r="3881" spans="3:7">
      <c r="C3881">
        <f ca="1"/>
        <v>2.3846465669854617</v>
      </c>
      <c r="D3881">
        <f ca="1"/>
        <v>-0.38464431673019073</v>
      </c>
      <c r="E3881">
        <f ca="1"/>
        <v>0.13054296591592288</v>
      </c>
      <c r="G3881">
        <f ca="1"/>
        <v>5.8515319657785092</v>
      </c>
    </row>
    <row r="3882" spans="3:7">
      <c r="C3882">
        <f ca="1"/>
        <v>0.41620618990649139</v>
      </c>
      <c r="D3882">
        <f ca="1"/>
        <v>1.3038977839361139</v>
      </c>
      <c r="E3882">
        <f ca="1"/>
        <v>-0.81791895220801059</v>
      </c>
      <c r="G3882">
        <f ca="1"/>
        <v>2.5423684358510368</v>
      </c>
    </row>
    <row r="3883" spans="3:7">
      <c r="C3883">
        <f ca="1"/>
        <v>0.60323990446265474</v>
      </c>
      <c r="D3883">
        <f ca="1"/>
        <v>0.57416513432252747</v>
      </c>
      <c r="E3883">
        <f ca="1"/>
        <v>0.95053620079196555</v>
      </c>
      <c r="G3883">
        <f ca="1"/>
        <v>1.5970830528237427</v>
      </c>
    </row>
    <row r="3884" spans="3:7">
      <c r="C3884">
        <f ca="1"/>
        <v>0.27295368968694983</v>
      </c>
      <c r="D3884">
        <f ca="1"/>
        <v>-0.26348213287626632</v>
      </c>
      <c r="E3884">
        <f ca="1"/>
        <v>1.9711300440622262E-2</v>
      </c>
      <c r="G3884">
        <f ca="1"/>
        <v>0.14431508642380664</v>
      </c>
    </row>
    <row r="3885" spans="3:7">
      <c r="C3885">
        <f ca="1"/>
        <v>0.30900296859557441</v>
      </c>
      <c r="D3885">
        <f ca="1"/>
        <v>-1.7551254035088362</v>
      </c>
      <c r="E3885">
        <f ca="1"/>
        <v>1.2640329192186501</v>
      </c>
      <c r="G3885">
        <f ca="1"/>
        <v>4.7737272375113546</v>
      </c>
    </row>
    <row r="3886" spans="3:7">
      <c r="C3886">
        <f ca="1"/>
        <v>0.34234919687241044</v>
      </c>
      <c r="D3886">
        <f ca="1"/>
        <v>1.1483511595106362</v>
      </c>
      <c r="E3886">
        <f ca="1"/>
        <v>0.50764907714030583</v>
      </c>
      <c r="G3886">
        <f ca="1"/>
        <v>1.6936209436700111</v>
      </c>
    </row>
    <row r="3887" spans="3:7">
      <c r="C3887">
        <f ca="1"/>
        <v>-1.8747145936419709</v>
      </c>
      <c r="D3887">
        <f ca="1"/>
        <v>-1.933488997971718</v>
      </c>
      <c r="E3887">
        <f ca="1"/>
        <v>1.6782742885005615</v>
      </c>
      <c r="G3887">
        <f ca="1"/>
        <v>10.069539100333925</v>
      </c>
    </row>
    <row r="3888" spans="3:7">
      <c r="C3888">
        <f ca="1"/>
        <v>0.51425944381551603</v>
      </c>
      <c r="D3888">
        <f ca="1"/>
        <v>-0.87207599061450614</v>
      </c>
      <c r="E3888">
        <f ca="1"/>
        <v>-0.16914024596448898</v>
      </c>
      <c r="G3888">
        <f ca="1"/>
        <v>1.053587731764644</v>
      </c>
    </row>
    <row r="3889" spans="3:7">
      <c r="C3889">
        <f ca="1"/>
        <v>-0.67673897095176683</v>
      </c>
      <c r="D3889">
        <f ca="1"/>
        <v>-0.46094650687043615</v>
      </c>
      <c r="E3889">
        <f ca="1"/>
        <v>-1.910024440816694</v>
      </c>
      <c r="G3889">
        <f ca="1"/>
        <v>4.3186406815180378</v>
      </c>
    </row>
    <row r="3890" spans="3:7">
      <c r="C3890">
        <f ca="1"/>
        <v>0.49412296403992551</v>
      </c>
      <c r="D3890">
        <f ca="1"/>
        <v>1.3664262331665262</v>
      </c>
      <c r="E3890">
        <f ca="1"/>
        <v>0.35469797615940007</v>
      </c>
      <c r="G3890">
        <f ca="1"/>
        <v>2.2370888085688376</v>
      </c>
    </row>
    <row r="3891" spans="3:7">
      <c r="C3891">
        <f ca="1"/>
        <v>-0.41034829011805807</v>
      </c>
      <c r="D3891">
        <f ca="1"/>
        <v>0.31497859977335141</v>
      </c>
      <c r="E3891">
        <f ca="1"/>
        <v>-1.644615098868152</v>
      </c>
      <c r="G3891">
        <f ca="1"/>
        <v>2.9723560609430963</v>
      </c>
    </row>
    <row r="3892" spans="3:7">
      <c r="C3892">
        <f ca="1"/>
        <v>0.63719110904212417</v>
      </c>
      <c r="D3892">
        <f ca="1"/>
        <v>0.81921133513778999</v>
      </c>
      <c r="E3892">
        <f ca="1"/>
        <v>-1.7351115463159668</v>
      </c>
      <c r="G3892">
        <f ca="1"/>
        <v>4.0877317992195579</v>
      </c>
    </row>
    <row r="3893" spans="3:7">
      <c r="C3893">
        <f ca="1"/>
        <v>-3.2847204753102925</v>
      </c>
      <c r="D3893">
        <f ca="1"/>
        <v>-0.69449456249897878</v>
      </c>
      <c r="E3893">
        <f ca="1"/>
        <v>-0.60837710373705711</v>
      </c>
      <c r="G3893">
        <f ca="1"/>
        <v>11.64183399861481</v>
      </c>
    </row>
    <row r="3894" spans="3:7">
      <c r="C3894">
        <f ca="1"/>
        <v>0.30861792553562567</v>
      </c>
      <c r="D3894">
        <f ca="1"/>
        <v>-7.7151703498976681E-2</v>
      </c>
      <c r="E3894">
        <f ca="1"/>
        <v>-0.2921520270045545</v>
      </c>
      <c r="G3894">
        <f ca="1"/>
        <v>0.18655021619757695</v>
      </c>
    </row>
    <row r="3895" spans="3:7">
      <c r="C3895">
        <f ca="1"/>
        <v>-0.20431379860992394</v>
      </c>
      <c r="D3895">
        <f ca="1"/>
        <v>-0.85163028533260099</v>
      </c>
      <c r="E3895">
        <f ca="1"/>
        <v>0.35217553720105865</v>
      </c>
      <c r="G3895">
        <f ca="1"/>
        <v>0.89104588020095821</v>
      </c>
    </row>
    <row r="3896" spans="3:7">
      <c r="C3896">
        <f ca="1"/>
        <v>0.67772228372219512</v>
      </c>
      <c r="D3896">
        <f ca="1"/>
        <v>-1.2590059819239325</v>
      </c>
      <c r="E3896">
        <f ca="1"/>
        <v>-1.4497888157045817</v>
      </c>
      <c r="G3896">
        <f ca="1"/>
        <v>4.146291166515967</v>
      </c>
    </row>
    <row r="3897" spans="3:7">
      <c r="C3897">
        <f ca="1"/>
        <v>-0.90637698765009911</v>
      </c>
      <c r="D3897">
        <f ca="1"/>
        <v>1.5686118476143052</v>
      </c>
      <c r="E3897">
        <f ca="1"/>
        <v>0.26250886021611575</v>
      </c>
      <c r="G3897">
        <f ca="1"/>
        <v>3.3509732739095961</v>
      </c>
    </row>
    <row r="3898" spans="3:7">
      <c r="C3898">
        <f ca="1"/>
        <v>0.32696985085178409</v>
      </c>
      <c r="D3898">
        <f ca="1"/>
        <v>0.69821013411485866</v>
      </c>
      <c r="E3898">
        <f ca="1"/>
        <v>1.4335372629095116</v>
      </c>
      <c r="G3898">
        <f ca="1"/>
        <v>2.6494357588968209</v>
      </c>
    </row>
    <row r="3899" spans="3:7">
      <c r="C3899">
        <f ca="1"/>
        <v>0.22208820580785363</v>
      </c>
      <c r="D3899">
        <f ca="1"/>
        <v>0.13625894291234597</v>
      </c>
      <c r="E3899">
        <f ca="1"/>
        <v>0.30575778278835197</v>
      </c>
      <c r="G3899">
        <f ca="1"/>
        <v>0.16137749241819055</v>
      </c>
    </row>
    <row r="3900" spans="3:7">
      <c r="C3900">
        <f ca="1"/>
        <v>0.78975954985881081</v>
      </c>
      <c r="D3900">
        <f ca="1"/>
        <v>5.0984665324413467E-2</v>
      </c>
      <c r="E3900">
        <f ca="1"/>
        <v>-2.1024834673244897</v>
      </c>
      <c r="G3900">
        <f ca="1"/>
        <v>5.0467563130642414</v>
      </c>
    </row>
    <row r="3901" spans="3:7">
      <c r="C3901">
        <f ca="1"/>
        <v>0.23611096878455887</v>
      </c>
      <c r="D3901">
        <f ca="1"/>
        <v>1.2443170895862417</v>
      </c>
      <c r="E3901">
        <f ca="1"/>
        <v>1.4106900206640709</v>
      </c>
      <c r="G3901">
        <f ca="1"/>
        <v>3.5941197434179548</v>
      </c>
    </row>
    <row r="3902" spans="3:7">
      <c r="C3902">
        <f ca="1"/>
        <v>0.16386431127111908</v>
      </c>
      <c r="D3902">
        <f ca="1"/>
        <v>-0.35390275355341061</v>
      </c>
      <c r="E3902">
        <f ca="1"/>
        <v>0.71842756775479855</v>
      </c>
      <c r="G3902">
        <f ca="1"/>
        <v>0.66823684159111996</v>
      </c>
    </row>
    <row r="3903" spans="3:7">
      <c r="C3903">
        <f ca="1"/>
        <v>-5.2590614646464792E-2</v>
      </c>
      <c r="D3903">
        <f ca="1"/>
        <v>0.7920883107773885</v>
      </c>
      <c r="E3903">
        <f ca="1"/>
        <v>1.1244433015444573</v>
      </c>
      <c r="G3903">
        <f ca="1"/>
        <v>1.8945424032072691</v>
      </c>
    </row>
    <row r="3904" spans="3:7">
      <c r="C3904">
        <f ca="1"/>
        <v>-0.50398981544597399</v>
      </c>
      <c r="D3904">
        <f ca="1"/>
        <v>-1.3593407902777841</v>
      </c>
      <c r="E3904">
        <f ca="1"/>
        <v>0.8412108228501004</v>
      </c>
      <c r="G3904">
        <f ca="1"/>
        <v>2.8094487666664407</v>
      </c>
    </row>
    <row r="3905" spans="3:7">
      <c r="C3905">
        <f ca="1"/>
        <v>0.90363341166277311</v>
      </c>
      <c r="D3905">
        <f ca="1"/>
        <v>-0.47980634766314129</v>
      </c>
      <c r="E3905">
        <f ca="1"/>
        <v>0.52455979326554747</v>
      </c>
      <c r="G3905">
        <f ca="1"/>
        <v>1.32193045064194</v>
      </c>
    </row>
    <row r="3906" spans="3:7">
      <c r="C3906">
        <f ca="1"/>
        <v>-0.2553785260634493</v>
      </c>
      <c r="D3906">
        <f ca="1"/>
        <v>1.0807254184164026</v>
      </c>
      <c r="E3906">
        <f ca="1"/>
        <v>1.0838050096932508</v>
      </c>
      <c r="G3906">
        <f ca="1"/>
        <v>2.4078189206218354</v>
      </c>
    </row>
    <row r="3907" spans="3:7">
      <c r="C3907">
        <f ca="1"/>
        <v>1.6071875134101661</v>
      </c>
      <c r="D3907">
        <f ca="1"/>
        <v>1.5831275257011779</v>
      </c>
      <c r="E3907">
        <f ca="1"/>
        <v>-0.78491569828969632</v>
      </c>
      <c r="G3907">
        <f ca="1"/>
        <v>5.7054371193158877</v>
      </c>
    </row>
    <row r="3908" spans="3:7">
      <c r="C3908">
        <f ca="1"/>
        <v>0.16639731226168347</v>
      </c>
      <c r="D3908">
        <f ca="1"/>
        <v>-1.7131079064523558</v>
      </c>
      <c r="E3908">
        <f ca="1"/>
        <v>-0.35767669340414571</v>
      </c>
      <c r="G3908">
        <f ca="1"/>
        <v>3.090359381682009</v>
      </c>
    </row>
    <row r="3909" spans="3:7">
      <c r="C3909">
        <f ca="1"/>
        <v>-8.7074935079849133E-2</v>
      </c>
      <c r="D3909">
        <f ca="1"/>
        <v>1.5118442811563123E-2</v>
      </c>
      <c r="E3909">
        <f ca="1"/>
        <v>1.1683248850059773</v>
      </c>
      <c r="G3909">
        <f ca="1"/>
        <v>1.3727936485564367</v>
      </c>
    </row>
    <row r="3910" spans="3:7">
      <c r="C3910">
        <f ca="1"/>
        <v>-0.96463253629569345</v>
      </c>
      <c r="D3910">
        <f ca="1"/>
        <v>1.2225884039041983</v>
      </c>
      <c r="E3910">
        <f ca="1"/>
        <v>1.2179026414330925</v>
      </c>
      <c r="G3910">
        <f ca="1"/>
        <v>3.9085251794509812</v>
      </c>
    </row>
    <row r="3911" spans="3:7">
      <c r="C3911">
        <f ca="1"/>
        <v>-0.90856378990671416</v>
      </c>
      <c r="D3911">
        <f ca="1"/>
        <v>5.2958803705056838E-2</v>
      </c>
      <c r="E3911">
        <f ca="1"/>
        <v>0.60300611101615387</v>
      </c>
      <c r="G3911">
        <f ca="1"/>
        <v>1.1919091651423486</v>
      </c>
    </row>
    <row r="3912" spans="3:7">
      <c r="C3912">
        <f ca="1"/>
        <v>1.5266287104452829</v>
      </c>
      <c r="D3912">
        <f ca="1"/>
        <v>-1.3393534432550713</v>
      </c>
      <c r="E3912">
        <f ca="1"/>
        <v>0.16268547524491589</v>
      </c>
      <c r="G3912">
        <f ca="1"/>
        <v>4.1509294293707075</v>
      </c>
    </row>
    <row r="3913" spans="3:7">
      <c r="C3913">
        <f ca="1"/>
        <v>0.47821159622075926</v>
      </c>
      <c r="D3913">
        <f ca="1"/>
        <v>1.1522521947115805</v>
      </c>
      <c r="E3913">
        <f ca="1"/>
        <v>-9.5606241524087532E-2</v>
      </c>
      <c r="G3913">
        <f ca="1"/>
        <v>1.5655120043960227</v>
      </c>
    </row>
    <row r="3914" spans="3:7">
      <c r="C3914">
        <f ca="1"/>
        <v>0.45377357152464121</v>
      </c>
      <c r="D3914">
        <f ca="1"/>
        <v>1.612130880179693</v>
      </c>
      <c r="E3914">
        <f ca="1"/>
        <v>1.7788614411179817</v>
      </c>
      <c r="G3914">
        <f ca="1"/>
        <v>5.9692244557395231</v>
      </c>
    </row>
    <row r="3915" spans="3:7">
      <c r="C3915">
        <f ca="1"/>
        <v>-0.36093344386777731</v>
      </c>
      <c r="D3915">
        <f ca="1"/>
        <v>0.90666298232452724</v>
      </c>
      <c r="E3915">
        <f ca="1"/>
        <v>1.6596169296403398</v>
      </c>
      <c r="G3915">
        <f ca="1"/>
        <v>3.7066390675686884</v>
      </c>
    </row>
    <row r="3916" spans="3:7">
      <c r="C3916">
        <f ca="1"/>
        <v>-1.3997567068538044</v>
      </c>
      <c r="D3916">
        <f ca="1"/>
        <v>-0.58210444688725194</v>
      </c>
      <c r="E3916">
        <f ca="1"/>
        <v>-9.1575473865714407E-2</v>
      </c>
      <c r="G3916">
        <f ca="1"/>
        <v>2.306550492881851</v>
      </c>
    </row>
    <row r="3917" spans="3:7">
      <c r="C3917">
        <f ca="1"/>
        <v>-0.31347768950215071</v>
      </c>
      <c r="D3917">
        <f ca="1"/>
        <v>-0.47104630516829421</v>
      </c>
      <c r="E3917">
        <f ca="1"/>
        <v>-3.942161195738076E-2</v>
      </c>
      <c r="G3917">
        <f ca="1"/>
        <v>0.32170694691762686</v>
      </c>
    </row>
    <row r="3918" spans="3:7">
      <c r="C3918">
        <f ca="1"/>
        <v>1.0786345687626611</v>
      </c>
      <c r="D3918">
        <f ca="1"/>
        <v>0.80670692044184067</v>
      </c>
      <c r="E3918">
        <f ca="1"/>
        <v>-1.2306531364640494</v>
      </c>
      <c r="G3918">
        <f ca="1"/>
        <v>3.3287357307073719</v>
      </c>
    </row>
    <row r="3919" spans="3:7">
      <c r="C3919">
        <f ca="1"/>
        <v>0.69536905833037232</v>
      </c>
      <c r="D3919">
        <f ca="1"/>
        <v>1.5357336151615999</v>
      </c>
      <c r="E3919">
        <f ca="1"/>
        <v>-1.1659345303957143</v>
      </c>
      <c r="G3919">
        <f ca="1"/>
        <v>4.2014191931896603</v>
      </c>
    </row>
    <row r="3920" spans="3:7">
      <c r="C3920">
        <f ca="1"/>
        <v>-0.20755167325303309</v>
      </c>
      <c r="D3920">
        <f ca="1"/>
        <v>-0.24503217787607931</v>
      </c>
      <c r="E3920">
        <f ca="1"/>
        <v>0.24795149763611551</v>
      </c>
      <c r="G3920">
        <f ca="1"/>
        <v>0.16459841044482099</v>
      </c>
    </row>
    <row r="3921" spans="3:7">
      <c r="C3921">
        <f ca="1"/>
        <v>-0.69151152230723012</v>
      </c>
      <c r="D3921">
        <f ca="1"/>
        <v>0.87108823633546428</v>
      </c>
      <c r="E3921">
        <f ca="1"/>
        <v>-1.5940008393726337</v>
      </c>
      <c r="G3921">
        <f ca="1"/>
        <v>3.7778215768863532</v>
      </c>
    </row>
    <row r="3922" spans="3:7">
      <c r="C3922">
        <f ca="1"/>
        <v>-0.40939121172244258</v>
      </c>
      <c r="D3922">
        <f ca="1"/>
        <v>-0.75193692906786724</v>
      </c>
      <c r="E3922">
        <f ca="1"/>
        <v>2.9150241078932989E-2</v>
      </c>
      <c r="G3922">
        <f ca="1"/>
        <v>0.73386004608654454</v>
      </c>
    </row>
    <row r="3923" spans="3:7">
      <c r="C3923">
        <f ca="1"/>
        <v>-8.4057139555157215E-2</v>
      </c>
      <c r="D3923">
        <f ca="1"/>
        <v>0.79361584636383065</v>
      </c>
      <c r="E3923">
        <f ca="1"/>
        <v>-6.2927794697123243E-2</v>
      </c>
      <c r="G3923">
        <f ca="1"/>
        <v>0.64085162165541765</v>
      </c>
    </row>
    <row r="3924" spans="3:7">
      <c r="C3924">
        <f ca="1"/>
        <v>-1.5245305393538786</v>
      </c>
      <c r="D3924">
        <f ca="1"/>
        <v>1.5543482033294524</v>
      </c>
      <c r="E3924">
        <f ca="1"/>
        <v>-0.89310647505123941</v>
      </c>
      <c r="G3924">
        <f ca="1"/>
        <v>5.5378308783945744</v>
      </c>
    </row>
    <row r="3925" spans="3:7">
      <c r="C3925">
        <f ca="1"/>
        <v>-1.4714279789636311</v>
      </c>
      <c r="D3925">
        <f ca="1"/>
        <v>1.4991201891553669</v>
      </c>
      <c r="E3925">
        <f ca="1"/>
        <v>-1.1584500164915175</v>
      </c>
      <c r="G3925">
        <f ca="1"/>
        <v>5.7544680795194161</v>
      </c>
    </row>
    <row r="3926" spans="3:7">
      <c r="C3926">
        <f ca="1"/>
        <v>-1.1104482570121346</v>
      </c>
      <c r="D3926">
        <f ca="1"/>
        <v>-0.32340814355333886</v>
      </c>
      <c r="E3926">
        <f ca="1"/>
        <v>-0.47147223267511906</v>
      </c>
      <c r="G3926">
        <f ca="1"/>
        <v>1.5599742250015662</v>
      </c>
    </row>
    <row r="3927" spans="3:7">
      <c r="C3927">
        <f ca="1"/>
        <v>0.70135415498736975</v>
      </c>
      <c r="D3927">
        <f ca="1"/>
        <v>-0.86164064115531724</v>
      </c>
      <c r="E3927">
        <f ca="1"/>
        <v>0.22054739197138257</v>
      </c>
      <c r="G3927">
        <f ca="1"/>
        <v>1.2829633973139722</v>
      </c>
    </row>
    <row r="3928" spans="3:7">
      <c r="C3928">
        <f ca="1"/>
        <v>1.3551001140829435</v>
      </c>
      <c r="D3928">
        <f ca="1"/>
        <v>0.65054251169037691</v>
      </c>
      <c r="E3928">
        <f ca="1"/>
        <v>-0.86233504449889531</v>
      </c>
      <c r="G3928">
        <f ca="1"/>
        <v>3.0031236076749424</v>
      </c>
    </row>
    <row r="3929" spans="3:7">
      <c r="C3929">
        <f ca="1"/>
        <v>0.3870685284600337</v>
      </c>
      <c r="D3929">
        <f ca="1"/>
        <v>-0.87149030452326948</v>
      </c>
      <c r="E3929">
        <f ca="1"/>
        <v>0.31003309280179786</v>
      </c>
      <c r="G3929">
        <f ca="1"/>
        <v>1.0054379152345252</v>
      </c>
    </row>
    <row r="3930" spans="3:7">
      <c r="C3930">
        <f ca="1"/>
        <v>0.59836558876536083</v>
      </c>
      <c r="D3930">
        <f ca="1"/>
        <v>-0.26683853493083831</v>
      </c>
      <c r="E3930">
        <f ca="1"/>
        <v>5.5458595740215007E-2</v>
      </c>
      <c r="G3930">
        <f ca="1"/>
        <v>0.43231983738402974</v>
      </c>
    </row>
    <row r="3931" spans="3:7">
      <c r="C3931">
        <f ca="1"/>
        <v>0.79119779858254624</v>
      </c>
      <c r="D3931">
        <f ca="1"/>
        <v>0.22146802175989141</v>
      </c>
      <c r="E3931">
        <f ca="1"/>
        <v>0.75812021175858779</v>
      </c>
      <c r="G3931">
        <f ca="1"/>
        <v>1.2497882966209932</v>
      </c>
    </row>
    <row r="3932" spans="3:7">
      <c r="C3932">
        <f ca="1"/>
        <v>6.3524490954889018E-2</v>
      </c>
      <c r="D3932">
        <f ca="1"/>
        <v>0.67384704587257016</v>
      </c>
      <c r="E3932">
        <f ca="1"/>
        <v>0.3915770894350033</v>
      </c>
      <c r="G3932">
        <f ca="1"/>
        <v>0.61143781915265594</v>
      </c>
    </row>
    <row r="3933" spans="3:7">
      <c r="C3933">
        <f ca="1"/>
        <v>-2.0898755330520631</v>
      </c>
      <c r="D3933">
        <f ca="1"/>
        <v>3.6150925456854388E-2</v>
      </c>
      <c r="E3933">
        <f ca="1"/>
        <v>2.9073456722601712E-2</v>
      </c>
      <c r="G3933">
        <f ca="1"/>
        <v>4.3697318989468332</v>
      </c>
    </row>
    <row r="3934" spans="3:7">
      <c r="C3934">
        <f ca="1"/>
        <v>1.1709018321563187</v>
      </c>
      <c r="D3934">
        <f ca="1"/>
        <v>1.4329053602222586</v>
      </c>
      <c r="E3934">
        <f ca="1"/>
        <v>0.93613584602816469</v>
      </c>
      <c r="G3934">
        <f ca="1"/>
        <v>4.3005791941195728</v>
      </c>
    </row>
    <row r="3935" spans="3:7">
      <c r="C3935">
        <f ca="1"/>
        <v>-0.73130019081035491</v>
      </c>
      <c r="D3935">
        <f ca="1"/>
        <v>-7.5620572807923295E-2</v>
      </c>
      <c r="E3935">
        <f ca="1"/>
        <v>0.40984897476008292</v>
      </c>
      <c r="G3935">
        <f ca="1"/>
        <v>0.70849462222295112</v>
      </c>
    </row>
    <row r="3936" spans="3:7">
      <c r="C3936">
        <f ca="1"/>
        <v>-0.4088907331195108</v>
      </c>
      <c r="D3936">
        <f ca="1"/>
        <v>-1.3015068849149121</v>
      </c>
      <c r="E3936">
        <f ca="1"/>
        <v>-0.61404876774589789</v>
      </c>
      <c r="G3936">
        <f ca="1"/>
        <v>2.2381676922821847</v>
      </c>
    </row>
    <row r="3937" spans="3:7">
      <c r="C3937">
        <f ca="1"/>
        <v>-0.22478811460020556</v>
      </c>
      <c r="D3937">
        <f ca="1"/>
        <v>-1.3544736692221835</v>
      </c>
      <c r="E3937">
        <f ca="1"/>
        <v>0.63280093973662221</v>
      </c>
      <c r="G3937">
        <f ca="1"/>
        <v>2.2855656464132723</v>
      </c>
    </row>
    <row r="3938" spans="3:7">
      <c r="C3938">
        <f ca="1"/>
        <v>2.8692952913468836E-2</v>
      </c>
      <c r="D3938">
        <f ca="1"/>
        <v>0.68128838276172943</v>
      </c>
      <c r="E3938">
        <f ca="1"/>
        <v>3.4813781176365778E-2</v>
      </c>
      <c r="G3938">
        <f ca="1"/>
        <v>0.46618914539278317</v>
      </c>
    </row>
    <row r="3939" spans="3:7">
      <c r="C3939">
        <f ca="1"/>
        <v>-1.826672098306765</v>
      </c>
      <c r="D3939">
        <f ca="1"/>
        <v>0.12596458742704703</v>
      </c>
      <c r="E3939">
        <f ca="1"/>
        <v>1.3312201715506913</v>
      </c>
      <c r="G3939">
        <f ca="1"/>
        <v>5.1247451771615582</v>
      </c>
    </row>
    <row r="3940" spans="3:7">
      <c r="C3940">
        <f ca="1"/>
        <v>-1.6241159541584547</v>
      </c>
      <c r="D3940">
        <f ca="1"/>
        <v>-0.14969312013472139</v>
      </c>
      <c r="E3940">
        <f ca="1"/>
        <v>-1.6227320030240846</v>
      </c>
      <c r="G3940">
        <f ca="1"/>
        <v>5.2934198164062529</v>
      </c>
    </row>
    <row r="3941" spans="3:7">
      <c r="C3941">
        <f ca="1"/>
        <v>-0.65752552725446967</v>
      </c>
      <c r="D3941">
        <f ca="1"/>
        <v>0.90664311226517313</v>
      </c>
      <c r="E3941">
        <f ca="1"/>
        <v>1.84363751569725</v>
      </c>
      <c r="G3941">
        <f ca="1"/>
        <v>4.6533408412954751</v>
      </c>
    </row>
    <row r="3942" spans="3:7">
      <c r="C3942">
        <f ca="1"/>
        <v>-1.1720777424813651</v>
      </c>
      <c r="D3942">
        <f ca="1"/>
        <v>0.45180759194327857</v>
      </c>
      <c r="E3942">
        <f ca="1"/>
        <v>-0.26789574847330266</v>
      </c>
      <c r="G3942">
        <f ca="1"/>
        <v>1.6496644666078684</v>
      </c>
    </row>
    <row r="3943" spans="3:7">
      <c r="C3943">
        <f ca="1"/>
        <v>-2.0263820942715651</v>
      </c>
      <c r="D3943">
        <f ca="1"/>
        <v>0.88594346551909109</v>
      </c>
      <c r="E3943">
        <f ca="1"/>
        <v>-0.96993546298814248</v>
      </c>
      <c r="G3943">
        <f ca="1"/>
        <v>5.8318950184424132</v>
      </c>
    </row>
    <row r="3944" spans="3:7">
      <c r="C3944">
        <f ca="1"/>
        <v>0.82457590811299919</v>
      </c>
      <c r="D3944">
        <f ca="1"/>
        <v>-0.67138094103768886</v>
      </c>
      <c r="E3944">
        <f ca="1"/>
        <v>-0.55533779434542474</v>
      </c>
      <c r="G3944">
        <f ca="1"/>
        <v>1.4390778620574713</v>
      </c>
    </row>
    <row r="3945" spans="3:7">
      <c r="C3945">
        <f ca="1"/>
        <v>1.2775235892735917</v>
      </c>
      <c r="D3945">
        <f ca="1"/>
        <v>1.5859507477300725</v>
      </c>
      <c r="E3945">
        <f ca="1"/>
        <v>-7.2129151132878405E-2</v>
      </c>
      <c r="G3945">
        <f ca="1"/>
        <v>4.1525089098192058</v>
      </c>
    </row>
    <row r="3946" spans="3:7">
      <c r="C3946">
        <f ca="1"/>
        <v>-0.77362199727122483</v>
      </c>
      <c r="D3946">
        <f ca="1"/>
        <v>-4.9624477746392101E-2</v>
      </c>
      <c r="E3946">
        <f ca="1"/>
        <v>-0.87526935227326663</v>
      </c>
      <c r="G3946">
        <f ca="1"/>
        <v>1.3670500224823849</v>
      </c>
    </row>
    <row r="3947" spans="3:7">
      <c r="C3947">
        <f ca="1"/>
        <v>-0.60138819935287469</v>
      </c>
      <c r="D3947">
        <f ca="1"/>
        <v>-0.7284369864915361</v>
      </c>
      <c r="E3947">
        <f ca="1"/>
        <v>0.7144769790110761</v>
      </c>
      <c r="G3947">
        <f ca="1"/>
        <v>1.402765563146557</v>
      </c>
    </row>
    <row r="3948" spans="3:7">
      <c r="C3948">
        <f ca="1"/>
        <v>-1.5064377114440561</v>
      </c>
      <c r="D3948">
        <f ca="1"/>
        <v>-1.1511555322188447</v>
      </c>
      <c r="E3948">
        <f ca="1"/>
        <v>9.4305200061247818E-2</v>
      </c>
      <c r="G3948">
        <f ca="1"/>
        <v>3.6034071085774491</v>
      </c>
    </row>
    <row r="3949" spans="3:7">
      <c r="C3949">
        <f ca="1"/>
        <v>-1.2490243961291498</v>
      </c>
      <c r="D3949">
        <f ca="1"/>
        <v>0.7541302571936771</v>
      </c>
      <c r="E3949">
        <f ca="1"/>
        <v>1.9095022493033134</v>
      </c>
      <c r="G3949">
        <f ca="1"/>
        <v>5.7749732270352023</v>
      </c>
    </row>
    <row r="3950" spans="3:7">
      <c r="C3950">
        <f ca="1"/>
        <v>0.32032389223811036</v>
      </c>
      <c r="D3950">
        <f ca="1"/>
        <v>-0.13867005588446715</v>
      </c>
      <c r="E3950">
        <f ca="1"/>
        <v>1.0776066067464534</v>
      </c>
      <c r="G3950">
        <f ca="1"/>
        <v>1.2830727792411791</v>
      </c>
    </row>
    <row r="3951" spans="3:7">
      <c r="C3951">
        <f ca="1"/>
        <v>-0.90559169644389892</v>
      </c>
      <c r="D3951">
        <f ca="1"/>
        <v>-0.71381632104827997</v>
      </c>
      <c r="E3951">
        <f ca="1"/>
        <v>1.2164673385432765</v>
      </c>
      <c r="G3951">
        <f ca="1"/>
        <v>2.8094228466056022</v>
      </c>
    </row>
    <row r="3952" spans="3:7">
      <c r="C3952">
        <f ca="1"/>
        <v>-0.87023869507395324</v>
      </c>
      <c r="D3952">
        <f ca="1"/>
        <v>0.49263934504820733</v>
      </c>
      <c r="E3952">
        <f ca="1"/>
        <v>-2.0516016280769178</v>
      </c>
      <c r="G3952">
        <f ca="1"/>
        <v>5.2090781510214041</v>
      </c>
    </row>
    <row r="3953" spans="3:7">
      <c r="C3953">
        <f ca="1"/>
        <v>-1.3613217996486915</v>
      </c>
      <c r="D3953">
        <f ca="1"/>
        <v>1.79020554964749</v>
      </c>
      <c r="E3953">
        <f ca="1"/>
        <v>0.60003921868621657</v>
      </c>
      <c r="G3953">
        <f ca="1"/>
        <v>5.4180800161489895</v>
      </c>
    </row>
    <row r="3954" spans="3:7">
      <c r="C3954">
        <f ca="1"/>
        <v>0.72222955995584182</v>
      </c>
      <c r="D3954">
        <f ca="1"/>
        <v>-0.13438101564539323</v>
      </c>
      <c r="E3954">
        <f ca="1"/>
        <v>-0.83409106415415324</v>
      </c>
      <c r="G3954">
        <f ca="1"/>
        <v>1.235381697941704</v>
      </c>
    </row>
    <row r="3955" spans="3:7">
      <c r="C3955">
        <f ca="1"/>
        <v>-0.13492193260077026</v>
      </c>
      <c r="D3955">
        <f ca="1"/>
        <v>-0.35315840138750648</v>
      </c>
      <c r="E3955">
        <f ca="1"/>
        <v>-0.56823604161446317</v>
      </c>
      <c r="G3955">
        <f ca="1"/>
        <v>0.46581698335697985</v>
      </c>
    </row>
    <row r="3956" spans="3:7">
      <c r="C3956">
        <f ca="1"/>
        <v>-0.81850996862660108</v>
      </c>
      <c r="D3956">
        <f ca="1"/>
        <v>-0.94844539808572115</v>
      </c>
      <c r="E3956">
        <f ca="1"/>
        <v>-2.4696531759109762E-2</v>
      </c>
      <c r="G3956">
        <f ca="1"/>
        <v>1.5701171605720303</v>
      </c>
    </row>
    <row r="3957" spans="3:7">
      <c r="C3957">
        <f ca="1"/>
        <v>0.70355011482093399</v>
      </c>
      <c r="D3957">
        <f ca="1"/>
        <v>1.1226714549907635</v>
      </c>
      <c r="E3957">
        <f ca="1"/>
        <v>-2.5006291868950514</v>
      </c>
      <c r="G3957">
        <f ca="1"/>
        <v>8.0085202902670325</v>
      </c>
    </row>
    <row r="3958" spans="3:7">
      <c r="C3958">
        <f ca="1"/>
        <v>1.1256224626307325</v>
      </c>
      <c r="D3958">
        <f ca="1"/>
        <v>-1.3916068569610422</v>
      </c>
      <c r="E3958">
        <f ca="1"/>
        <v>1.4295208781502571</v>
      </c>
      <c r="G3958">
        <f ca="1"/>
        <v>5.2471255137873474</v>
      </c>
    </row>
    <row r="3959" spans="3:7">
      <c r="C3959">
        <f ca="1"/>
        <v>-9.6469495389823384E-2</v>
      </c>
      <c r="D3959">
        <f ca="1"/>
        <v>-2.1179260253324403</v>
      </c>
      <c r="E3959">
        <f ca="1"/>
        <v>-0.3057706513347801</v>
      </c>
      <c r="G3959">
        <f ca="1"/>
        <v>4.588412703538931</v>
      </c>
    </row>
    <row r="3960" spans="3:7">
      <c r="C3960">
        <f ca="1"/>
        <v>-0.11596621661087959</v>
      </c>
      <c r="D3960">
        <f ca="1"/>
        <v>8.3735266583464543E-2</v>
      </c>
      <c r="E3960">
        <f ca="1"/>
        <v>1.0048855208162635</v>
      </c>
      <c r="G3960">
        <f ca="1"/>
        <v>1.0302546682110185</v>
      </c>
    </row>
    <row r="3961" spans="3:7">
      <c r="C3961">
        <f ca="1"/>
        <v>-6.4526057703903253E-2</v>
      </c>
      <c r="D3961">
        <f ca="1"/>
        <v>-0.20836725327889841</v>
      </c>
      <c r="E3961">
        <f ca="1"/>
        <v>1.0705153509716487</v>
      </c>
      <c r="G3961">
        <f ca="1"/>
        <v>1.1935836410277525</v>
      </c>
    </row>
    <row r="3962" spans="3:7">
      <c r="C3962">
        <f ca="1"/>
        <v>0.85585817889855831</v>
      </c>
      <c r="D3962">
        <f ca="1"/>
        <v>0.19313778826809952</v>
      </c>
      <c r="E3962">
        <f ca="1"/>
        <v>-0.33053985625592075</v>
      </c>
      <c r="G3962">
        <f ca="1"/>
        <v>0.87905202421833462</v>
      </c>
    </row>
    <row r="3963" spans="3:7">
      <c r="C3963">
        <f ca="1"/>
        <v>0.2746971215224277</v>
      </c>
      <c r="D3963">
        <f ca="1"/>
        <v>1.2678742531110319</v>
      </c>
      <c r="E3963">
        <f ca="1"/>
        <v>-2.650928137443154E-2</v>
      </c>
      <c r="G3963">
        <f ca="1"/>
        <v>1.6836663722735528</v>
      </c>
    </row>
    <row r="3964" spans="3:7">
      <c r="C3964">
        <f ca="1"/>
        <v>0.53189554252443816</v>
      </c>
      <c r="D3964">
        <f ca="1"/>
        <v>0.66472088127749474</v>
      </c>
      <c r="E3964">
        <f ca="1"/>
        <v>2.096080607647243E-3</v>
      </c>
      <c r="G3964">
        <f ca="1"/>
        <v>0.72477111171760944</v>
      </c>
    </row>
    <row r="3965" spans="3:7">
      <c r="C3965">
        <f ca="1"/>
        <v>-0.27056090283381784</v>
      </c>
      <c r="D3965">
        <f ca="1"/>
        <v>0.54003514199964331</v>
      </c>
      <c r="E3965">
        <f ca="1"/>
        <v>1.5036763331085712</v>
      </c>
      <c r="G3965">
        <f ca="1"/>
        <v>2.6258836714876641</v>
      </c>
    </row>
    <row r="3966" spans="3:7">
      <c r="C3966">
        <f ca="1"/>
        <v>1.0725145310608541</v>
      </c>
      <c r="D3966">
        <f ca="1"/>
        <v>0.18753588630456938</v>
      </c>
      <c r="E3966">
        <f ca="1"/>
        <v>1.9462494514194649E-2</v>
      </c>
      <c r="G3966">
        <f ca="1"/>
        <v>1.1858359166814394</v>
      </c>
    </row>
    <row r="3967" spans="3:7">
      <c r="C3967">
        <f ca="1"/>
        <v>0.44867312042593327</v>
      </c>
      <c r="D3967">
        <f ca="1"/>
        <v>0.60729090594343071</v>
      </c>
      <c r="E3967">
        <f ca="1"/>
        <v>-0.76761900256021054</v>
      </c>
      <c r="G3967">
        <f ca="1"/>
        <v>1.1593487465258694</v>
      </c>
    </row>
    <row r="3968" spans="3:7">
      <c r="C3968">
        <f ca="1"/>
        <v>-1.4626383509114982</v>
      </c>
      <c r="D3968">
        <f ca="1"/>
        <v>-0.78948191906223464</v>
      </c>
      <c r="E3968">
        <f ca="1"/>
        <v>0.315778388582303</v>
      </c>
      <c r="G3968">
        <f ca="1"/>
        <v>2.8623086367789319</v>
      </c>
    </row>
    <row r="3969" spans="3:7">
      <c r="C3969">
        <f ca="1"/>
        <v>1.2045448158761241</v>
      </c>
      <c r="D3969">
        <f ca="1"/>
        <v>0.3618313600122588</v>
      </c>
      <c r="E3969">
        <f ca="1"/>
        <v>-0.77386203783416019</v>
      </c>
      <c r="G3969">
        <f ca="1"/>
        <v>2.1807126001432056</v>
      </c>
    </row>
    <row r="3970" spans="3:7">
      <c r="C3970">
        <f ca="1"/>
        <v>-1.4836155939187816</v>
      </c>
      <c r="D3970">
        <f ca="1"/>
        <v>1.0537366293777981</v>
      </c>
      <c r="E3970">
        <f ca="1"/>
        <v>0.69294917718503568</v>
      </c>
      <c r="G3970">
        <f ca="1"/>
        <v>3.7916546767728803</v>
      </c>
    </row>
    <row r="3971" spans="3:7">
      <c r="C3971">
        <f ca="1"/>
        <v>0.47428619191412419</v>
      </c>
      <c r="D3971">
        <f ca="1"/>
        <v>-0.89793256482211958</v>
      </c>
      <c r="E3971">
        <f ca="1"/>
        <v>-0.44122035319951258</v>
      </c>
      <c r="G3971">
        <f ca="1"/>
        <v>1.225905682885934</v>
      </c>
    </row>
    <row r="3972" spans="3:7">
      <c r="C3972">
        <f ca="1"/>
        <v>0.27392755224351761</v>
      </c>
      <c r="D3972">
        <f ca="1"/>
        <v>0.43807730650575505</v>
      </c>
      <c r="E3972">
        <f ca="1"/>
        <v>0.27732708391710659</v>
      </c>
      <c r="G3972">
        <f ca="1"/>
        <v>0.34385834182742819</v>
      </c>
    </row>
    <row r="3973" spans="3:7">
      <c r="C3973">
        <f ca="1"/>
        <v>-0.72244881393990357</v>
      </c>
      <c r="D3973">
        <f ca="1"/>
        <v>-1.8900303704018286</v>
      </c>
      <c r="E3973">
        <f ca="1"/>
        <v>-0.33170167057120181</v>
      </c>
      <c r="G3973">
        <f ca="1"/>
        <v>4.2041730880641728</v>
      </c>
    </row>
    <row r="3974" spans="3:7">
      <c r="C3974">
        <f ca="1"/>
        <v>0.38130464871446929</v>
      </c>
      <c r="D3974">
        <f ca="1"/>
        <v>-0.86852686558578618</v>
      </c>
      <c r="E3974">
        <f ca="1"/>
        <v>-1.7716590562288652</v>
      </c>
      <c r="G3974">
        <f ca="1"/>
        <v>4.0385079628932887</v>
      </c>
    </row>
    <row r="3975" spans="3:7">
      <c r="C3975">
        <f ca="1"/>
        <v>0.56880423313577277</v>
      </c>
      <c r="D3975">
        <f ca="1"/>
        <v>0.34839567248739306</v>
      </c>
      <c r="E3975">
        <f ca="1"/>
        <v>1.3785618463620299</v>
      </c>
      <c r="G3975">
        <f ca="1"/>
        <v>2.3453505644862065</v>
      </c>
    </row>
    <row r="3976" spans="3:7">
      <c r="C3976">
        <f ca="1"/>
        <v>1.1868918445948615</v>
      </c>
      <c r="D3976">
        <f ca="1"/>
        <v>7.1001599458676776E-2</v>
      </c>
      <c r="E3976">
        <f ca="1"/>
        <v>0.71163781154561401</v>
      </c>
      <c r="G3976">
        <f ca="1"/>
        <v>1.9201818527129142</v>
      </c>
    </row>
    <row r="3977" spans="3:7">
      <c r="C3977">
        <f ca="1"/>
        <v>0.28325404864630671</v>
      </c>
      <c r="D3977">
        <f ca="1"/>
        <v>-0.82938704007300701</v>
      </c>
      <c r="E3977">
        <f ca="1"/>
        <v>-0.40068166485462708</v>
      </c>
      <c r="G3977">
        <f ca="1"/>
        <v>0.92866151486626369</v>
      </c>
    </row>
    <row r="3978" spans="3:7">
      <c r="C3978">
        <f ca="1"/>
        <v>0.80612316280884699</v>
      </c>
      <c r="D3978">
        <f ca="1"/>
        <v>0.88897821097735863</v>
      </c>
      <c r="E3978">
        <f ca="1"/>
        <v>1.5057115179921297</v>
      </c>
      <c r="G3978">
        <f ca="1"/>
        <v>3.7072839886236073</v>
      </c>
    </row>
    <row r="3979" spans="3:7">
      <c r="C3979">
        <f ca="1"/>
        <v>0.46040761216518139</v>
      </c>
      <c r="D3979">
        <f ca="1"/>
        <v>0.39626367057467865</v>
      </c>
      <c r="E3979">
        <f ca="1"/>
        <v>-0.83300108630093472</v>
      </c>
      <c r="G3979">
        <f ca="1"/>
        <v>1.0628908757354989</v>
      </c>
    </row>
    <row r="3980" spans="3:7">
      <c r="C3980">
        <f ca="1"/>
        <v>-0.45378305306805156</v>
      </c>
      <c r="D3980">
        <f ca="1"/>
        <v>-1.11276181669052</v>
      </c>
      <c r="E3980">
        <f ca="1"/>
        <v>-0.16333294555382463</v>
      </c>
      <c r="G3980">
        <f ca="1"/>
        <v>1.4708355710394372</v>
      </c>
    </row>
    <row r="3981" spans="3:7">
      <c r="C3981">
        <f ca="1"/>
        <v>0.69932893451007927</v>
      </c>
      <c r="D3981">
        <f ca="1"/>
        <v>1.3976295015287088</v>
      </c>
      <c r="E3981">
        <f ca="1"/>
        <v>-0.61498177243049323</v>
      </c>
      <c r="G3981">
        <f ca="1"/>
        <v>2.8206317626081407</v>
      </c>
    </row>
    <row r="3982" spans="3:7">
      <c r="C3982">
        <f ca="1"/>
        <v>-0.76910364483371685</v>
      </c>
      <c r="D3982">
        <f ca="1"/>
        <v>1.9060890953829108</v>
      </c>
      <c r="E3982">
        <f ca="1"/>
        <v>0.4039375623017612</v>
      </c>
      <c r="G3982">
        <f ca="1"/>
        <v>4.3878616102724406</v>
      </c>
    </row>
    <row r="3983" spans="3:7">
      <c r="C3983">
        <f ca="1"/>
        <v>-0.26707542436462489</v>
      </c>
      <c r="D3983">
        <f ca="1"/>
        <v>-0.74541176463722847</v>
      </c>
      <c r="E3983">
        <f ca="1"/>
        <v>0.44862337373977523</v>
      </c>
      <c r="G3983">
        <f ca="1"/>
        <v>0.82823091262478954</v>
      </c>
    </row>
    <row r="3984" spans="3:7">
      <c r="C3984">
        <f ca="1"/>
        <v>0.97104911386978776</v>
      </c>
      <c r="D3984">
        <f ca="1"/>
        <v>0.72718218339198804</v>
      </c>
      <c r="E3984">
        <f ca="1"/>
        <v>6.7112304609849238E-2</v>
      </c>
      <c r="G3984">
        <f ca="1"/>
        <v>1.476234370820084</v>
      </c>
    </row>
    <row r="3985" spans="3:7">
      <c r="C3985">
        <f ca="1"/>
        <v>-0.29484187689652369</v>
      </c>
      <c r="D3985">
        <f ca="1"/>
        <v>-0.72081061265813484</v>
      </c>
      <c r="E3985">
        <f ca="1"/>
        <v>-2.2559844769486683</v>
      </c>
      <c r="G3985">
        <f ca="1"/>
        <v>5.6959656319258167</v>
      </c>
    </row>
    <row r="3986" spans="3:7">
      <c r="C3986">
        <f ca="1"/>
        <v>-0.51143961044482422</v>
      </c>
      <c r="D3986">
        <f ca="1"/>
        <v>-2.2846081848705047</v>
      </c>
      <c r="E3986">
        <f ca="1"/>
        <v>2.0351098794798723</v>
      </c>
      <c r="G3986">
        <f ca="1"/>
        <v>9.6226772550658364</v>
      </c>
    </row>
    <row r="3987" spans="3:7">
      <c r="C3987">
        <f ca="1"/>
        <v>0.30888949367074703</v>
      </c>
      <c r="D3987">
        <f ca="1"/>
        <v>-0.26225135649120923</v>
      </c>
      <c r="E3987">
        <f ca="1"/>
        <v>6.3426675957263992E-2</v>
      </c>
      <c r="G3987">
        <f ca="1"/>
        <v>0.16821143650463755</v>
      </c>
    </row>
    <row r="3988" spans="3:7">
      <c r="C3988">
        <f ca="1"/>
        <v>1.2583806077785693</v>
      </c>
      <c r="D3988">
        <f ca="1"/>
        <v>-0.22169350955745115</v>
      </c>
      <c r="E3988">
        <f ca="1"/>
        <v>-1.9779296254036602</v>
      </c>
      <c r="G3988">
        <f ca="1"/>
        <v>5.5448753692625248</v>
      </c>
    </row>
    <row r="3989" spans="3:7">
      <c r="C3989">
        <f ca="1"/>
        <v>-1.6738457022495901</v>
      </c>
      <c r="D3989">
        <f ca="1"/>
        <v>-1.3859904843217399</v>
      </c>
      <c r="E3989">
        <f ca="1"/>
        <v>-2.3936987605751359</v>
      </c>
      <c r="G3989">
        <f ca="1"/>
        <v>10.452522813948775</v>
      </c>
    </row>
    <row r="3990" spans="3:7">
      <c r="C3990">
        <f ca="1"/>
        <v>0.88146741483458468</v>
      </c>
      <c r="D3990">
        <f ca="1"/>
        <v>0.65808584618467902</v>
      </c>
      <c r="E3990">
        <f ca="1"/>
        <v>-1.0853031670133815</v>
      </c>
      <c r="G3990">
        <f ca="1"/>
        <v>2.3879447486930467</v>
      </c>
    </row>
    <row r="3991" spans="3:7">
      <c r="C3991">
        <f ca="1"/>
        <v>-0.31175784004419071</v>
      </c>
      <c r="D3991">
        <f ca="1"/>
        <v>0.60636395215493022</v>
      </c>
      <c r="E3991">
        <f ca="1"/>
        <v>1.0215105083859048</v>
      </c>
      <c r="G3991">
        <f ca="1"/>
        <v>1.5083539120447955</v>
      </c>
    </row>
    <row r="3992" spans="3:7">
      <c r="C3992">
        <f ca="1"/>
        <v>0.15207038270701964</v>
      </c>
      <c r="D3992">
        <f ca="1"/>
        <v>1.3178961595599712</v>
      </c>
      <c r="E3992">
        <f ca="1"/>
        <v>-8.5807582452880435E-2</v>
      </c>
      <c r="G3992">
        <f ca="1"/>
        <v>1.7673386298859883</v>
      </c>
    </row>
    <row r="3993" spans="3:7">
      <c r="C3993">
        <f ca="1"/>
        <v>0.89427680234319928</v>
      </c>
      <c r="D3993">
        <f ca="1"/>
        <v>0.60024651544670771</v>
      </c>
      <c r="E3993">
        <f ca="1"/>
        <v>-0.21081591389741897</v>
      </c>
      <c r="G3993">
        <f ca="1"/>
        <v>1.2044702280674962</v>
      </c>
    </row>
    <row r="3994" spans="3:7">
      <c r="C3994">
        <f ca="1"/>
        <v>-0.48081488035325776</v>
      </c>
      <c r="D3994">
        <f ca="1"/>
        <v>1.5313400691281832E-3</v>
      </c>
      <c r="E3994">
        <f ca="1"/>
        <v>0.52412956414803524</v>
      </c>
      <c r="G3994">
        <f ca="1"/>
        <v>0.5058970941855343</v>
      </c>
    </row>
    <row r="3995" spans="3:7">
      <c r="C3995">
        <f ca="1"/>
        <v>-0.79141311849625673</v>
      </c>
      <c r="D3995">
        <f ca="1"/>
        <v>-1.6458601573616558</v>
      </c>
      <c r="E3995">
        <f ca="1"/>
        <v>-0.74462158393254496</v>
      </c>
      <c r="G3995">
        <f ca="1"/>
        <v>3.8896516849767164</v>
      </c>
    </row>
    <row r="3996" spans="3:7">
      <c r="C3996">
        <f ca="1"/>
        <v>-0.13293587928112655</v>
      </c>
      <c r="D3996">
        <f ca="1"/>
        <v>0.80470343652070719</v>
      </c>
      <c r="E3996">
        <f ca="1"/>
        <v>0.21228472351154162</v>
      </c>
      <c r="G3996">
        <f ca="1"/>
        <v>0.71028437258485377</v>
      </c>
    </row>
    <row r="3997" spans="3:7">
      <c r="C3997">
        <f ca="1"/>
        <v>-1.0630428076421488</v>
      </c>
      <c r="D3997">
        <f ca="1"/>
        <v>-0.77247008844875087</v>
      </c>
      <c r="E3997">
        <f ca="1"/>
        <v>0.14043768543997495</v>
      </c>
      <c r="G3997">
        <f ca="1"/>
        <v>1.7464927919194608</v>
      </c>
    </row>
    <row r="3998" spans="3:7">
      <c r="C3998">
        <f ca="1"/>
        <v>-0.53523144632649411</v>
      </c>
      <c r="D3998">
        <f ca="1"/>
        <v>-0.48726351539323742</v>
      </c>
      <c r="E3998">
        <f ca="1"/>
        <v>0.92525010774195493</v>
      </c>
      <c r="G3998">
        <f ca="1"/>
        <v>1.3799861964466256</v>
      </c>
    </row>
    <row r="3999" spans="3:7">
      <c r="C3999">
        <f ca="1"/>
        <v>-1.1770605586734026</v>
      </c>
      <c r="D3999">
        <f ca="1"/>
        <v>1.1014717554413742</v>
      </c>
      <c r="E3999">
        <f ca="1"/>
        <v>1.4941310267814925</v>
      </c>
      <c r="G3999">
        <f ca="1"/>
        <v>4.8311391120107618</v>
      </c>
    </row>
    <row r="4000" spans="3:7">
      <c r="C4000">
        <f ca="1"/>
        <v>-0.28364767654637085</v>
      </c>
      <c r="D4000">
        <f ca="1"/>
        <v>1.178976792122217</v>
      </c>
      <c r="E4000">
        <f ca="1"/>
        <v>-5.3005419009306921E-2</v>
      </c>
      <c r="G4000">
        <f ca="1"/>
        <v>1.4732518552173</v>
      </c>
    </row>
    <row r="4001" spans="3:7">
      <c r="C4001">
        <f ca="1"/>
        <v>1.1013260131752356</v>
      </c>
      <c r="D4001">
        <f ca="1"/>
        <v>-0.68056268006394482</v>
      </c>
      <c r="E4001">
        <f ca="1"/>
        <v>0.94241320358629854</v>
      </c>
      <c r="G4001">
        <f ca="1"/>
        <v>2.5642271950860689</v>
      </c>
    </row>
    <row r="4002" spans="3:7">
      <c r="C4002">
        <f ca="1"/>
        <v>-1.0493030617894472</v>
      </c>
      <c r="D4002">
        <f ca="1"/>
        <v>-0.17685594347026129</v>
      </c>
      <c r="E4002">
        <f ca="1"/>
        <v>-0.66271217833453544</v>
      </c>
      <c r="G4002">
        <f ca="1"/>
        <v>1.5715023715343699</v>
      </c>
    </row>
    <row r="4003" spans="3:7">
      <c r="C4003">
        <f ca="1"/>
        <v>1.2101717308132642</v>
      </c>
      <c r="D4003">
        <f ca="1"/>
        <v>0.53015407551027771</v>
      </c>
      <c r="E4003">
        <f ca="1"/>
        <v>-0.58160374353499134</v>
      </c>
      <c r="G4003">
        <f ca="1"/>
        <v>2.0838418763336453</v>
      </c>
    </row>
    <row r="4004" spans="3:7">
      <c r="C4004">
        <f ca="1"/>
        <v>-0.31568209559049082</v>
      </c>
      <c r="D4004">
        <f ca="1"/>
        <v>-0.41414738432317821</v>
      </c>
      <c r="E4004">
        <f ca="1"/>
        <v>1.5248192154024387</v>
      </c>
      <c r="G4004">
        <f ca="1"/>
        <v>2.5962468810786428</v>
      </c>
    </row>
    <row r="4005" spans="3:7">
      <c r="C4005">
        <f ca="1"/>
        <v>1.1402522511796971</v>
      </c>
      <c r="D4005">
        <f ca="1"/>
        <v>0.1527460555096023</v>
      </c>
      <c r="E4005">
        <f ca="1"/>
        <v>9.04391158217282E-2</v>
      </c>
      <c r="G4005">
        <f ca="1"/>
        <v>1.3316857874647254</v>
      </c>
    </row>
    <row r="4006" spans="3:7">
      <c r="C4006">
        <f ca="1"/>
        <v>0.28235544978077204</v>
      </c>
      <c r="D4006">
        <f ca="1"/>
        <v>0.41104508195434075</v>
      </c>
      <c r="E4006">
        <f ca="1"/>
        <v>-0.48246411342965118</v>
      </c>
      <c r="G4006">
        <f ca="1"/>
        <v>0.48145428016721209</v>
      </c>
    </row>
    <row r="4007" spans="3:7">
      <c r="C4007">
        <f ca="1"/>
        <v>0.72763998135322139</v>
      </c>
      <c r="D4007">
        <f ca="1"/>
        <v>0.86363630368427335</v>
      </c>
      <c r="E4007">
        <f ca="1"/>
        <v>0.97424346001498341</v>
      </c>
      <c r="G4007">
        <f ca="1"/>
        <v>2.2244779268871175</v>
      </c>
    </row>
    <row r="4008" spans="3:7">
      <c r="C4008">
        <f ca="1"/>
        <v>0.37204076230896599</v>
      </c>
      <c r="D4008">
        <f ca="1"/>
        <v>-0.21109851115213221</v>
      </c>
      <c r="E4008">
        <f ca="1"/>
        <v>-0.36272698423831423</v>
      </c>
      <c r="G4008">
        <f ca="1"/>
        <v>0.31454777532470568</v>
      </c>
    </row>
    <row r="4009" spans="3:7">
      <c r="C4009">
        <f ca="1"/>
        <v>-0.79129817441575678</v>
      </c>
      <c r="D4009">
        <f ca="1"/>
        <v>-0.15370201957038065</v>
      </c>
      <c r="E4009">
        <f ca="1"/>
        <v>-1.8940620333413616</v>
      </c>
      <c r="G4009">
        <f ca="1"/>
        <v>4.2372480977989362</v>
      </c>
    </row>
    <row r="4010" spans="3:7">
      <c r="C4010">
        <f ca="1"/>
        <v>0.77388697087709168</v>
      </c>
      <c r="D4010">
        <f ca="1"/>
        <v>-0.57101576079322724</v>
      </c>
      <c r="E4010">
        <f ca="1"/>
        <v>1.295272236298437</v>
      </c>
      <c r="G4010">
        <f ca="1"/>
        <v>2.6026902088931427</v>
      </c>
    </row>
    <row r="4011" spans="3:7">
      <c r="C4011">
        <f ca="1"/>
        <v>0.4927714951785338</v>
      </c>
      <c r="D4011">
        <f ca="1"/>
        <v>1.3494223645077854</v>
      </c>
      <c r="E4011">
        <f ca="1"/>
        <v>0.93288228885280666</v>
      </c>
      <c r="G4011">
        <f ca="1"/>
        <v>2.9340338291495214</v>
      </c>
    </row>
    <row r="4012" spans="3:7">
      <c r="C4012">
        <f ca="1"/>
        <v>-0.30263061259681812</v>
      </c>
      <c r="D4012">
        <f ca="1"/>
        <v>-0.94529078729644578</v>
      </c>
      <c r="E4012">
        <f ca="1"/>
        <v>-0.70746599236339436</v>
      </c>
      <c r="G4012">
        <f ca="1"/>
        <v>1.4856680905789821</v>
      </c>
    </row>
    <row r="4013" spans="3:7">
      <c r="C4013">
        <f ca="1"/>
        <v>-0.3951661369806645</v>
      </c>
      <c r="D4013">
        <f ca="1"/>
        <v>-0.90130383546884207</v>
      </c>
      <c r="E4013">
        <f ca="1"/>
        <v>0.6758183139433831</v>
      </c>
      <c r="G4013">
        <f ca="1"/>
        <v>1.425235273108344</v>
      </c>
    </row>
    <row r="4014" spans="3:7">
      <c r="C4014">
        <f ca="1"/>
        <v>-0.71732014875569672</v>
      </c>
      <c r="D4014">
        <f ca="1"/>
        <v>-1.0731593318461525</v>
      </c>
      <c r="E4014">
        <f ca="1"/>
        <v>0.8832893074779774</v>
      </c>
      <c r="G4014">
        <f ca="1"/>
        <v>2.4464191480443001</v>
      </c>
    </row>
    <row r="4015" spans="3:7">
      <c r="C4015">
        <f ca="1"/>
        <v>-1.9224828279244682E-2</v>
      </c>
      <c r="D4015">
        <f ca="1"/>
        <v>1.2489091554792475</v>
      </c>
      <c r="E4015">
        <f ca="1"/>
        <v>1.4416046428865164</v>
      </c>
      <c r="G4015">
        <f ca="1"/>
        <v>3.6383676190542138</v>
      </c>
    </row>
    <row r="4016" spans="3:7">
      <c r="C4016">
        <f ca="1"/>
        <v>-2.3603307476186202</v>
      </c>
      <c r="D4016">
        <f ca="1"/>
        <v>-0.28617653472366128</v>
      </c>
      <c r="E4016">
        <f ca="1"/>
        <v>1.2830337758247023</v>
      </c>
      <c r="G4016">
        <f ca="1"/>
        <v>7.2992339170873102</v>
      </c>
    </row>
    <row r="4017" spans="3:7">
      <c r="C4017">
        <f ca="1"/>
        <v>1.6942843150354994</v>
      </c>
      <c r="D4017">
        <f ca="1"/>
        <v>0.15349989079910775</v>
      </c>
      <c r="E4017">
        <f ca="1"/>
        <v>5.8926377181970614E-2</v>
      </c>
      <c r="G4017">
        <f ca="1"/>
        <v>2.8976338745784416</v>
      </c>
    </row>
    <row r="4018" spans="3:7">
      <c r="C4018">
        <f ca="1"/>
        <v>0.22807703233179452</v>
      </c>
      <c r="D4018">
        <f ca="1"/>
        <v>-0.83151791383842266</v>
      </c>
      <c r="E4018">
        <f ca="1"/>
        <v>9.3610150167864309E-2</v>
      </c>
      <c r="G4018">
        <f ca="1"/>
        <v>0.75220403392593094</v>
      </c>
    </row>
    <row r="4019" spans="3:7">
      <c r="C4019">
        <f ca="1"/>
        <v>-0.56953003744771702</v>
      </c>
      <c r="D4019">
        <f ca="1"/>
        <v>-0.60427668034410875</v>
      </c>
      <c r="E4019">
        <f ca="1"/>
        <v>-0.82850014768460567</v>
      </c>
      <c r="G4019">
        <f ca="1"/>
        <v>1.3759272646763074</v>
      </c>
    </row>
    <row r="4020" spans="3:7">
      <c r="C4020">
        <f ca="1"/>
        <v>0.28843968380555346</v>
      </c>
      <c r="D4020">
        <f ca="1"/>
        <v>-0.2769826167829178</v>
      </c>
      <c r="E4020">
        <f ca="1"/>
        <v>1.6790674281951843</v>
      </c>
      <c r="G4020">
        <f ca="1"/>
        <v>2.9791842496197507</v>
      </c>
    </row>
    <row r="4021" spans="3:7">
      <c r="C4021">
        <f ca="1"/>
        <v>-0.87879938016697279</v>
      </c>
      <c r="D4021">
        <f ca="1"/>
        <v>-0.52628665522651508</v>
      </c>
      <c r="E4021">
        <f ca="1"/>
        <v>4.0134878733236727E-2</v>
      </c>
      <c r="G4021">
        <f ca="1"/>
        <v>1.0508768025422999</v>
      </c>
    </row>
    <row r="4022" spans="3:7">
      <c r="C4022">
        <f ca="1"/>
        <v>-2.2416538186871673</v>
      </c>
      <c r="D4022">
        <f ca="1"/>
        <v>-0.90950921092707382</v>
      </c>
      <c r="E4022">
        <f ca="1"/>
        <v>0.56388573026911626</v>
      </c>
      <c r="G4022">
        <f ca="1"/>
        <v>6.1701859643970822</v>
      </c>
    </row>
    <row r="4023" spans="3:7">
      <c r="C4023">
        <f ca="1"/>
        <v>-0.44468791103579508</v>
      </c>
      <c r="D4023">
        <f ca="1"/>
        <v>-0.31318041990990836</v>
      </c>
      <c r="E4023">
        <f ca="1"/>
        <v>-2.4476925460626462</v>
      </c>
      <c r="G4023">
        <f ca="1"/>
        <v>6.287028113686965</v>
      </c>
    </row>
    <row r="4024" spans="3:7">
      <c r="C4024">
        <f ca="1"/>
        <v>0.49707207969077338</v>
      </c>
      <c r="D4024">
        <f ca="1"/>
        <v>-0.7395687054688066</v>
      </c>
      <c r="E4024">
        <f ca="1"/>
        <v>0.82251085286046111</v>
      </c>
      <c r="G4024">
        <f ca="1"/>
        <v>1.4705666255901599</v>
      </c>
    </row>
    <row r="4025" spans="3:7">
      <c r="C4025">
        <f ca="1"/>
        <v>0.49968029541311271</v>
      </c>
      <c r="D4025">
        <f ca="1"/>
        <v>-0.68850524785453771</v>
      </c>
      <c r="E4025">
        <f ca="1"/>
        <v>-1.4826601493251319</v>
      </c>
      <c r="G4025">
        <f ca="1"/>
        <v>2.9220009923441963</v>
      </c>
    </row>
    <row r="4026" spans="3:7">
      <c r="C4026">
        <f ca="1"/>
        <v>0.13083733289845573</v>
      </c>
      <c r="D4026">
        <f ca="1"/>
        <v>7.743744468552724E-2</v>
      </c>
      <c r="E4026">
        <f ca="1"/>
        <v>-1.2625488994643546</v>
      </c>
      <c r="G4026">
        <f ca="1"/>
        <v>1.6171446890580583</v>
      </c>
    </row>
    <row r="4027" spans="3:7">
      <c r="C4027">
        <f ca="1"/>
        <v>-0.89433094269724078</v>
      </c>
      <c r="D4027">
        <f ca="1"/>
        <v>1.8656266199843057</v>
      </c>
      <c r="E4027">
        <f ca="1"/>
        <v>-1.0509414252965581</v>
      </c>
      <c r="G4027">
        <f ca="1"/>
        <v>5.3848683996641613</v>
      </c>
    </row>
    <row r="4028" spans="3:7">
      <c r="C4028">
        <f ca="1"/>
        <v>8.1142270108007827E-2</v>
      </c>
      <c r="D4028">
        <f ca="1"/>
        <v>-7.2661563110795274E-2</v>
      </c>
      <c r="E4028">
        <f ca="1"/>
        <v>-0.22883521035856225</v>
      </c>
      <c r="G4028">
        <f ca="1"/>
        <v>6.422932425183242E-2</v>
      </c>
    </row>
    <row r="4029" spans="3:7">
      <c r="C4029">
        <f ca="1"/>
        <v>-0.23597367987296938</v>
      </c>
      <c r="D4029">
        <f ca="1"/>
        <v>0.83357077768279975</v>
      </c>
      <c r="E4029">
        <f ca="1"/>
        <v>-0.43482683239484071</v>
      </c>
      <c r="G4029">
        <f ca="1"/>
        <v>0.93959819317002902</v>
      </c>
    </row>
    <row r="4030" spans="3:7">
      <c r="C4030">
        <f ca="1"/>
        <v>0.53607438044883182</v>
      </c>
      <c r="D4030">
        <f ca="1"/>
        <v>-0.91643535660436082</v>
      </c>
      <c r="E4030">
        <f ca="1"/>
        <v>1.735042574803382</v>
      </c>
      <c r="G4030">
        <f ca="1"/>
        <v>4.1376022405885102</v>
      </c>
    </row>
    <row r="4031" spans="3:7">
      <c r="C4031">
        <f ca="1"/>
        <v>0.30573581076708001</v>
      </c>
      <c r="D4031">
        <f ca="1"/>
        <v>-3.3824257120856132</v>
      </c>
      <c r="E4031">
        <f ca="1"/>
        <v>-1.6247701613406671</v>
      </c>
      <c r="G4031">
        <f ca="1"/>
        <v>14.174156160946248</v>
      </c>
    </row>
    <row r="4032" spans="3:7">
      <c r="C4032">
        <f ca="1"/>
        <v>-0.1016688085598783</v>
      </c>
      <c r="D4032">
        <f ca="1"/>
        <v>-0.97245946847823772</v>
      </c>
      <c r="E4032">
        <f ca="1"/>
        <v>-0.12204422147346089</v>
      </c>
      <c r="G4032">
        <f ca="1"/>
        <v>0.97090875646202501</v>
      </c>
    </row>
    <row r="4033" spans="3:7">
      <c r="C4033">
        <f ca="1"/>
        <v>-0.84180887785341452</v>
      </c>
      <c r="D4033">
        <f ca="1"/>
        <v>-0.78237660696044475</v>
      </c>
      <c r="E4033">
        <f ca="1"/>
        <v>0.22921219118597028</v>
      </c>
      <c r="G4033">
        <f ca="1"/>
        <v>1.3732935705400371</v>
      </c>
    </row>
    <row r="4034" spans="3:7">
      <c r="C4034">
        <f ca="1"/>
        <v>-0.61807149126422867</v>
      </c>
      <c r="D4034">
        <f ca="1"/>
        <v>-0.71514897214951656</v>
      </c>
      <c r="E4034">
        <f ca="1"/>
        <v>-0.28786291760769944</v>
      </c>
      <c r="G4034">
        <f ca="1"/>
        <v>0.9763154800137146</v>
      </c>
    </row>
    <row r="4035" spans="3:7">
      <c r="C4035">
        <f ca="1"/>
        <v>0.92754070021380997</v>
      </c>
      <c r="D4035">
        <f ca="1"/>
        <v>6.4245923908691875E-3</v>
      </c>
      <c r="E4035">
        <f ca="1"/>
        <v>0.43228380665259841</v>
      </c>
      <c r="G4035">
        <f ca="1"/>
        <v>1.0472423154345749</v>
      </c>
    </row>
    <row r="4036" spans="3:7">
      <c r="C4036">
        <f ca="1"/>
        <v>1.2197889596755715</v>
      </c>
      <c r="D4036">
        <f ca="1"/>
        <v>0.4246013386305667</v>
      </c>
      <c r="E4036">
        <f ca="1"/>
        <v>-0.24058287514353927</v>
      </c>
      <c r="G4036">
        <f ca="1"/>
        <v>1.7260515227256141</v>
      </c>
    </row>
    <row r="4037" spans="3:7">
      <c r="C4037">
        <f ca="1"/>
        <v>0.30902446849340892</v>
      </c>
      <c r="D4037">
        <f ca="1"/>
        <v>2.100142295118189</v>
      </c>
      <c r="E4037">
        <f ca="1"/>
        <v>-1.0982127933794033</v>
      </c>
      <c r="G4037">
        <f ca="1"/>
        <v>5.7121651214141203</v>
      </c>
    </row>
    <row r="4038" spans="3:7">
      <c r="C4038">
        <f ca="1"/>
        <v>1.2597352032011253</v>
      </c>
      <c r="D4038">
        <f ca="1"/>
        <v>0.24441322423593689</v>
      </c>
      <c r="E4038">
        <f ca="1"/>
        <v>-9.062147550518293E-2</v>
      </c>
      <c r="G4038">
        <f ca="1"/>
        <v>1.6548828581883235</v>
      </c>
    </row>
    <row r="4039" spans="3:7">
      <c r="C4039">
        <f ca="1"/>
        <v>-0.7063364960418248</v>
      </c>
      <c r="D4039">
        <f ca="1"/>
        <v>0.69853836909805211</v>
      </c>
      <c r="E4039">
        <f ca="1"/>
        <v>1.4491355572206819</v>
      </c>
      <c r="G4039">
        <f ca="1"/>
        <v>3.0868609619441054</v>
      </c>
    </row>
    <row r="4040" spans="3:7">
      <c r="C4040">
        <f ca="1"/>
        <v>1.0806022026212299</v>
      </c>
      <c r="D4040">
        <f ca="1"/>
        <v>1.0148783305534386</v>
      </c>
      <c r="E4040">
        <f ca="1"/>
        <v>-1.534764094267171</v>
      </c>
      <c r="G4040">
        <f ca="1"/>
        <v>4.5531799711885181</v>
      </c>
    </row>
    <row r="4041" spans="3:7">
      <c r="C4041">
        <f ca="1"/>
        <v>0.10728469167265814</v>
      </c>
      <c r="D4041">
        <f ca="1"/>
        <v>1.202617551680644E-2</v>
      </c>
      <c r="E4041">
        <f ca="1"/>
        <v>-0.21570303578698991</v>
      </c>
      <c r="G4041">
        <f ca="1"/>
        <v>5.8182433612581803E-2</v>
      </c>
    </row>
    <row r="4042" spans="3:7">
      <c r="C4042">
        <f ca="1"/>
        <v>-0.93026905462255194</v>
      </c>
      <c r="D4042">
        <f ca="1"/>
        <v>-0.5651667435842801</v>
      </c>
      <c r="E4042">
        <f ca="1"/>
        <v>-2.0373315061324142</v>
      </c>
      <c r="G4042">
        <f ca="1"/>
        <v>5.3355336279217678</v>
      </c>
    </row>
    <row r="4043" spans="3:7">
      <c r="C4043">
        <f ca="1"/>
        <v>2.0245340085508299E-2</v>
      </c>
      <c r="D4043">
        <f ca="1"/>
        <v>0.90893420697303984</v>
      </c>
      <c r="E4043">
        <f ca="1"/>
        <v>-0.27566174037036217</v>
      </c>
      <c r="G4043">
        <f ca="1"/>
        <v>0.90256066150490366</v>
      </c>
    </row>
    <row r="4044" spans="3:7">
      <c r="C4044">
        <f ca="1"/>
        <v>-0.40152500363869237</v>
      </c>
      <c r="D4044">
        <f ca="1"/>
        <v>0.36431008427993666</v>
      </c>
      <c r="E4044">
        <f ca="1"/>
        <v>0.51791371867054026</v>
      </c>
      <c r="G4044">
        <f ca="1"/>
        <v>0.56217878604225402</v>
      </c>
    </row>
    <row r="4045" spans="3:7">
      <c r="C4045">
        <f ca="1"/>
        <v>0.12607553943819561</v>
      </c>
      <c r="D4045">
        <f ca="1"/>
        <v>1.486167676152423</v>
      </c>
      <c r="E4045">
        <f ca="1"/>
        <v>-1.0217846494686138</v>
      </c>
      <c r="G4045">
        <f ca="1"/>
        <v>3.2686332731746233</v>
      </c>
    </row>
    <row r="4046" spans="3:7">
      <c r="C4046">
        <f ca="1"/>
        <v>-0.92355649777166493</v>
      </c>
      <c r="D4046">
        <f ca="1"/>
        <v>0.92584158786279958</v>
      </c>
      <c r="E4046">
        <f ca="1"/>
        <v>2.0286812677835098</v>
      </c>
      <c r="G4046">
        <f ca="1"/>
        <v>5.8256869366482817</v>
      </c>
    </row>
    <row r="4047" spans="3:7">
      <c r="C4047">
        <f ca="1"/>
        <v>0.5138016410527384</v>
      </c>
      <c r="D4047">
        <f ca="1"/>
        <v>-1.5466559767645236</v>
      </c>
      <c r="E4047">
        <f ca="1"/>
        <v>1.0400407376064877</v>
      </c>
      <c r="G4047">
        <f ca="1"/>
        <v>3.7378215726909563</v>
      </c>
    </row>
    <row r="4048" spans="3:7">
      <c r="C4048">
        <f ca="1"/>
        <v>0.68844121036420791</v>
      </c>
      <c r="D4048">
        <f ca="1"/>
        <v>-0.85447991266488021</v>
      </c>
      <c r="E4048">
        <f ca="1"/>
        <v>0.36743014360241799</v>
      </c>
      <c r="G4048">
        <f ca="1"/>
        <v>1.3390921317032105</v>
      </c>
    </row>
    <row r="4049" spans="3:7">
      <c r="C4049">
        <f ca="1"/>
        <v>-4.1379028912866146E-3</v>
      </c>
      <c r="D4049">
        <f ca="1"/>
        <v>-0.27794396353252165</v>
      </c>
      <c r="E4049">
        <f ca="1"/>
        <v>1.5196876961537407</v>
      </c>
      <c r="G4049">
        <f ca="1"/>
        <v>2.3867206629455695</v>
      </c>
    </row>
    <row r="4050" spans="3:7">
      <c r="C4050">
        <f ca="1"/>
        <v>1.1824519120964205</v>
      </c>
      <c r="D4050">
        <f ca="1"/>
        <v>-1.5419318800929738</v>
      </c>
      <c r="E4050">
        <f ca="1"/>
        <v>-0.6405136363564905</v>
      </c>
      <c r="G4050">
        <f ca="1"/>
        <v>4.1860041656261489</v>
      </c>
    </row>
    <row r="4051" spans="3:7">
      <c r="C4051">
        <f ca="1"/>
        <v>-0.44035945979268853</v>
      </c>
      <c r="D4051">
        <f ca="1"/>
        <v>0.10634565874158715</v>
      </c>
      <c r="E4051">
        <f ca="1"/>
        <v>0.97148823723659394</v>
      </c>
      <c r="G4051">
        <f ca="1"/>
        <v>1.1490152480511553</v>
      </c>
    </row>
    <row r="4052" spans="3:7">
      <c r="C4052">
        <f ca="1"/>
        <v>0.19511379461005723</v>
      </c>
      <c r="D4052">
        <f ca="1"/>
        <v>8.8440773760198516E-2</v>
      </c>
      <c r="E4052">
        <f ca="1"/>
        <v>1.3754201873493224</v>
      </c>
      <c r="G4052">
        <f ca="1"/>
        <v>1.9376718550784833</v>
      </c>
    </row>
    <row r="4053" spans="3:7">
      <c r="C4053">
        <f ca="1"/>
        <v>-0.94133309992955261</v>
      </c>
      <c r="D4053">
        <f ca="1"/>
        <v>-0.98150926867130095</v>
      </c>
      <c r="E4053">
        <f ca="1"/>
        <v>4.114148821443446E-2</v>
      </c>
      <c r="G4053">
        <f ca="1"/>
        <v>1.8511610715631515</v>
      </c>
    </row>
    <row r="4054" spans="3:7">
      <c r="C4054">
        <f ca="1"/>
        <v>-0.26586114919881526</v>
      </c>
      <c r="D4054">
        <f ca="1"/>
        <v>-0.68321996167084531</v>
      </c>
      <c r="E4054">
        <f ca="1"/>
        <v>-0.69729212105917326</v>
      </c>
      <c r="G4054">
        <f ca="1"/>
        <v>1.0236879687700269</v>
      </c>
    </row>
    <row r="4055" spans="3:7">
      <c r="C4055">
        <f ca="1"/>
        <v>0.32454409484442437</v>
      </c>
      <c r="D4055">
        <f ca="1"/>
        <v>2.2539023797413824</v>
      </c>
      <c r="E4055">
        <f ca="1"/>
        <v>0.46755385191120924</v>
      </c>
      <c r="G4055">
        <f ca="1"/>
        <v>5.4040114113392628</v>
      </c>
    </row>
    <row r="4056" spans="3:7">
      <c r="C4056">
        <f ca="1"/>
        <v>1.4942879938734193</v>
      </c>
      <c r="D4056">
        <f ca="1"/>
        <v>1.3028126648398362</v>
      </c>
      <c r="E4056">
        <f ca="1"/>
        <v>0.83019912009012842</v>
      </c>
      <c r="G4056">
        <f ca="1"/>
        <v>4.6194480272997467</v>
      </c>
    </row>
    <row r="4057" spans="3:7">
      <c r="C4057">
        <f ca="1"/>
        <v>-0.42585391066884987</v>
      </c>
      <c r="D4057">
        <f ca="1"/>
        <v>-0.44809436832818261</v>
      </c>
      <c r="E4057">
        <f ca="1"/>
        <v>0.75346944556082751</v>
      </c>
      <c r="G4057">
        <f ca="1"/>
        <v>0.9498563215531266</v>
      </c>
    </row>
    <row r="4058" spans="3:7">
      <c r="C4058">
        <f ca="1"/>
        <v>-0.23815675373392398</v>
      </c>
      <c r="D4058">
        <f ca="1"/>
        <v>0.17944834209139465</v>
      </c>
      <c r="E4058">
        <f ca="1"/>
        <v>6.6910382305965549E-2</v>
      </c>
      <c r="G4058">
        <f ca="1"/>
        <v>9.3397346088761574E-2</v>
      </c>
    </row>
    <row r="4059" spans="3:7">
      <c r="C4059">
        <f ca="1"/>
        <v>0.19171138728258366</v>
      </c>
      <c r="D4059">
        <f ca="1"/>
        <v>0.90290287192900243</v>
      </c>
      <c r="E4059">
        <f ca="1"/>
        <v>0.7138751665119295</v>
      </c>
      <c r="G4059">
        <f ca="1"/>
        <v>1.3616046055138884</v>
      </c>
    </row>
    <row r="4060" spans="3:7">
      <c r="C4060">
        <f ca="1"/>
        <v>0.39148748497499097</v>
      </c>
      <c r="D4060">
        <f ca="1"/>
        <v>0.59523522199291079</v>
      </c>
      <c r="E4060">
        <f ca="1"/>
        <v>1.3781044755861971</v>
      </c>
      <c r="G4060">
        <f ca="1"/>
        <v>2.4067393660237011</v>
      </c>
    </row>
    <row r="4061" spans="3:7">
      <c r="C4061">
        <f ca="1"/>
        <v>2.6201704245960569</v>
      </c>
      <c r="D4061">
        <f ca="1"/>
        <v>0.19548881217505279</v>
      </c>
      <c r="E4061">
        <f ca="1"/>
        <v>-0.47131972284767543</v>
      </c>
      <c r="G4061">
        <f ca="1"/>
        <v>7.1256512107587033</v>
      </c>
    </row>
    <row r="4062" spans="3:7">
      <c r="C4062">
        <f ca="1"/>
        <v>-3.9628927300202954E-2</v>
      </c>
      <c r="D4062">
        <f ca="1"/>
        <v>0.16113073884998833</v>
      </c>
      <c r="E4062">
        <f ca="1"/>
        <v>-0.34431568580260302</v>
      </c>
      <c r="G4062">
        <f ca="1"/>
        <v>0.14608685837102475</v>
      </c>
    </row>
    <row r="4063" spans="3:7">
      <c r="C4063">
        <f ca="1"/>
        <v>0.2863212340337602</v>
      </c>
      <c r="D4063">
        <f ca="1"/>
        <v>-0.27177421931037526</v>
      </c>
      <c r="E4063">
        <f ca="1"/>
        <v>1.4063409546932064</v>
      </c>
      <c r="G4063">
        <f ca="1"/>
        <v>2.1336359561877787</v>
      </c>
    </row>
    <row r="4064" spans="3:7">
      <c r="C4064">
        <f ca="1"/>
        <v>-0.61257726622613673</v>
      </c>
      <c r="D4064">
        <f ca="1"/>
        <v>-0.8887403862733223</v>
      </c>
      <c r="E4064">
        <f ca="1"/>
        <v>-0.57995068233206726</v>
      </c>
      <c r="G4064">
        <f ca="1"/>
        <v>1.5014531752277718</v>
      </c>
    </row>
    <row r="4065" spans="3:7">
      <c r="C4065">
        <f ca="1"/>
        <v>-1.5270791992576627</v>
      </c>
      <c r="D4065">
        <f ca="1"/>
        <v>7.6514420658868432E-2</v>
      </c>
      <c r="E4065">
        <f ca="1"/>
        <v>-1.9981082048947525</v>
      </c>
      <c r="G4065">
        <f ca="1"/>
        <v>6.3302617358419164</v>
      </c>
    </row>
    <row r="4066" spans="3:7">
      <c r="C4066">
        <f ca="1"/>
        <v>-0.27147651591919403</v>
      </c>
      <c r="D4066">
        <f ca="1"/>
        <v>0.45737472451091726</v>
      </c>
      <c r="E4066">
        <f ca="1"/>
        <v>0.19668627783994871</v>
      </c>
      <c r="G4066">
        <f ca="1"/>
        <v>0.32157662920759539</v>
      </c>
    </row>
    <row r="4067" spans="3:7">
      <c r="C4067">
        <f ca="1"/>
        <v>2.2388579285527861</v>
      </c>
      <c r="D4067">
        <f ca="1"/>
        <v>-0.59937443163329729</v>
      </c>
      <c r="E4067">
        <f ca="1"/>
        <v>-1.1122772380208206</v>
      </c>
      <c r="G4067">
        <f ca="1"/>
        <v>6.6088951877586348</v>
      </c>
    </row>
    <row r="4068" spans="3:7">
      <c r="C4068">
        <f ca="1"/>
        <v>0.95114520036639272</v>
      </c>
      <c r="D4068">
        <f ca="1"/>
        <v>2.9564088706429351E-2</v>
      </c>
      <c r="E4068">
        <f ca="1"/>
        <v>-1.7967371484258778</v>
      </c>
      <c r="G4068">
        <f ca="1"/>
        <v>4.133815608054622</v>
      </c>
    </row>
    <row r="4069" spans="3:7">
      <c r="C4069">
        <f ca="1"/>
        <v>-0.18640615130159774</v>
      </c>
      <c r="D4069">
        <f ca="1"/>
        <v>0.14030960989105279</v>
      </c>
      <c r="E4069">
        <f ca="1"/>
        <v>0.77768541093540411</v>
      </c>
      <c r="G4069">
        <f ca="1"/>
        <v>0.65922863825262201</v>
      </c>
    </row>
    <row r="4070" spans="3:7">
      <c r="C4070">
        <f ca="1"/>
        <v>-1.2935209260921046</v>
      </c>
      <c r="D4070">
        <f ca="1"/>
        <v>0.81422089800983555</v>
      </c>
      <c r="E4070">
        <f ca="1"/>
        <v>-0.14979921319537204</v>
      </c>
      <c r="G4070">
        <f ca="1"/>
        <v>2.3585918612680716</v>
      </c>
    </row>
    <row r="4071" spans="3:7">
      <c r="C4071">
        <f ca="1"/>
        <v>1.2698252423396148</v>
      </c>
      <c r="D4071">
        <f ca="1"/>
        <v>-0.75118728856333994</v>
      </c>
      <c r="E4071">
        <f ca="1"/>
        <v>-4.8319750464229011E-2</v>
      </c>
      <c r="G4071">
        <f ca="1"/>
        <v>2.1790732868669296</v>
      </c>
    </row>
    <row r="4072" spans="3:7">
      <c r="C4072">
        <f ca="1"/>
        <v>-0.10139913514411347</v>
      </c>
      <c r="D4072">
        <f ca="1"/>
        <v>0.71496400290896889</v>
      </c>
      <c r="E4072">
        <f ca="1"/>
        <v>-0.11720736828363401</v>
      </c>
      <c r="G4072">
        <f ca="1"/>
        <v>0.53519287724356579</v>
      </c>
    </row>
    <row r="4073" spans="3:7">
      <c r="C4073">
        <f ca="1"/>
        <v>0.71675384593490854</v>
      </c>
      <c r="D4073">
        <f ca="1"/>
        <v>-0.67040435538436316</v>
      </c>
      <c r="E4073">
        <f ca="1"/>
        <v>-0.80551338213220125</v>
      </c>
      <c r="G4073">
        <f ca="1"/>
        <v>1.6120298841748637</v>
      </c>
    </row>
    <row r="4074" spans="3:7">
      <c r="C4074">
        <f ca="1"/>
        <v>-0.2473360562178144</v>
      </c>
      <c r="D4074">
        <f ca="1"/>
        <v>-0.77020810630321135</v>
      </c>
      <c r="E4074">
        <f ca="1"/>
        <v>0.40892242245203775</v>
      </c>
      <c r="G4074">
        <f ca="1"/>
        <v>0.82161319930460364</v>
      </c>
    </row>
    <row r="4075" spans="3:7">
      <c r="C4075">
        <f ca="1"/>
        <v>-0.2963532464597643</v>
      </c>
      <c r="D4075">
        <f ca="1"/>
        <v>1.4933312867140585</v>
      </c>
      <c r="E4075">
        <f ca="1"/>
        <v>0.24350691350818751</v>
      </c>
      <c r="G4075">
        <f ca="1"/>
        <v>2.3771591954925912</v>
      </c>
    </row>
    <row r="4076" spans="3:7">
      <c r="C4076">
        <f ca="1"/>
        <v>0.97287610667341196</v>
      </c>
      <c r="D4076">
        <f ca="1"/>
        <v>0.44273073391466616</v>
      </c>
      <c r="E4076">
        <f ca="1"/>
        <v>-1.2048529848994811</v>
      </c>
      <c r="G4076">
        <f ca="1"/>
        <v>2.5941691369098239</v>
      </c>
    </row>
    <row r="4077" spans="3:7">
      <c r="C4077">
        <f ca="1"/>
        <v>0.83072074548222075</v>
      </c>
      <c r="D4077">
        <f ca="1"/>
        <v>-1.7052511498994056</v>
      </c>
      <c r="E4077">
        <f ca="1"/>
        <v>-1.3749673618622527</v>
      </c>
      <c r="G4077">
        <f ca="1"/>
        <v>5.4885136873942244</v>
      </c>
    </row>
    <row r="4078" spans="3:7">
      <c r="C4078">
        <f ca="1"/>
        <v>0.56881499206609598</v>
      </c>
      <c r="D4078">
        <f ca="1"/>
        <v>0.9394458793761844</v>
      </c>
      <c r="E4078">
        <f ca="1"/>
        <v>-0.39120833595495863</v>
      </c>
      <c r="G4078">
        <f ca="1"/>
        <v>1.359153017596693</v>
      </c>
    </row>
    <row r="4079" spans="3:7">
      <c r="C4079">
        <f ca="1"/>
        <v>-0.45640490213757295</v>
      </c>
      <c r="D4079">
        <f ca="1"/>
        <v>-0.27158069125946915</v>
      </c>
      <c r="E4079">
        <f ca="1"/>
        <v>0.62879527043031946</v>
      </c>
      <c r="G4079">
        <f ca="1"/>
        <v>0.67744499867571717</v>
      </c>
    </row>
    <row r="4080" spans="3:7">
      <c r="C4080">
        <f ca="1"/>
        <v>-0.88911963963355845</v>
      </c>
      <c r="D4080">
        <f ca="1"/>
        <v>1.1528109051534554</v>
      </c>
      <c r="E4080">
        <f ca="1"/>
        <v>-0.46455548726842866</v>
      </c>
      <c r="G4080">
        <f ca="1"/>
        <v>2.3353185173740449</v>
      </c>
    </row>
    <row r="4081" spans="3:7">
      <c r="C4081">
        <f ca="1"/>
        <v>-2.1321775374526051</v>
      </c>
      <c r="D4081">
        <f ca="1"/>
        <v>2.2788873732858241</v>
      </c>
      <c r="E4081">
        <f ca="1"/>
        <v>-0.3859121080286278</v>
      </c>
      <c r="G4081">
        <f ca="1"/>
        <v>9.8884368664621167</v>
      </c>
    </row>
    <row r="4082" spans="3:7">
      <c r="C4082">
        <f ca="1"/>
        <v>-2.4357787942156643</v>
      </c>
      <c r="D4082">
        <f ca="1"/>
        <v>0.83275760861994252</v>
      </c>
      <c r="E4082">
        <f ca="1"/>
        <v>-0.9733006298448581</v>
      </c>
      <c r="G4082">
        <f ca="1"/>
        <v>7.5738176851215187</v>
      </c>
    </row>
    <row r="4083" spans="3:7">
      <c r="C4083">
        <f ca="1"/>
        <v>-1.5293881450139406</v>
      </c>
      <c r="D4083">
        <f ca="1"/>
        <v>1.4142334051604264</v>
      </c>
      <c r="E4083">
        <f ca="1"/>
        <v>-0.71821813453235195</v>
      </c>
      <c r="G4083">
        <f ca="1"/>
        <v>4.8549215111519688</v>
      </c>
    </row>
    <row r="4084" spans="3:7">
      <c r="C4084">
        <f ca="1"/>
        <v>-0.84044547758838051</v>
      </c>
      <c r="D4084">
        <f ca="1"/>
        <v>-0.90031263076768986</v>
      </c>
      <c r="E4084">
        <f ca="1"/>
        <v>0.47426160942116524</v>
      </c>
      <c r="G4084">
        <f ca="1"/>
        <v>1.7418355080893535</v>
      </c>
    </row>
    <row r="4085" spans="3:7">
      <c r="C4085">
        <f ca="1"/>
        <v>-0.26810266392706972</v>
      </c>
      <c r="D4085">
        <f ca="1"/>
        <v>0.9775528158283403</v>
      </c>
      <c r="E4085">
        <f ca="1"/>
        <v>-0.15712694730360499</v>
      </c>
      <c r="G4085">
        <f ca="1"/>
        <v>1.0521774237076582</v>
      </c>
    </row>
    <row r="4086" spans="3:7">
      <c r="C4086">
        <f ca="1"/>
        <v>-0.95990274749615356</v>
      </c>
      <c r="D4086">
        <f ca="1"/>
        <v>-2.9815252063391553E-2</v>
      </c>
      <c r="E4086">
        <f ca="1"/>
        <v>-0.38028143246989554</v>
      </c>
      <c r="G4086">
        <f ca="1"/>
        <v>1.0669162017876235</v>
      </c>
    </row>
    <row r="4087" spans="3:7">
      <c r="C4087">
        <f ca="1"/>
        <v>0.17609061805790521</v>
      </c>
      <c r="D4087">
        <f ca="1"/>
        <v>0.89975612447000841</v>
      </c>
      <c r="E4087">
        <f ca="1"/>
        <v>-1.1778904099932941</v>
      </c>
      <c r="G4087">
        <f ca="1"/>
        <v>2.227994807243475</v>
      </c>
    </row>
    <row r="4088" spans="3:7">
      <c r="C4088">
        <f ca="1"/>
        <v>0.66975466396320948</v>
      </c>
      <c r="D4088">
        <f ca="1"/>
        <v>-1.2716852084682082</v>
      </c>
      <c r="E4088">
        <f ca="1"/>
        <v>1.4930161246216533</v>
      </c>
      <c r="G4088">
        <f ca="1"/>
        <v>4.2948517277175622</v>
      </c>
    </row>
    <row r="4089" spans="3:7">
      <c r="C4089">
        <f ca="1"/>
        <v>-0.34711353737264472</v>
      </c>
      <c r="D4089">
        <f ca="1"/>
        <v>-0.92337591442714229</v>
      </c>
      <c r="E4089">
        <f ca="1"/>
        <v>-1.1043215598085925</v>
      </c>
      <c r="G4089">
        <f ca="1"/>
        <v>2.1926369946295945</v>
      </c>
    </row>
    <row r="4090" spans="3:7">
      <c r="C4090">
        <f ca="1"/>
        <v>-0.3233618859547176</v>
      </c>
      <c r="D4090">
        <f ca="1"/>
        <v>-0.42747394102994718</v>
      </c>
      <c r="E4090">
        <f ca="1"/>
        <v>0.33994918696532272</v>
      </c>
      <c r="G4090">
        <f ca="1"/>
        <v>0.40286232926625049</v>
      </c>
    </row>
    <row r="4091" spans="3:7">
      <c r="C4091">
        <f ca="1"/>
        <v>-1.4751876870228937</v>
      </c>
      <c r="D4091">
        <f ca="1"/>
        <v>-0.59260799041006462</v>
      </c>
      <c r="E4091">
        <f ca="1"/>
        <v>0.66193927590279722</v>
      </c>
      <c r="G4091">
        <f ca="1"/>
        <v>2.9655265472245298</v>
      </c>
    </row>
    <row r="4092" spans="3:7">
      <c r="C4092">
        <f ca="1"/>
        <v>1.659111694814557</v>
      </c>
      <c r="D4092">
        <f ca="1"/>
        <v>-1.1137656292909255</v>
      </c>
      <c r="E4092">
        <f ca="1"/>
        <v>0.3038013832924148</v>
      </c>
      <c r="G4092">
        <f ca="1"/>
        <v>4.085420773350628</v>
      </c>
    </row>
    <row r="4093" spans="3:7">
      <c r="C4093">
        <f ca="1"/>
        <v>0.45025393904623662</v>
      </c>
      <c r="D4093">
        <f ca="1"/>
        <v>-0.10276916541600023</v>
      </c>
      <c r="E4093">
        <f ca="1"/>
        <v>0.39169764742890067</v>
      </c>
      <c r="G4093">
        <f ca="1"/>
        <v>0.36671715798828874</v>
      </c>
    </row>
    <row r="4094" spans="3:7">
      <c r="C4094">
        <f ca="1"/>
        <v>0.54150662419214257</v>
      </c>
      <c r="D4094">
        <f ca="1"/>
        <v>-0.90969999920208044</v>
      </c>
      <c r="E4094">
        <f ca="1"/>
        <v>-1.1375486030181221</v>
      </c>
      <c r="G4094">
        <f ca="1"/>
        <v>2.4148003368207167</v>
      </c>
    </row>
    <row r="4095" spans="3:7">
      <c r="C4095">
        <f ca="1"/>
        <v>-1.7430531324916274</v>
      </c>
      <c r="D4095">
        <f ca="1"/>
        <v>-2.1056952477902779</v>
      </c>
      <c r="E4095">
        <f ca="1"/>
        <v>-0.2903397707151979</v>
      </c>
      <c r="G4095">
        <f ca="1"/>
        <v>7.5564838817143887</v>
      </c>
    </row>
    <row r="4096" spans="3:7">
      <c r="C4096">
        <f ca="1"/>
        <v>0.35256541350735454</v>
      </c>
      <c r="D4096">
        <f ca="1"/>
        <v>-1.8959413682165274</v>
      </c>
      <c r="E4096">
        <f ca="1"/>
        <v>7.8626878216997736E-2</v>
      </c>
      <c r="G4096">
        <f ca="1"/>
        <v>3.7250782284945201</v>
      </c>
    </row>
    <row r="4097" spans="3:7">
      <c r="C4097">
        <f ca="1"/>
        <v>0.55178875227351576</v>
      </c>
      <c r="D4097">
        <f ca="1"/>
        <v>-2.5002072780127391</v>
      </c>
      <c r="E4097">
        <f ca="1"/>
        <v>-0.30710491798996903</v>
      </c>
      <c r="G4097">
        <f ca="1"/>
        <v>6.6498206908170587</v>
      </c>
    </row>
    <row r="4098" spans="3:7">
      <c r="C4098">
        <f ca="1"/>
        <v>-0.38160462697088299</v>
      </c>
      <c r="D4098">
        <f ca="1"/>
        <v>-1.0917737509428291</v>
      </c>
      <c r="E4098">
        <f ca="1"/>
        <v>1.762036065859357</v>
      </c>
      <c r="G4098">
        <f ca="1"/>
        <v>4.4423631119624822</v>
      </c>
    </row>
    <row r="4099" spans="3:7">
      <c r="C4099">
        <f ca="1"/>
        <v>-0.24310892898594086</v>
      </c>
      <c r="D4099">
        <f ca="1"/>
        <v>-8.1638730872607049E-2</v>
      </c>
      <c r="E4099">
        <f ca="1"/>
        <v>-1.9243236637502366</v>
      </c>
      <c r="G4099">
        <f ca="1"/>
        <v>3.7687883966003151</v>
      </c>
    </row>
    <row r="4100" spans="3:7">
      <c r="C4100">
        <f ca="1"/>
        <v>0.96240317519624519</v>
      </c>
      <c r="D4100">
        <f ca="1"/>
        <v>-0.89868705414108663</v>
      </c>
      <c r="E4100">
        <f ca="1"/>
        <v>-2.1130357540430711</v>
      </c>
      <c r="G4100">
        <f ca="1"/>
        <v>6.1987783907729685</v>
      </c>
    </row>
    <row r="4101" spans="3:7">
      <c r="C4101">
        <f ca="1"/>
        <v>0.68511745899353704</v>
      </c>
      <c r="D4101">
        <f ca="1"/>
        <v>0.78183841687186473</v>
      </c>
      <c r="E4101">
        <f ca="1"/>
        <v>0.16749045817608965</v>
      </c>
      <c r="G4101">
        <f ca="1"/>
        <v>1.1087102962945012</v>
      </c>
    </row>
    <row r="4102" spans="3:7">
      <c r="C4102">
        <f ca="1"/>
        <v>6.6314387674353881E-2</v>
      </c>
      <c r="D4102">
        <f ca="1"/>
        <v>0.4559643062460893</v>
      </c>
      <c r="E4102">
        <f ca="1"/>
        <v>0.54515410134548992</v>
      </c>
      <c r="G4102">
        <f ca="1"/>
        <v>0.50949404079691063</v>
      </c>
    </row>
    <row r="4103" spans="3:7">
      <c r="C4103">
        <f ca="1"/>
        <v>-0.43310329300102729</v>
      </c>
      <c r="D4103">
        <f ca="1"/>
        <v>0.33064429546697161</v>
      </c>
      <c r="E4103">
        <f ca="1"/>
        <v>-1.3676394683493431</v>
      </c>
      <c r="G4103">
        <f ca="1"/>
        <v>2.1673418279200574</v>
      </c>
    </row>
    <row r="4104" spans="3:7">
      <c r="C4104">
        <f ca="1"/>
        <v>6.8474596784900629E-2</v>
      </c>
      <c r="D4104">
        <f ca="1"/>
        <v>1.6468906356564381</v>
      </c>
      <c r="E4104">
        <f ca="1"/>
        <v>-0.9590184924506987</v>
      </c>
      <c r="G4104">
        <f ca="1"/>
        <v>3.6366540050801324</v>
      </c>
    </row>
    <row r="4105" spans="3:7">
      <c r="C4105">
        <f ca="1"/>
        <v>-1.9790242839080141</v>
      </c>
      <c r="D4105">
        <f ca="1"/>
        <v>-0.6319326709235199</v>
      </c>
      <c r="E4105">
        <f ca="1"/>
        <v>1.477832079924611</v>
      </c>
      <c r="G4105">
        <f ca="1"/>
        <v>6.4998636733324631</v>
      </c>
    </row>
    <row r="4106" spans="3:7">
      <c r="C4106">
        <f ca="1"/>
        <v>0.12942841363390215</v>
      </c>
      <c r="D4106">
        <f ca="1"/>
        <v>0.91526644333504936</v>
      </c>
      <c r="E4106">
        <f ca="1"/>
        <v>4.9903433337361643E-2</v>
      </c>
      <c r="G4106">
        <f ca="1"/>
        <v>0.85695472920983606</v>
      </c>
    </row>
    <row r="4107" spans="3:7">
      <c r="C4107">
        <f ca="1"/>
        <v>-0.17294698912899001</v>
      </c>
      <c r="D4107">
        <f ca="1"/>
        <v>0.39569472748056678</v>
      </c>
      <c r="E4107">
        <f ca="1"/>
        <v>-0.51670242315114068</v>
      </c>
      <c r="G4107">
        <f ca="1"/>
        <v>0.45346637249496347</v>
      </c>
    </row>
    <row r="4108" spans="3:7">
      <c r="C4108">
        <f ca="1"/>
        <v>5.9532717847500187E-2</v>
      </c>
      <c r="D4108">
        <f ca="1"/>
        <v>0.92972964993492224</v>
      </c>
      <c r="E4108">
        <f ca="1"/>
        <v>-0.14340603177430308</v>
      </c>
      <c r="G4108">
        <f ca="1"/>
        <v>0.88850665641167559</v>
      </c>
    </row>
    <row r="4109" spans="3:7">
      <c r="C4109">
        <f ca="1"/>
        <v>-0.6629876109483448</v>
      </c>
      <c r="D4109">
        <f ca="1"/>
        <v>-0.31370042133850534</v>
      </c>
      <c r="E4109">
        <f ca="1"/>
        <v>-0.14528248245236827</v>
      </c>
      <c r="G4109">
        <f ca="1"/>
        <v>0.55906752632647227</v>
      </c>
    </row>
    <row r="4110" spans="3:7">
      <c r="C4110">
        <f ca="1"/>
        <v>4.9791532990912435E-2</v>
      </c>
      <c r="D4110">
        <f ca="1"/>
        <v>-0.6933325795184484</v>
      </c>
      <c r="E4110">
        <f ca="1"/>
        <v>0.19185221407575609</v>
      </c>
      <c r="G4110">
        <f ca="1"/>
        <v>0.51999653462506046</v>
      </c>
    </row>
    <row r="4111" spans="3:7">
      <c r="C4111">
        <f ca="1"/>
        <v>-0.6827337032575248</v>
      </c>
      <c r="D4111">
        <f ca="1"/>
        <v>0.71966133657311282</v>
      </c>
      <c r="E4111">
        <f ca="1"/>
        <v>1.4821133946946181</v>
      </c>
      <c r="G4111">
        <f ca="1"/>
        <v>3.180697863655138</v>
      </c>
    </row>
    <row r="4112" spans="3:7">
      <c r="C4112">
        <f ca="1"/>
        <v>0.77645251532320214</v>
      </c>
      <c r="D4112">
        <f ca="1"/>
        <v>-0.11876658539528397</v>
      </c>
      <c r="E4112">
        <f ca="1"/>
        <v>0.87933738207418388</v>
      </c>
      <c r="G4112">
        <f ca="1"/>
        <v>1.3902182418712621</v>
      </c>
    </row>
    <row r="4113" spans="3:7">
      <c r="C4113">
        <f ca="1"/>
        <v>-0.98260955126920979</v>
      </c>
      <c r="D4113">
        <f ca="1"/>
        <v>0.76348240595675754</v>
      </c>
      <c r="E4113">
        <f ca="1"/>
        <v>-0.62841915545834715</v>
      </c>
      <c r="G4113">
        <f ca="1"/>
        <v>1.943337549397979</v>
      </c>
    </row>
    <row r="4114" spans="3:7">
      <c r="C4114">
        <f ca="1"/>
        <v>0.37362015493884049</v>
      </c>
      <c r="D4114">
        <f ca="1"/>
        <v>0.34806762578191941</v>
      </c>
      <c r="E4114">
        <f ca="1"/>
        <v>2.7730462124068103</v>
      </c>
      <c r="G4114">
        <f ca="1"/>
        <v>7.9505283884377418</v>
      </c>
    </row>
    <row r="4115" spans="3:7">
      <c r="C4115">
        <f ca="1"/>
        <v>-0.47831425142495659</v>
      </c>
      <c r="D4115">
        <f ca="1"/>
        <v>-4.0450566282212008E-3</v>
      </c>
      <c r="E4115">
        <f ca="1"/>
        <v>-0.22556646155530094</v>
      </c>
      <c r="G4115">
        <f ca="1"/>
        <v>0.27968111417792113</v>
      </c>
    </row>
    <row r="4116" spans="3:7">
      <c r="C4116">
        <f ca="1"/>
        <v>0.61110144202648975</v>
      </c>
      <c r="D4116">
        <f ca="1"/>
        <v>0.35293710952941443</v>
      </c>
      <c r="E4116">
        <f ca="1"/>
        <v>0.71208888377586055</v>
      </c>
      <c r="G4116">
        <f ca="1"/>
        <v>1.005080154126984</v>
      </c>
    </row>
    <row r="4117" spans="3:7">
      <c r="C4117">
        <f ca="1"/>
        <v>0.73269004461965326</v>
      </c>
      <c r="D4117">
        <f ca="1"/>
        <v>-1.9844192168441428</v>
      </c>
      <c r="E4117">
        <f ca="1"/>
        <v>1.1063498345755205</v>
      </c>
      <c r="G4117">
        <f ca="1"/>
        <v>5.698764286130352</v>
      </c>
    </row>
    <row r="4118" spans="3:7">
      <c r="C4118">
        <f ca="1"/>
        <v>1.3733194744231954</v>
      </c>
      <c r="D4118">
        <f ca="1"/>
        <v>9.9580731038981019E-2</v>
      </c>
      <c r="E4118">
        <f ca="1"/>
        <v>-0.18366453329937238</v>
      </c>
      <c r="G4118">
        <f ca="1"/>
        <v>1.9296553616163357</v>
      </c>
    </row>
    <row r="4119" spans="3:7">
      <c r="C4119">
        <f ca="1"/>
        <v>-1.3547149982541722</v>
      </c>
      <c r="D4119">
        <f ca="1"/>
        <v>-0.4380454484378643</v>
      </c>
      <c r="E4119">
        <f ca="1"/>
        <v>1.2025148349744705</v>
      </c>
      <c r="G4119">
        <f ca="1"/>
        <v>3.4731784697256094</v>
      </c>
    </row>
    <row r="4120" spans="3:7">
      <c r="C4120">
        <f ca="1"/>
        <v>0.16365122837149115</v>
      </c>
      <c r="D4120">
        <f ca="1"/>
        <v>-0.85223299175973988</v>
      </c>
      <c r="E4120">
        <f ca="1"/>
        <v>1.8328834380096222</v>
      </c>
      <c r="G4120">
        <f ca="1"/>
        <v>4.1125444941212272</v>
      </c>
    </row>
    <row r="4121" spans="3:7">
      <c r="C4121">
        <f ca="1"/>
        <v>0.4386872385775743</v>
      </c>
      <c r="D4121">
        <f ca="1"/>
        <v>0.63382821960178792</v>
      </c>
      <c r="E4121">
        <f ca="1"/>
        <v>1.0634162077433127</v>
      </c>
      <c r="G4121">
        <f ca="1"/>
        <v>1.7250387361455581</v>
      </c>
    </row>
    <row r="4122" spans="3:7">
      <c r="C4122">
        <f ca="1"/>
        <v>-1.7674637502339292</v>
      </c>
      <c r="D4122">
        <f ca="1"/>
        <v>0.58086652375207759</v>
      </c>
      <c r="E4122">
        <f ca="1"/>
        <v>-1.2423377674555889</v>
      </c>
      <c r="G4122">
        <f ca="1"/>
        <v>5.0047371552533448</v>
      </c>
    </row>
    <row r="4123" spans="3:7">
      <c r="C4123">
        <f ca="1"/>
        <v>1.9264654077212597</v>
      </c>
      <c r="D4123">
        <f ca="1"/>
        <v>-0.9542102237148945</v>
      </c>
      <c r="E4123">
        <f ca="1"/>
        <v>0.32882391102919273</v>
      </c>
      <c r="G4123">
        <f ca="1"/>
        <v>4.7299112826532035</v>
      </c>
    </row>
    <row r="4124" spans="3:7">
      <c r="C4124">
        <f ca="1"/>
        <v>-0.58744561732073441</v>
      </c>
      <c r="D4124">
        <f ca="1"/>
        <v>0.33610782568229053</v>
      </c>
      <c r="E4124">
        <f ca="1"/>
        <v>1.2640953177772041</v>
      </c>
      <c r="G4124">
        <f ca="1"/>
        <v>2.0559977962204665</v>
      </c>
    </row>
    <row r="4125" spans="3:7">
      <c r="C4125">
        <f ca="1"/>
        <v>-4.7734848132091334E-2</v>
      </c>
      <c r="D4125">
        <f ca="1"/>
        <v>1.0931750919347116</v>
      </c>
      <c r="E4125">
        <f ca="1"/>
        <v>-0.51647006685091368</v>
      </c>
      <c r="G4125">
        <f ca="1"/>
        <v>1.4640517273056464</v>
      </c>
    </row>
    <row r="4126" spans="3:7">
      <c r="C4126">
        <f ca="1"/>
        <v>0.42733557610429451</v>
      </c>
      <c r="D4126">
        <f ca="1"/>
        <v>-0.32487689695962513</v>
      </c>
      <c r="E4126">
        <f ca="1"/>
        <v>-0.43174537832372367</v>
      </c>
      <c r="G4126">
        <f ca="1"/>
        <v>0.47456476448639945</v>
      </c>
    </row>
    <row r="4127" spans="3:7">
      <c r="C4127">
        <f ca="1"/>
        <v>-0.55625468808502943</v>
      </c>
      <c r="D4127">
        <f ca="1"/>
        <v>0.20543817739800121</v>
      </c>
      <c r="E4127">
        <f ca="1"/>
        <v>0.62096116452550176</v>
      </c>
      <c r="G4127">
        <f ca="1"/>
        <v>0.73721689059805318</v>
      </c>
    </row>
    <row r="4128" spans="3:7">
      <c r="C4128">
        <f ca="1"/>
        <v>1.5040812835059534</v>
      </c>
      <c r="D4128">
        <f ca="1"/>
        <v>-0.11350217180048362</v>
      </c>
      <c r="E4128">
        <f ca="1"/>
        <v>2.3677695483297003</v>
      </c>
      <c r="G4128">
        <f ca="1"/>
        <v>7.881475884393776</v>
      </c>
    </row>
    <row r="4129" spans="3:7">
      <c r="C4129">
        <f ca="1"/>
        <v>8.1094912637449793E-2</v>
      </c>
      <c r="D4129">
        <f ca="1"/>
        <v>-0.56311904232586918</v>
      </c>
      <c r="E4129">
        <f ca="1"/>
        <v>1.1594581655116682</v>
      </c>
      <c r="G4129">
        <f ca="1"/>
        <v>1.6680226782573628</v>
      </c>
    </row>
    <row r="4130" spans="3:7">
      <c r="C4130">
        <f ca="1"/>
        <v>-0.93153403776105315</v>
      </c>
      <c r="D4130">
        <f ca="1"/>
        <v>1.1662854473989919</v>
      </c>
      <c r="E4130">
        <f ca="1"/>
        <v>-0.50705257577928819</v>
      </c>
      <c r="G4130">
        <f ca="1"/>
        <v>2.4850797229264887</v>
      </c>
    </row>
    <row r="4131" spans="3:7">
      <c r="C4131">
        <f ca="1"/>
        <v>-0.79842238058037096</v>
      </c>
      <c r="D4131">
        <f ca="1"/>
        <v>-0.42660403175339251</v>
      </c>
      <c r="E4131">
        <f ca="1"/>
        <v>0.35812529968506474</v>
      </c>
      <c r="G4131">
        <f ca="1"/>
        <v>0.94772302799439356</v>
      </c>
    </row>
    <row r="4132" spans="3:7">
      <c r="C4132">
        <f ca="1"/>
        <v>0.49058890360050278</v>
      </c>
      <c r="D4132">
        <f ca="1"/>
        <v>-0.62575323999613441</v>
      </c>
      <c r="E4132">
        <f ca="1"/>
        <v>1.1666031907086856</v>
      </c>
      <c r="G4132">
        <f ca="1"/>
        <v>1.9932075942732892</v>
      </c>
    </row>
    <row r="4133" spans="3:7">
      <c r="C4133">
        <f ca="1"/>
        <v>1.3591539229432374</v>
      </c>
      <c r="D4133">
        <f ca="1"/>
        <v>-0.3125858615613949</v>
      </c>
      <c r="E4133">
        <f ca="1"/>
        <v>-2.07210730491146</v>
      </c>
      <c r="G4133">
        <f ca="1"/>
        <v>6.238637990167506</v>
      </c>
    </row>
    <row r="4134" spans="3:7">
      <c r="C4134">
        <f ca="1"/>
        <v>-7.2187988898248082E-2</v>
      </c>
      <c r="D4134">
        <f ca="1"/>
        <v>0.17807350932409877</v>
      </c>
      <c r="E4134">
        <f ca="1"/>
        <v>-0.16458051476349106</v>
      </c>
      <c r="G4134">
        <f ca="1"/>
        <v>6.4008026303989177E-2</v>
      </c>
    </row>
    <row r="4135" spans="3:7">
      <c r="C4135">
        <f ca="1"/>
        <v>0.37874129879759105</v>
      </c>
      <c r="D4135">
        <f ca="1"/>
        <v>1.0462274515421759</v>
      </c>
      <c r="E4135">
        <f ca="1"/>
        <v>8.4646528506180665E-2</v>
      </c>
      <c r="G4135">
        <f ca="1"/>
        <v>1.2452018865634698</v>
      </c>
    </row>
    <row r="4136" spans="3:7">
      <c r="C4136">
        <f ca="1"/>
        <v>-0.88539186104533596</v>
      </c>
      <c r="D4136">
        <f ca="1"/>
        <v>0.57073864972736976</v>
      </c>
      <c r="E4136">
        <f ca="1"/>
        <v>-0.34514228133521208</v>
      </c>
      <c r="G4136">
        <f ca="1"/>
        <v>1.2287845482632194</v>
      </c>
    </row>
    <row r="4137" spans="3:7">
      <c r="C4137">
        <f ca="1"/>
        <v>0.58073953871768591</v>
      </c>
      <c r="D4137">
        <f ca="1"/>
        <v>3.6592167039090656E-2</v>
      </c>
      <c r="E4137">
        <f ca="1"/>
        <v>1.9274057425433346</v>
      </c>
      <c r="G4137">
        <f ca="1"/>
        <v>4.0534902949076708</v>
      </c>
    </row>
    <row r="4138" spans="3:7">
      <c r="C4138">
        <f ca="1"/>
        <v>0.75872475871689704</v>
      </c>
      <c r="D4138">
        <f ca="1"/>
        <v>-0.16650020718787756</v>
      </c>
      <c r="E4138">
        <f ca="1"/>
        <v>1.4545671861198715</v>
      </c>
      <c r="G4138">
        <f ca="1"/>
        <v>2.7191512774203002</v>
      </c>
    </row>
    <row r="4139" spans="3:7">
      <c r="C4139">
        <f ca="1"/>
        <v>-0.2800544978070037</v>
      </c>
      <c r="D4139">
        <f ca="1"/>
        <v>0.60053574829276213</v>
      </c>
      <c r="E4139">
        <f ca="1"/>
        <v>0.3511424244842844</v>
      </c>
      <c r="G4139">
        <f ca="1"/>
        <v>0.56237470899218223</v>
      </c>
    </row>
    <row r="4140" spans="3:7">
      <c r="C4140">
        <f ca="1"/>
        <v>-0.52191558334313803</v>
      </c>
      <c r="D4140">
        <f ca="1"/>
        <v>0.12045830316688735</v>
      </c>
      <c r="E4140">
        <f ca="1"/>
        <v>-0.58902204277059245</v>
      </c>
      <c r="G4140">
        <f ca="1"/>
        <v>0.63385304580789548</v>
      </c>
    </row>
    <row r="4141" spans="3:7">
      <c r="C4141">
        <f ca="1"/>
        <v>-0.96174323580519483</v>
      </c>
      <c r="D4141">
        <f ca="1"/>
        <v>1.7794110945047614</v>
      </c>
      <c r="E4141">
        <f ca="1"/>
        <v>-0.45186948880299366</v>
      </c>
      <c r="G4141">
        <f ca="1"/>
        <v>4.2954399297747585</v>
      </c>
    </row>
    <row r="4142" spans="3:7">
      <c r="C4142">
        <f ca="1"/>
        <v>-0.18608741099908491</v>
      </c>
      <c r="D4142">
        <f ca="1"/>
        <v>0.86044595990787409</v>
      </c>
      <c r="E4142">
        <f ca="1"/>
        <v>7.1071742326825962E-2</v>
      </c>
      <c r="G4142">
        <f ca="1"/>
        <v>0.7800469670114959</v>
      </c>
    </row>
    <row r="4143" spans="3:7">
      <c r="C4143">
        <f ca="1"/>
        <v>-0.29160129866967499</v>
      </c>
      <c r="D4143">
        <f ca="1"/>
        <v>-0.7780914874737096</v>
      </c>
      <c r="E4143">
        <f ca="1"/>
        <v>1.6147574065464214</v>
      </c>
      <c r="G4143">
        <f ca="1"/>
        <v>3.297899162261416</v>
      </c>
    </row>
    <row r="4144" spans="3:7">
      <c r="C4144">
        <f ca="1"/>
        <v>0.70761563479000311</v>
      </c>
      <c r="D4144">
        <f ca="1"/>
        <v>-1.4722477410818797</v>
      </c>
      <c r="E4144">
        <f ca="1"/>
        <v>1.2528597781870969</v>
      </c>
      <c r="G4144">
        <f ca="1"/>
        <v>4.2378909215189786</v>
      </c>
    </row>
    <row r="4145" spans="3:7">
      <c r="C4145">
        <f ca="1"/>
        <v>0.91220553376390234</v>
      </c>
      <c r="D4145">
        <f ca="1"/>
        <v>0.16516938417673763</v>
      </c>
      <c r="E4145">
        <f ca="1"/>
        <v>0.44108786177102116</v>
      </c>
      <c r="G4145">
        <f ca="1"/>
        <v>1.05395836310054</v>
      </c>
    </row>
    <row r="4146" spans="3:7">
      <c r="C4146">
        <f ca="1"/>
        <v>-1.4224218986577655</v>
      </c>
      <c r="D4146">
        <f ca="1"/>
        <v>-1.8710846304477819</v>
      </c>
      <c r="E4146">
        <f ca="1"/>
        <v>-0.49801114228956034</v>
      </c>
      <c r="G4146">
        <f ca="1"/>
        <v>5.7722568499236271</v>
      </c>
    </row>
    <row r="4147" spans="3:7">
      <c r="C4147">
        <f ca="1"/>
        <v>-0.95078901173478436</v>
      </c>
      <c r="D4147">
        <f ca="1"/>
        <v>1.1396070957597451</v>
      </c>
      <c r="E4147">
        <f ca="1"/>
        <v>-0.75639485393703343</v>
      </c>
      <c r="G4147">
        <f ca="1"/>
        <v>2.7748372526039944</v>
      </c>
    </row>
    <row r="4148" spans="3:7">
      <c r="C4148">
        <f ca="1"/>
        <v>1.3513108235332731</v>
      </c>
      <c r="D4148">
        <f ca="1"/>
        <v>-9.2545311603243318E-3</v>
      </c>
      <c r="E4148">
        <f ca="1"/>
        <v>0.12960771754786729</v>
      </c>
      <c r="G4148">
        <f ca="1"/>
        <v>1.8429247485931379</v>
      </c>
    </row>
    <row r="4149" spans="3:7">
      <c r="C4149">
        <f ca="1"/>
        <v>0.5116043624268436</v>
      </c>
      <c r="D4149">
        <f ca="1"/>
        <v>0.80388258788052436</v>
      </c>
      <c r="E4149">
        <f ca="1"/>
        <v>0.72815401328830076</v>
      </c>
      <c r="G4149">
        <f ca="1"/>
        <v>1.438174505819525</v>
      </c>
    </row>
    <row r="4150" spans="3:7">
      <c r="C4150">
        <f ca="1"/>
        <v>-0.60115012012294722</v>
      </c>
      <c r="D4150">
        <f ca="1"/>
        <v>-5.200169921742364E-2</v>
      </c>
      <c r="E4150">
        <f ca="1"/>
        <v>0.63381385140041246</v>
      </c>
      <c r="G4150">
        <f ca="1"/>
        <v>0.76580564187235745</v>
      </c>
    </row>
    <row r="4151" spans="3:7">
      <c r="C4151">
        <f ca="1"/>
        <v>-9.758870588613093E-2</v>
      </c>
      <c r="D4151">
        <f ca="1"/>
        <v>0.33027441536263352</v>
      </c>
      <c r="E4151">
        <f ca="1"/>
        <v>-0.52273834275320996</v>
      </c>
      <c r="G4151">
        <f ca="1"/>
        <v>0.39186011994403158</v>
      </c>
    </row>
    <row r="4152" spans="3:7">
      <c r="C4152">
        <f ca="1"/>
        <v>0.84448227616420846</v>
      </c>
      <c r="D4152">
        <f ca="1"/>
        <v>0.77188759979004407</v>
      </c>
      <c r="E4152">
        <f ca="1"/>
        <v>0.78729563146282433</v>
      </c>
      <c r="G4152">
        <f ca="1"/>
        <v>1.9287951927855649</v>
      </c>
    </row>
    <row r="4153" spans="3:7">
      <c r="C4153">
        <f ca="1"/>
        <v>0.73097428695925692</v>
      </c>
      <c r="D4153">
        <f ca="1"/>
        <v>-0.83478928579869904</v>
      </c>
      <c r="E4153">
        <f ca="1"/>
        <v>-0.50560279742653913</v>
      </c>
      <c r="G4153">
        <f ca="1"/>
        <v>1.4868307486454382</v>
      </c>
    </row>
    <row r="4154" spans="3:7">
      <c r="C4154">
        <f ca="1"/>
        <v>0.92760239857217353</v>
      </c>
      <c r="D4154">
        <f ca="1"/>
        <v>0.28944448476933732</v>
      </c>
      <c r="E4154">
        <f ca="1"/>
        <v>-1.5354369356845257</v>
      </c>
      <c r="G4154">
        <f ca="1"/>
        <v>3.3017909030645227</v>
      </c>
    </row>
    <row r="4155" spans="3:7">
      <c r="C4155">
        <f ca="1"/>
        <v>-1.373747442825326</v>
      </c>
      <c r="D4155">
        <f ca="1"/>
        <v>-0.66138773230775594</v>
      </c>
      <c r="E4155">
        <f ca="1"/>
        <v>-0.37184595116830105</v>
      </c>
      <c r="G4155">
        <f ca="1"/>
        <v>2.4628851805165768</v>
      </c>
    </row>
    <row r="4156" spans="3:7">
      <c r="C4156">
        <f ca="1"/>
        <v>-0.37208116559502746</v>
      </c>
      <c r="D4156">
        <f ca="1"/>
        <v>1.6297559193418312</v>
      </c>
      <c r="E4156">
        <f ca="1"/>
        <v>0.45884162164384945</v>
      </c>
      <c r="G4156">
        <f ca="1"/>
        <v>3.005084384173049</v>
      </c>
    </row>
    <row r="4157" spans="3:7">
      <c r="C4157">
        <f ca="1"/>
        <v>1.4794755593486995</v>
      </c>
      <c r="D4157">
        <f ca="1"/>
        <v>1.0117257982714767</v>
      </c>
      <c r="E4157">
        <f ca="1"/>
        <v>-2.1679826892876601</v>
      </c>
      <c r="G4157">
        <f ca="1"/>
        <v>7.9125859626491586</v>
      </c>
    </row>
    <row r="4158" spans="3:7">
      <c r="C4158">
        <f ca="1"/>
        <v>-6.0689435912194924E-2</v>
      </c>
      <c r="D4158">
        <f ca="1"/>
        <v>-0.81780678471049872</v>
      </c>
      <c r="E4158">
        <f ca="1"/>
        <v>-0.78851288285837162</v>
      </c>
      <c r="G4158">
        <f ca="1"/>
        <v>1.2942437111834846</v>
      </c>
    </row>
    <row r="4159" spans="3:7">
      <c r="C4159">
        <f ca="1"/>
        <v>-1.6198542256453876</v>
      </c>
      <c r="D4159">
        <f ca="1"/>
        <v>-1.229014508014876</v>
      </c>
      <c r="E4159">
        <f ca="1"/>
        <v>-0.40993278774329212</v>
      </c>
      <c r="G4159">
        <f ca="1"/>
        <v>4.3024492637192528</v>
      </c>
    </row>
    <row r="4160" spans="3:7">
      <c r="C4160">
        <f ca="1"/>
        <v>-1.6333243592714735</v>
      </c>
      <c r="D4160">
        <f ca="1"/>
        <v>1.5407793654461444</v>
      </c>
      <c r="E4160">
        <f ca="1"/>
        <v>0.39281270734377188</v>
      </c>
      <c r="G4160">
        <f ca="1"/>
        <v>5.1960513386249358</v>
      </c>
    </row>
    <row r="4161" spans="3:7">
      <c r="C4161">
        <f ca="1"/>
        <v>0.79060464845478717</v>
      </c>
      <c r="D4161">
        <f ca="1"/>
        <v>-0.76501683741651916</v>
      </c>
      <c r="E4161">
        <f ca="1"/>
        <v>6.9342503225959078E-3</v>
      </c>
      <c r="G4161">
        <f ca="1"/>
        <v>1.2103545555166271</v>
      </c>
    </row>
    <row r="4162" spans="3:7">
      <c r="C4162">
        <f ca="1"/>
        <v>9.6078267697523118E-2</v>
      </c>
      <c r="D4162">
        <f ca="1"/>
        <v>0.89404922785414964</v>
      </c>
      <c r="E4162">
        <f ca="1"/>
        <v>0.52423200052835195</v>
      </c>
      <c r="G4162">
        <f ca="1"/>
        <v>1.083374245728316</v>
      </c>
    </row>
    <row r="4163" spans="3:7">
      <c r="C4163">
        <f ca="1"/>
        <v>0.57561020789156292</v>
      </c>
      <c r="D4163">
        <f ca="1"/>
        <v>-2.5720264108506252E-2</v>
      </c>
      <c r="E4163">
        <f ca="1"/>
        <v>1.0644687733790652</v>
      </c>
      <c r="G4163">
        <f ca="1"/>
        <v>1.4650824129139113</v>
      </c>
    </row>
    <row r="4164" spans="3:7">
      <c r="C4164">
        <f ca="1"/>
        <v>0.58623357795210995</v>
      </c>
      <c r="D4164">
        <f ca="1"/>
        <v>-0.10647183951797541</v>
      </c>
      <c r="E4164">
        <f ca="1"/>
        <v>0.78480591996279225</v>
      </c>
      <c r="G4164">
        <f ca="1"/>
        <v>0.97092639253751878</v>
      </c>
    </row>
    <row r="4165" spans="3:7">
      <c r="C4165">
        <f ca="1"/>
        <v>-0.58903959035953768</v>
      </c>
      <c r="D4165">
        <f ca="1"/>
        <v>0.52750233163735549</v>
      </c>
      <c r="E4165">
        <f ca="1"/>
        <v>0.5083244628761715</v>
      </c>
      <c r="G4165">
        <f ca="1"/>
        <v>0.88362010845212691</v>
      </c>
    </row>
    <row r="4166" spans="3:7">
      <c r="C4166">
        <f ca="1"/>
        <v>1.2366458060798875</v>
      </c>
      <c r="D4166">
        <f ca="1"/>
        <v>-1.4726151724687104</v>
      </c>
      <c r="E4166">
        <f ca="1"/>
        <v>2.1785000283690117</v>
      </c>
      <c r="G4166">
        <f ca="1"/>
        <v>8.4437506694838085</v>
      </c>
    </row>
    <row r="4167" spans="3:7">
      <c r="C4167">
        <f ca="1"/>
        <v>6.8290118827882274E-2</v>
      </c>
      <c r="D4167">
        <f ca="1"/>
        <v>0.43338181551447624</v>
      </c>
      <c r="E4167">
        <f ca="1"/>
        <v>0.75263979521170876</v>
      </c>
      <c r="G4167">
        <f ca="1"/>
        <v>0.75894999968447274</v>
      </c>
    </row>
    <row r="4168" spans="3:7">
      <c r="C4168">
        <f ca="1"/>
        <v>-1.7915572535050925</v>
      </c>
      <c r="D4168">
        <f ca="1"/>
        <v>0.6365669946304181</v>
      </c>
      <c r="E4168">
        <f ca="1"/>
        <v>-0.7816584675164312</v>
      </c>
      <c r="G4168">
        <f ca="1"/>
        <v>4.2258848910796489</v>
      </c>
    </row>
    <row r="4169" spans="3:7">
      <c r="C4169">
        <f ca="1"/>
        <v>0.8016716895869761</v>
      </c>
      <c r="D4169">
        <f ca="1"/>
        <v>0.3535532436391195</v>
      </c>
      <c r="E4169">
        <f ca="1"/>
        <v>-0.61199808309917314</v>
      </c>
      <c r="G4169">
        <f ca="1"/>
        <v>1.142219047690042</v>
      </c>
    </row>
    <row r="4170" spans="3:7">
      <c r="C4170">
        <f ca="1"/>
        <v>1.1915117783422935</v>
      </c>
      <c r="D4170">
        <f ca="1"/>
        <v>-1.2919450992631059</v>
      </c>
      <c r="E4170">
        <f ca="1"/>
        <v>0.72096573960885679</v>
      </c>
      <c r="G4170">
        <f ca="1"/>
        <v>3.6086140551281169</v>
      </c>
    </row>
    <row r="4171" spans="3:7">
      <c r="C4171">
        <f ca="1"/>
        <v>-1.2122629545776551</v>
      </c>
      <c r="D4171">
        <f ca="1"/>
        <v>-0.88924542297250886</v>
      </c>
      <c r="E4171">
        <f ca="1"/>
        <v>-1.0163624033536096</v>
      </c>
      <c r="G4171">
        <f ca="1"/>
        <v>3.293331428269628</v>
      </c>
    </row>
    <row r="4172" spans="3:7">
      <c r="C4172">
        <f ca="1"/>
        <v>-1.2393427511779394</v>
      </c>
      <c r="D4172">
        <f ca="1"/>
        <v>-1.4816974547768551</v>
      </c>
      <c r="E4172">
        <f ca="1"/>
        <v>1.1991990995471489</v>
      </c>
      <c r="G4172">
        <f ca="1"/>
        <v>5.1694762827442071</v>
      </c>
    </row>
    <row r="4173" spans="3:7">
      <c r="C4173">
        <f ca="1"/>
        <v>-0.60953391360939468</v>
      </c>
      <c r="D4173">
        <f ca="1"/>
        <v>0.12267565002680152</v>
      </c>
      <c r="E4173">
        <f ca="1"/>
        <v>-0.73694340623260646</v>
      </c>
      <c r="G4173">
        <f ca="1"/>
        <v>0.92966649093919973</v>
      </c>
    </row>
    <row r="4174" spans="3:7">
      <c r="C4174">
        <f ca="1"/>
        <v>0.21538630936642678</v>
      </c>
      <c r="D4174">
        <f ca="1"/>
        <v>-0.93120432515864748</v>
      </c>
      <c r="E4174">
        <f ca="1"/>
        <v>1.0206955517908245</v>
      </c>
      <c r="G4174">
        <f ca="1"/>
        <v>1.9553521669022378</v>
      </c>
    </row>
    <row r="4175" spans="3:7">
      <c r="C4175">
        <f ca="1"/>
        <v>1.3568900963957835</v>
      </c>
      <c r="D4175">
        <f ca="1"/>
        <v>1.3520356125184578</v>
      </c>
      <c r="E4175">
        <f ca="1"/>
        <v>-0.2736202355903859</v>
      </c>
      <c r="G4175">
        <f ca="1"/>
        <v>3.7440190645396583</v>
      </c>
    </row>
    <row r="4176" spans="3:7">
      <c r="C4176">
        <f ca="1"/>
        <v>1.3426620124083073</v>
      </c>
      <c r="D4176">
        <f ca="1"/>
        <v>0.51483326613515978</v>
      </c>
      <c r="E4176">
        <f ca="1"/>
        <v>-4.9042394534192173E-2</v>
      </c>
      <c r="G4176">
        <f ca="1"/>
        <v>2.070199727945369</v>
      </c>
    </row>
    <row r="4177" spans="3:7">
      <c r="C4177">
        <f ca="1"/>
        <v>-0.97859417673971827</v>
      </c>
      <c r="D4177">
        <f ca="1"/>
        <v>0.55622772261408882</v>
      </c>
      <c r="E4177">
        <f ca="1"/>
        <v>-0.65660865606594399</v>
      </c>
      <c r="G4177">
        <f ca="1"/>
        <v>1.6981707693740677</v>
      </c>
    </row>
    <row r="4178" spans="3:7">
      <c r="C4178">
        <f ca="1"/>
        <v>-0.11329835477887071</v>
      </c>
      <c r="D4178">
        <f ca="1"/>
        <v>0.28771240954269084</v>
      </c>
      <c r="E4178">
        <f ca="1"/>
        <v>7.0679165025423374E-2</v>
      </c>
      <c r="G4178">
        <f ca="1"/>
        <v>0.10061049216915095</v>
      </c>
    </row>
    <row r="4179" spans="3:7">
      <c r="C4179">
        <f ca="1"/>
        <v>3.7195433776861311E-2</v>
      </c>
      <c r="D4179">
        <f ca="1"/>
        <v>1.8517644624259313</v>
      </c>
      <c r="E4179">
        <f ca="1"/>
        <v>0.37196506417426545</v>
      </c>
      <c r="G4179">
        <f ca="1"/>
        <v>3.5687731335636124</v>
      </c>
    </row>
    <row r="4180" spans="3:7">
      <c r="C4180">
        <f ca="1"/>
        <v>0.28997471139963216</v>
      </c>
      <c r="D4180">
        <f ca="1"/>
        <v>0.18697727944651879</v>
      </c>
      <c r="E4180">
        <f ca="1"/>
        <v>0.91853470874047727</v>
      </c>
      <c r="G4180">
        <f ca="1"/>
        <v>0.96275184744147502</v>
      </c>
    </row>
    <row r="4181" spans="3:7">
      <c r="C4181">
        <f ca="1"/>
        <v>0.48112165952265995</v>
      </c>
      <c r="D4181">
        <f ca="1"/>
        <v>0.11772337110888099</v>
      </c>
      <c r="E4181">
        <f ca="1"/>
        <v>0.57602884379981922</v>
      </c>
      <c r="G4181">
        <f ca="1"/>
        <v>0.57714607225643422</v>
      </c>
    </row>
    <row r="4182" spans="3:7">
      <c r="C4182">
        <f ca="1"/>
        <v>0.23969460311607044</v>
      </c>
      <c r="D4182">
        <f ca="1"/>
        <v>-0.12843030306597439</v>
      </c>
      <c r="E4182">
        <f ca="1"/>
        <v>0.52893546572398853</v>
      </c>
      <c r="G4182">
        <f ca="1"/>
        <v>0.35372057240924121</v>
      </c>
    </row>
    <row r="4183" spans="3:7">
      <c r="C4183">
        <f ca="1"/>
        <v>-0.17404785264079678</v>
      </c>
      <c r="D4183">
        <f ca="1"/>
        <v>-0.90891053008147837</v>
      </c>
      <c r="E4183">
        <f ca="1"/>
        <v>0.13898792801674101</v>
      </c>
      <c r="G4183">
        <f ca="1"/>
        <v>0.87572865083625318</v>
      </c>
    </row>
    <row r="4184" spans="3:7">
      <c r="C4184">
        <f ca="1"/>
        <v>0.17597623189963985</v>
      </c>
      <c r="D4184">
        <f ca="1"/>
        <v>1.7932776400115169</v>
      </c>
      <c r="E4184">
        <f ca="1"/>
        <v>-0.51373999616645383</v>
      </c>
      <c r="G4184">
        <f ca="1"/>
        <v>3.5107411120199794</v>
      </c>
    </row>
    <row r="4185" spans="3:7">
      <c r="C4185">
        <f ca="1"/>
        <v>0.53059164648443058</v>
      </c>
      <c r="D4185">
        <f ca="1"/>
        <v>-0.11219352450485733</v>
      </c>
      <c r="E4185">
        <f ca="1"/>
        <v>-1.3393309769117139</v>
      </c>
      <c r="G4185">
        <f ca="1"/>
        <v>2.0879223479751667</v>
      </c>
    </row>
    <row r="4186" spans="3:7">
      <c r="C4186">
        <f ca="1"/>
        <v>-0.33442193520528601</v>
      </c>
      <c r="D4186">
        <f ca="1"/>
        <v>1.3488566146947443</v>
      </c>
      <c r="E4186">
        <f ca="1"/>
        <v>5.017931828735183E-2</v>
      </c>
      <c r="G4186">
        <f ca="1"/>
        <v>1.9337701617359977</v>
      </c>
    </row>
    <row r="4187" spans="3:7">
      <c r="C4187">
        <f ca="1"/>
        <v>-0.56099499532488017</v>
      </c>
      <c r="D4187">
        <f ca="1"/>
        <v>-7.6721502205033779E-2</v>
      </c>
      <c r="E4187">
        <f ca="1"/>
        <v>0.73844844227048156</v>
      </c>
      <c r="G4187">
        <f ca="1"/>
        <v>0.86590767557185999</v>
      </c>
    </row>
    <row r="4188" spans="3:7">
      <c r="C4188">
        <f ca="1"/>
        <v>0.71201659274169937</v>
      </c>
      <c r="D4188">
        <f ca="1"/>
        <v>-0.7425593658408457</v>
      </c>
      <c r="E4188">
        <f ca="1"/>
        <v>0.25057272566812228</v>
      </c>
      <c r="G4188">
        <f ca="1"/>
        <v>1.1211487309862098</v>
      </c>
    </row>
    <row r="4189" spans="3:7">
      <c r="C4189">
        <f ca="1"/>
        <v>-1.9511362003955832</v>
      </c>
      <c r="D4189">
        <f ca="1"/>
        <v>-0.71293980359696452</v>
      </c>
      <c r="E4189">
        <f ca="1"/>
        <v>1.2078296788981302</v>
      </c>
      <c r="G4189">
        <f ca="1"/>
        <v>5.7740681692741518</v>
      </c>
    </row>
    <row r="4190" spans="3:7">
      <c r="C4190">
        <f ca="1"/>
        <v>-1.1982197963665926</v>
      </c>
      <c r="D4190">
        <f ca="1"/>
        <v>-0.61073828640424366</v>
      </c>
      <c r="E4190">
        <f ca="1"/>
        <v>-0.11379830455615232</v>
      </c>
      <c r="G4190">
        <f ca="1"/>
        <v>1.8216819890046454</v>
      </c>
    </row>
    <row r="4191" spans="3:7">
      <c r="C4191">
        <f ca="1"/>
        <v>1.4711786924837751</v>
      </c>
      <c r="D4191">
        <f ca="1"/>
        <v>1.1715057046865436</v>
      </c>
      <c r="E4191">
        <f ca="1"/>
        <v>1.5437778991394038</v>
      </c>
      <c r="G4191">
        <f ca="1"/>
        <v>5.9200425632026565</v>
      </c>
    </row>
    <row r="4192" spans="3:7">
      <c r="C4192">
        <f ca="1"/>
        <v>2.8692951581822572E-3</v>
      </c>
      <c r="D4192">
        <f ca="1"/>
        <v>-0.93153294238404993</v>
      </c>
      <c r="E4192">
        <f ca="1"/>
        <v>-0.36703377799869197</v>
      </c>
      <c r="G4192">
        <f ca="1"/>
        <v>1.0024756497933835</v>
      </c>
    </row>
    <row r="4193" spans="3:7">
      <c r="C4193">
        <f ca="1"/>
        <v>5.7996541664849896E-2</v>
      </c>
      <c r="D4193">
        <f ca="1"/>
        <v>0.95101830521581487</v>
      </c>
      <c r="E4193">
        <f ca="1"/>
        <v>1.2766566367387158</v>
      </c>
      <c r="G4193">
        <f ca="1"/>
        <v>2.5376515838296525</v>
      </c>
    </row>
    <row r="4194" spans="3:7">
      <c r="C4194">
        <f ca="1"/>
        <v>1.0566680681521279</v>
      </c>
      <c r="D4194">
        <f ca="1"/>
        <v>0.38459261009997414</v>
      </c>
      <c r="E4194">
        <f ca="1"/>
        <v>-0.36538631914664244</v>
      </c>
      <c r="G4194">
        <f ca="1"/>
        <v>1.3979660442153927</v>
      </c>
    </row>
    <row r="4195" spans="3:7">
      <c r="C4195">
        <f ca="1"/>
        <v>-0.33952252768393276</v>
      </c>
      <c r="D4195">
        <f ca="1"/>
        <v>-0.93274395878214778</v>
      </c>
      <c r="E4195">
        <f ca="1"/>
        <v>-2.0236225179169245</v>
      </c>
      <c r="G4195">
        <f ca="1"/>
        <v>5.0803349344699136</v>
      </c>
    </row>
    <row r="4196" spans="3:7">
      <c r="C4196">
        <f ca="1"/>
        <v>1.4335671287125111</v>
      </c>
      <c r="D4196">
        <f ca="1"/>
        <v>-0.36828337638755992</v>
      </c>
      <c r="E4196">
        <f ca="1"/>
        <v>1.1873374893295721</v>
      </c>
      <c r="G4196">
        <f ca="1"/>
        <v>3.600517671415906</v>
      </c>
    </row>
    <row r="4197" spans="3:7">
      <c r="C4197">
        <f ca="1"/>
        <v>-0.94649039604097196</v>
      </c>
      <c r="D4197">
        <f ca="1"/>
        <v>0.82716960269033524</v>
      </c>
      <c r="E4197">
        <f ca="1"/>
        <v>-0.12456173271047383</v>
      </c>
      <c r="G4197">
        <f ca="1"/>
        <v>1.5955692466685185</v>
      </c>
    </row>
    <row r="4198" spans="3:7">
      <c r="C4198">
        <f ca="1"/>
        <v>0.6041395208603858</v>
      </c>
      <c r="D4198">
        <f ca="1"/>
        <v>1.1172209693106718</v>
      </c>
      <c r="E4198">
        <f ca="1"/>
        <v>0.83320104083965663</v>
      </c>
      <c r="G4198">
        <f ca="1"/>
        <v>2.307391229389181</v>
      </c>
    </row>
    <row r="4199" spans="3:7">
      <c r="C4199">
        <f ca="1"/>
        <v>-2.4811143398508428</v>
      </c>
      <c r="D4199">
        <f ca="1"/>
        <v>-1.0127365025349142</v>
      </c>
      <c r="E4199">
        <f ca="1"/>
        <v>1.184466839320619</v>
      </c>
      <c r="G4199">
        <f ca="1"/>
        <v>8.5845252844303115</v>
      </c>
    </row>
    <row r="4200" spans="3:7">
      <c r="C4200">
        <f ca="1"/>
        <v>-0.20589865838822677</v>
      </c>
      <c r="D4200">
        <f ca="1"/>
        <v>-1.0940600806974821</v>
      </c>
      <c r="E4200">
        <f ca="1"/>
        <v>-0.54013720536664578</v>
      </c>
      <c r="G4200">
        <f ca="1"/>
        <v>1.5311099183231427</v>
      </c>
    </row>
    <row r="4201" spans="3:7">
      <c r="C4201">
        <f ca="1"/>
        <v>-0.39550294624101279</v>
      </c>
      <c r="D4201">
        <f ca="1"/>
        <v>0.11374386597605989</v>
      </c>
      <c r="E4201">
        <f ca="1"/>
        <v>0.59671160765107079</v>
      </c>
      <c r="G4201">
        <f ca="1"/>
        <v>0.5254249902380268</v>
      </c>
    </row>
    <row r="4202" spans="3:7">
      <c r="C4202">
        <f ca="1"/>
        <v>1.2149744181819366</v>
      </c>
      <c r="D4202">
        <f ca="1"/>
        <v>-0.43894999775953808</v>
      </c>
      <c r="E4202">
        <f ca="1"/>
        <v>0.34168229358819191</v>
      </c>
      <c r="G4202">
        <f ca="1"/>
        <v>1.7855867271213213</v>
      </c>
    </row>
    <row r="4203" spans="3:7">
      <c r="C4203">
        <f ca="1"/>
        <v>2.0084905053176463E-2</v>
      </c>
      <c r="D4203">
        <f ca="1"/>
        <v>0.42969292786428637</v>
      </c>
      <c r="E4203">
        <f ca="1"/>
        <v>1.7436986943468278</v>
      </c>
      <c r="G4203">
        <f ca="1"/>
        <v>3.2255245523344098</v>
      </c>
    </row>
    <row r="4204" spans="3:7">
      <c r="C4204">
        <f ca="1"/>
        <v>-1.8284595882733228</v>
      </c>
      <c r="D4204">
        <f ca="1"/>
        <v>0.76223708356742614</v>
      </c>
      <c r="E4204">
        <f ca="1"/>
        <v>0.98195291068634316</v>
      </c>
      <c r="G4204">
        <f ca="1"/>
        <v>4.8885013563194057</v>
      </c>
    </row>
    <row r="4205" spans="3:7">
      <c r="C4205">
        <f ca="1"/>
        <v>0.34763340479792415</v>
      </c>
      <c r="D4205">
        <f ca="1"/>
        <v>0.66433638845349963</v>
      </c>
      <c r="E4205">
        <f ca="1"/>
        <v>-0.5528509740030394</v>
      </c>
      <c r="G4205">
        <f ca="1"/>
        <v>0.86783602061094589</v>
      </c>
    </row>
    <row r="4206" spans="3:7">
      <c r="C4206">
        <f ca="1"/>
        <v>0.67215381027194299</v>
      </c>
      <c r="D4206">
        <f ca="1"/>
        <v>-0.38069079078142409</v>
      </c>
      <c r="E4206">
        <f ca="1"/>
        <v>-0.14881766238735075</v>
      </c>
      <c r="G4206">
        <f ca="1"/>
        <v>0.61886291948731265</v>
      </c>
    </row>
    <row r="4207" spans="3:7">
      <c r="C4207">
        <f ca="1"/>
        <v>1.0963346666874469</v>
      </c>
      <c r="D4207">
        <f ca="1"/>
        <v>1.540202658283613</v>
      </c>
      <c r="E4207">
        <f ca="1"/>
        <v>2.025246742360439</v>
      </c>
      <c r="G4207">
        <f ca="1"/>
        <v>7.6757982974061543</v>
      </c>
    </row>
    <row r="4208" spans="3:7">
      <c r="C4208">
        <f ca="1"/>
        <v>-0.90555774387851551</v>
      </c>
      <c r="D4208">
        <f ca="1"/>
        <v>0.84423823138812559</v>
      </c>
      <c r="E4208">
        <f ca="1"/>
        <v>0.12144540110084008</v>
      </c>
      <c r="G4208">
        <f ca="1"/>
        <v>1.5475220042842412</v>
      </c>
    </row>
    <row r="4209" spans="3:7">
      <c r="C4209">
        <f ca="1"/>
        <v>0.67088120038282495</v>
      </c>
      <c r="D4209">
        <f ca="1"/>
        <v>1.3697573912779564</v>
      </c>
      <c r="E4209">
        <f ca="1"/>
        <v>-0.42549640470486794</v>
      </c>
      <c r="G4209">
        <f ca="1"/>
        <v>2.5073640864044613</v>
      </c>
    </row>
    <row r="4210" spans="3:7">
      <c r="C4210">
        <f ca="1"/>
        <v>1.3872099188197222</v>
      </c>
      <c r="D4210">
        <f ca="1"/>
        <v>-0.55562464024674874</v>
      </c>
      <c r="E4210">
        <f ca="1"/>
        <v>0.35953742964944368</v>
      </c>
      <c r="G4210">
        <f ca="1"/>
        <v>2.3623372630400779</v>
      </c>
    </row>
    <row r="4211" spans="3:7">
      <c r="C4211">
        <f ca="1"/>
        <v>0.66758682224054355</v>
      </c>
      <c r="D4211">
        <f ca="1"/>
        <v>-0.15527933678289255</v>
      </c>
      <c r="E4211">
        <f ca="1"/>
        <v>-0.40603470336863617</v>
      </c>
      <c r="G4211">
        <f ca="1"/>
        <v>0.63464801800061843</v>
      </c>
    </row>
    <row r="4212" spans="3:7">
      <c r="C4212">
        <f ca="1"/>
        <v>-0.85031942915057512</v>
      </c>
      <c r="D4212">
        <f ca="1"/>
        <v>0.76757641328643733</v>
      </c>
      <c r="E4212">
        <f ca="1"/>
        <v>-9.2681445945605196E-3</v>
      </c>
      <c r="G4212">
        <f ca="1"/>
        <v>1.3123025803288573</v>
      </c>
    </row>
    <row r="4213" spans="3:7">
      <c r="C4213">
        <f ca="1"/>
        <v>0.65927131472084233</v>
      </c>
      <c r="D4213">
        <f ca="1"/>
        <v>-1.3854073441746091</v>
      </c>
      <c r="E4213">
        <f ca="1"/>
        <v>-0.56274382811825485</v>
      </c>
      <c r="G4213">
        <f ca="1"/>
        <v>2.6706727917918798</v>
      </c>
    </row>
    <row r="4214" spans="3:7">
      <c r="C4214">
        <f ca="1"/>
        <v>-3.0450397869622968E-2</v>
      </c>
      <c r="D4214">
        <f ca="1"/>
        <v>-0.52413288656359958</v>
      </c>
      <c r="E4214">
        <f ca="1"/>
        <v>-0.7563485859932797</v>
      </c>
      <c r="G4214">
        <f ca="1"/>
        <v>0.8477056930419431</v>
      </c>
    </row>
    <row r="4215" spans="3:7">
      <c r="C4215">
        <f ca="1"/>
        <v>0.80707562049368864</v>
      </c>
      <c r="D4215">
        <f ca="1"/>
        <v>0.81376004659780887</v>
      </c>
      <c r="E4215">
        <f ca="1"/>
        <v>-3.9583207320543774E-2</v>
      </c>
      <c r="G4215">
        <f ca="1"/>
        <v>1.3151433009359217</v>
      </c>
    </row>
    <row r="4216" spans="3:7">
      <c r="C4216">
        <f ca="1"/>
        <v>-0.11307819364725183</v>
      </c>
      <c r="D4216">
        <f ca="1"/>
        <v>-1.0077838331624127</v>
      </c>
      <c r="E4216">
        <f ca="1"/>
        <v>0.81477451036499948</v>
      </c>
      <c r="G4216">
        <f ca="1"/>
        <v>1.6922724350025757</v>
      </c>
    </row>
    <row r="4217" spans="3:7">
      <c r="C4217">
        <f ca="1"/>
        <v>0.56425043268002406</v>
      </c>
      <c r="D4217">
        <f ca="1"/>
        <v>0.23109515414238543</v>
      </c>
      <c r="E4217">
        <f ca="1"/>
        <v>-0.338451885215867</v>
      </c>
      <c r="G4217">
        <f ca="1"/>
        <v>0.48633319965386168</v>
      </c>
    </row>
    <row r="4218" spans="3:7">
      <c r="C4218">
        <f ca="1"/>
        <v>-3.4178098701815901E-2</v>
      </c>
      <c r="D4218">
        <f ca="1"/>
        <v>-1.3058904734570431</v>
      </c>
      <c r="E4218">
        <f ca="1"/>
        <v>-0.89883623219238329</v>
      </c>
      <c r="G4218">
        <f ca="1"/>
        <v>2.5144246433985313</v>
      </c>
    </row>
    <row r="4219" spans="3:7">
      <c r="C4219">
        <f ca="1"/>
        <v>1.4459719005290426</v>
      </c>
      <c r="D4219">
        <f ca="1"/>
        <v>2.0923900109419868</v>
      </c>
      <c r="E4219">
        <f ca="1"/>
        <v>-0.28664316504009596</v>
      </c>
      <c r="G4219">
        <f ca="1"/>
        <v>6.5510949990735821</v>
      </c>
    </row>
    <row r="4220" spans="3:7">
      <c r="C4220">
        <f ca="1"/>
        <v>1.1701753100806198</v>
      </c>
      <c r="D4220">
        <f ca="1"/>
        <v>0.95972840547169525</v>
      </c>
      <c r="E4220">
        <f ca="1"/>
        <v>0.26924601575725282</v>
      </c>
      <c r="G4220">
        <f ca="1"/>
        <v>2.3628822855926721</v>
      </c>
    </row>
    <row r="4221" spans="3:7">
      <c r="C4221">
        <f ca="1"/>
        <v>-1.5476367286673148E-2</v>
      </c>
      <c r="D4221">
        <f ca="1"/>
        <v>-0.18230882293483261</v>
      </c>
      <c r="E4221">
        <f ca="1"/>
        <v>-0.26216018079863657</v>
      </c>
      <c r="G4221">
        <f ca="1"/>
        <v>0.10220398526064997</v>
      </c>
    </row>
    <row r="4222" spans="3:7">
      <c r="C4222">
        <f ca="1"/>
        <v>-0.30082619940780869</v>
      </c>
      <c r="D4222">
        <f ca="1"/>
        <v>0.27551288701127058</v>
      </c>
      <c r="E4222">
        <f ca="1"/>
        <v>0.14106254384999573</v>
      </c>
      <c r="G4222">
        <f ca="1"/>
        <v>0.18630239443686381</v>
      </c>
    </row>
    <row r="4223" spans="3:7">
      <c r="C4223">
        <f ca="1"/>
        <v>2.0754081237026112</v>
      </c>
      <c r="D4223">
        <f ca="1"/>
        <v>-1.21278548186546</v>
      </c>
      <c r="E4223">
        <f ca="1"/>
        <v>0.33391868915232342</v>
      </c>
      <c r="G4223">
        <f ca="1"/>
        <v>5.8896691959196339</v>
      </c>
    </row>
    <row r="4224" spans="3:7">
      <c r="C4224">
        <f ca="1"/>
        <v>1.191598196425167</v>
      </c>
      <c r="D4224">
        <f ca="1"/>
        <v>-0.9855131759404242</v>
      </c>
      <c r="E4224">
        <f ca="1"/>
        <v>-1.4148626518220486</v>
      </c>
      <c r="G4224">
        <f ca="1"/>
        <v>4.3929788051968117</v>
      </c>
    </row>
    <row r="4225" spans="3:7">
      <c r="C4225">
        <f ca="1"/>
        <v>1.0772798606994178</v>
      </c>
      <c r="D4225">
        <f ca="1"/>
        <v>-0.76130392815994385</v>
      </c>
      <c r="E4225">
        <f ca="1"/>
        <v>-1.4420523695624949</v>
      </c>
      <c r="G4225">
        <f ca="1"/>
        <v>3.8196306058611249</v>
      </c>
    </row>
    <row r="4226" spans="3:7">
      <c r="C4226">
        <f ca="1"/>
        <v>0.54826313690857154</v>
      </c>
      <c r="D4226">
        <f ca="1"/>
        <v>-3.4331449522975184E-2</v>
      </c>
      <c r="E4226">
        <f ca="1"/>
        <v>-0.6125467014498297</v>
      </c>
      <c r="G4226">
        <f ca="1"/>
        <v>0.67698457717624239</v>
      </c>
    </row>
    <row r="4227" spans="3:7">
      <c r="C4227">
        <f ca="1"/>
        <v>-0.8658251055175622</v>
      </c>
      <c r="D4227">
        <f ca="1"/>
        <v>-1.5934137679238056</v>
      </c>
      <c r="E4227">
        <f ca="1"/>
        <v>1.0800359574965155</v>
      </c>
      <c r="G4227">
        <f ca="1"/>
        <v>4.4550982186390522</v>
      </c>
    </row>
    <row r="4228" spans="3:7">
      <c r="C4228">
        <f ca="1"/>
        <v>-0.35741458687684552</v>
      </c>
      <c r="D4228">
        <f ca="1"/>
        <v>-0.99913072703643169</v>
      </c>
      <c r="E4228">
        <f ca="1"/>
        <v>-0.97899365257906978</v>
      </c>
      <c r="G4228">
        <f ca="1"/>
        <v>2.0844359684108031</v>
      </c>
    </row>
    <row r="4229" spans="3:7">
      <c r="C4229">
        <f ca="1"/>
        <v>2.7815644156918551</v>
      </c>
      <c r="D4229">
        <f ca="1"/>
        <v>-0.75675193855262335</v>
      </c>
      <c r="E4229">
        <f ca="1"/>
        <v>-0.91806562610886189</v>
      </c>
      <c r="G4229">
        <f ca="1"/>
        <v>9.1526185889889824</v>
      </c>
    </row>
    <row r="4230" spans="3:7">
      <c r="C4230">
        <f ca="1"/>
        <v>1.3147248864915451</v>
      </c>
      <c r="D4230">
        <f ca="1"/>
        <v>0.11571855027082549</v>
      </c>
      <c r="E4230">
        <f ca="1"/>
        <v>0.91460872048412201</v>
      </c>
      <c r="G4230">
        <f ca="1"/>
        <v>2.5784014216225906</v>
      </c>
    </row>
    <row r="4231" spans="3:7">
      <c r="C4231">
        <f ca="1"/>
        <v>-2.0714036378502358</v>
      </c>
      <c r="D4231">
        <f ca="1"/>
        <v>0.86946419087780735</v>
      </c>
      <c r="E4231">
        <f ca="1"/>
        <v>-0.32750922338123239</v>
      </c>
      <c r="G4231">
        <f ca="1"/>
        <v>5.1539433015177689</v>
      </c>
    </row>
    <row r="4232" spans="3:7">
      <c r="C4232">
        <f ca="1"/>
        <v>0.70438478547203554</v>
      </c>
      <c r="D4232">
        <f ca="1"/>
        <v>-0.69840769255909163</v>
      </c>
      <c r="E4232">
        <f ca="1"/>
        <v>-0.3983603021402794</v>
      </c>
      <c r="G4232">
        <f ca="1"/>
        <v>1.1426221613514949</v>
      </c>
    </row>
    <row r="4233" spans="3:7">
      <c r="C4233">
        <f ca="1"/>
        <v>6.2949732697157451E-2</v>
      </c>
      <c r="D4233">
        <f ca="1"/>
        <v>0.17837315163821993</v>
      </c>
      <c r="E4233">
        <f ca="1"/>
        <v>0.7055980771660646</v>
      </c>
      <c r="G4233">
        <f ca="1"/>
        <v>0.53364829657244262</v>
      </c>
    </row>
    <row r="4234" spans="3:7">
      <c r="C4234">
        <f ca="1"/>
        <v>-1.3357287836719118</v>
      </c>
      <c r="D4234">
        <f ca="1"/>
        <v>-0.71128558479859982</v>
      </c>
      <c r="E4234">
        <f ca="1"/>
        <v>-1.6128540393715707</v>
      </c>
      <c r="G4234">
        <f ca="1"/>
        <v>4.8913967189891228</v>
      </c>
    </row>
    <row r="4235" spans="3:7">
      <c r="C4235">
        <f ca="1"/>
        <v>-0.57847102729654121</v>
      </c>
      <c r="D4235">
        <f ca="1"/>
        <v>0.85787611485822812</v>
      </c>
      <c r="E4235">
        <f ca="1"/>
        <v>0.37834470725806824</v>
      </c>
      <c r="G4235">
        <f ca="1"/>
        <v>1.2137248753759569</v>
      </c>
    </row>
    <row r="4236" spans="3:7">
      <c r="C4236">
        <f ca="1"/>
        <v>0.51792883191784189</v>
      </c>
      <c r="D4236">
        <f ca="1"/>
        <v>0.50018820655328255</v>
      </c>
      <c r="E4236">
        <f ca="1"/>
        <v>0.75747221493129535</v>
      </c>
      <c r="G4236">
        <f ca="1"/>
        <v>1.0922026732996919</v>
      </c>
    </row>
    <row r="4237" spans="3:7">
      <c r="C4237">
        <f ca="1"/>
        <v>0.26439126391590173</v>
      </c>
      <c r="D4237">
        <f ca="1"/>
        <v>0.46093656180773163</v>
      </c>
      <c r="E4237">
        <f ca="1"/>
        <v>1.464369803367112</v>
      </c>
      <c r="G4237">
        <f ca="1"/>
        <v>2.4267441754596151</v>
      </c>
    </row>
    <row r="4238" spans="3:7">
      <c r="C4238">
        <f ca="1"/>
        <v>-0.38489917844488947</v>
      </c>
      <c r="D4238">
        <f ca="1"/>
        <v>1.1993427034962956</v>
      </c>
      <c r="E4238">
        <f ca="1"/>
        <v>-0.69632545775737664</v>
      </c>
      <c r="G4238">
        <f ca="1"/>
        <v>2.0714394411183741</v>
      </c>
    </row>
    <row r="4239" spans="3:7">
      <c r="C4239">
        <f ca="1"/>
        <v>1.4653275245218287</v>
      </c>
      <c r="D4239">
        <f ca="1"/>
        <v>0.21289834681971551</v>
      </c>
      <c r="E4239">
        <f ca="1"/>
        <v>0.61299941651826706</v>
      </c>
      <c r="G4239">
        <f ca="1"/>
        <v>2.568278744851574</v>
      </c>
    </row>
    <row r="4240" spans="3:7">
      <c r="C4240">
        <f ca="1"/>
        <v>8.7669134304746765E-2</v>
      </c>
      <c r="D4240">
        <f ca="1"/>
        <v>-0.15357189171152863</v>
      </c>
      <c r="E4240">
        <f ca="1"/>
        <v>2.0348644711650135</v>
      </c>
      <c r="G4240">
        <f ca="1"/>
        <v>4.1719436190432715</v>
      </c>
    </row>
    <row r="4241" spans="3:7">
      <c r="C4241">
        <f ca="1"/>
        <v>-0.47502354806626768</v>
      </c>
      <c r="D4241">
        <f ca="1"/>
        <v>1.8783266698331322</v>
      </c>
      <c r="E4241">
        <f ca="1"/>
        <v>-0.80934862577957023</v>
      </c>
      <c r="G4241">
        <f ca="1"/>
        <v>4.4088036478751693</v>
      </c>
    </row>
    <row r="4242" spans="3:7">
      <c r="C4242">
        <f ca="1"/>
        <v>-0.90019725635656722</v>
      </c>
      <c r="D4242">
        <f ca="1"/>
        <v>-2.0346718553638121</v>
      </c>
      <c r="E4242">
        <f ca="1"/>
        <v>0.43643900965477328</v>
      </c>
      <c r="G4242">
        <f ca="1"/>
        <v>5.1407236685099482</v>
      </c>
    </row>
    <row r="4243" spans="3:7">
      <c r="C4243">
        <f ca="1"/>
        <v>-0.83703225033943129</v>
      </c>
      <c r="D4243">
        <f ca="1"/>
        <v>1.5372490828647074</v>
      </c>
      <c r="E4243">
        <f ca="1"/>
        <v>-0.38101633151325254</v>
      </c>
      <c r="G4243">
        <f ca="1"/>
        <v>3.2089311757564931</v>
      </c>
    </row>
    <row r="4244" spans="3:7">
      <c r="C4244">
        <f ca="1"/>
        <v>0.95365104864780548</v>
      </c>
      <c r="D4244">
        <f ca="1"/>
        <v>0.22847284618590005</v>
      </c>
      <c r="E4244">
        <f ca="1"/>
        <v>0.37406424446345099</v>
      </c>
      <c r="G4244">
        <f ca="1"/>
        <v>1.1015742230173573</v>
      </c>
    </row>
    <row r="4245" spans="3:7">
      <c r="C4245">
        <f ca="1"/>
        <v>0.19670618570974027</v>
      </c>
      <c r="D4245">
        <f ca="1"/>
        <v>0.4888100463454616</v>
      </c>
      <c r="E4245">
        <f ca="1"/>
        <v>0.13201390321984982</v>
      </c>
      <c r="G4245">
        <f ca="1"/>
        <v>0.29505625554806703</v>
      </c>
    </row>
    <row r="4246" spans="3:7">
      <c r="C4246">
        <f ca="1"/>
        <v>-4.3040831440379207E-2</v>
      </c>
      <c r="D4246">
        <f ca="1"/>
        <v>1.0869330630437759</v>
      </c>
      <c r="E4246">
        <f ca="1"/>
        <v>2.3619506700855815</v>
      </c>
      <c r="G4246">
        <f ca="1"/>
        <v>6.7620869646265316</v>
      </c>
    </row>
    <row r="4247" spans="3:7">
      <c r="C4247">
        <f ca="1"/>
        <v>-0.66555774223307995</v>
      </c>
      <c r="D4247">
        <f ca="1"/>
        <v>-0.20807162721656264</v>
      </c>
      <c r="E4247">
        <f ca="1"/>
        <v>-1.0315203610143251</v>
      </c>
      <c r="G4247">
        <f ca="1"/>
        <v>1.5502951654860668</v>
      </c>
    </row>
    <row r="4248" spans="3:7">
      <c r="C4248">
        <f ca="1"/>
        <v>2.8071567537398101</v>
      </c>
      <c r="D4248">
        <f ca="1"/>
        <v>0.39025062938504407</v>
      </c>
      <c r="E4248">
        <f ca="1"/>
        <v>0.88316309101503132</v>
      </c>
      <c r="G4248">
        <f ca="1"/>
        <v>8.8124016391336752</v>
      </c>
    </row>
    <row r="4249" spans="3:7">
      <c r="C4249">
        <f ca="1"/>
        <v>0.23858234398665615</v>
      </c>
      <c r="D4249">
        <f ca="1"/>
        <v>-0.880787698656611</v>
      </c>
      <c r="E4249">
        <f ca="1"/>
        <v>1.6331888909215495</v>
      </c>
      <c r="G4249">
        <f ca="1"/>
        <v>3.5000144583965369</v>
      </c>
    </row>
    <row r="4250" spans="3:7">
      <c r="C4250">
        <f ca="1"/>
        <v>0.89324899825996573</v>
      </c>
      <c r="D4250">
        <f ca="1"/>
        <v>-1.4223092616135085</v>
      </c>
      <c r="E4250">
        <f ca="1"/>
        <v>0.15631189617227886</v>
      </c>
      <c r="G4250">
        <f ca="1"/>
        <v>2.8452908174489693</v>
      </c>
    </row>
    <row r="4251" spans="3:7">
      <c r="C4251">
        <f ca="1"/>
        <v>-1.247076147941766</v>
      </c>
      <c r="D4251">
        <f ca="1"/>
        <v>-0.49215171228963894</v>
      </c>
      <c r="E4251">
        <f ca="1"/>
        <v>1.4726585397993532</v>
      </c>
      <c r="G4251">
        <f ca="1"/>
        <v>3.9661354015188603</v>
      </c>
    </row>
    <row r="4252" spans="3:7">
      <c r="C4252">
        <f ca="1"/>
        <v>0.88627245554843426</v>
      </c>
      <c r="D4252">
        <f ca="1"/>
        <v>-0.86304748512139218</v>
      </c>
      <c r="E4252">
        <f ca="1"/>
        <v>0.80318311148816124</v>
      </c>
      <c r="G4252">
        <f ca="1"/>
        <v>2.175432937618015</v>
      </c>
    </row>
    <row r="4253" spans="3:7">
      <c r="C4253">
        <f ca="1"/>
        <v>0.33662090631402075</v>
      </c>
      <c r="D4253">
        <f ca="1"/>
        <v>-2.5864457444037554</v>
      </c>
      <c r="E4253">
        <f ca="1"/>
        <v>1.2815907753541282</v>
      </c>
      <c r="G4253">
        <f ca="1"/>
        <v>8.4454901387847645</v>
      </c>
    </row>
    <row r="4254" spans="3:7">
      <c r="C4254">
        <f ca="1"/>
        <v>0.5876082392935128</v>
      </c>
      <c r="D4254">
        <f ca="1"/>
        <v>-0.29201396196429685</v>
      </c>
      <c r="E4254">
        <f ca="1"/>
        <v>-2.9039280369775238</v>
      </c>
      <c r="G4254">
        <f ca="1"/>
        <v>8.8633536408118427</v>
      </c>
    </row>
    <row r="4255" spans="3:7">
      <c r="C4255">
        <f ca="1"/>
        <v>0.77252648430000037</v>
      </c>
      <c r="D4255">
        <f ca="1"/>
        <v>-0.20249380484464435</v>
      </c>
      <c r="E4255">
        <f ca="1"/>
        <v>-1.6900108316519773</v>
      </c>
      <c r="G4255">
        <f ca="1"/>
        <v>3.4939375210463872</v>
      </c>
    </row>
    <row r="4256" spans="3:7">
      <c r="C4256">
        <f ca="1"/>
        <v>-1.1625443011232064</v>
      </c>
      <c r="D4256">
        <f ca="1"/>
        <v>-2.0528870091925167</v>
      </c>
      <c r="E4256">
        <f ca="1"/>
        <v>-0.48932342309988414</v>
      </c>
      <c r="G4256">
        <f ca="1"/>
        <v>5.805291736979628</v>
      </c>
    </row>
    <row r="4257" spans="3:7">
      <c r="C4257">
        <f ca="1"/>
        <v>-2.0721877582854638</v>
      </c>
      <c r="D4257">
        <f ca="1"/>
        <v>2.2230669947643868E-2</v>
      </c>
      <c r="E4257">
        <f ca="1"/>
        <v>-1.0082183449824485E-2</v>
      </c>
      <c r="G4257">
        <f ca="1"/>
        <v>4.2945579586975722</v>
      </c>
    </row>
    <row r="4258" spans="3:7">
      <c r="C4258">
        <f ca="1"/>
        <v>0.61085618372363826</v>
      </c>
      <c r="D4258">
        <f ca="1"/>
        <v>1.3458329468473864</v>
      </c>
      <c r="E4258">
        <f ca="1"/>
        <v>-4.3402568181394229E-2</v>
      </c>
      <c r="G4258">
        <f ca="1"/>
        <v>2.1862953809380676</v>
      </c>
    </row>
    <row r="4259" spans="3:7">
      <c r="C4259">
        <f ca="1"/>
        <v>1.0276270784834725</v>
      </c>
      <c r="D4259">
        <f ca="1"/>
        <v>-0.62703022486600846</v>
      </c>
      <c r="E4259">
        <f ca="1"/>
        <v>-1.5059706492518357</v>
      </c>
      <c r="G4259">
        <f ca="1"/>
        <v>3.7171319117359891</v>
      </c>
    </row>
    <row r="4260" spans="3:7">
      <c r="C4260">
        <f ca="1"/>
        <v>-1.2344799161812974</v>
      </c>
      <c r="D4260">
        <f ca="1"/>
        <v>-0.48890801404513362</v>
      </c>
      <c r="E4260">
        <f ca="1"/>
        <v>-0.92680516573683625</v>
      </c>
      <c r="G4260">
        <f ca="1"/>
        <v>2.621939524889024</v>
      </c>
    </row>
    <row r="4261" spans="3:7">
      <c r="C4261">
        <f ca="1"/>
        <v>-0.34690689973966815</v>
      </c>
      <c r="D4261">
        <f ca="1"/>
        <v>0.45056941253031513</v>
      </c>
      <c r="E4261">
        <f ca="1"/>
        <v>0.1539282504525995</v>
      </c>
      <c r="G4261">
        <f ca="1"/>
        <v>0.34705109888229968</v>
      </c>
    </row>
    <row r="4262" spans="3:7">
      <c r="C4262">
        <f ca="1"/>
        <v>-2.0276466049729525</v>
      </c>
      <c r="D4262">
        <f ca="1"/>
        <v>0.65042022258511878</v>
      </c>
      <c r="E4262">
        <f ca="1"/>
        <v>0.72133501646442777</v>
      </c>
      <c r="G4262">
        <f ca="1"/>
        <v>5.0547214265837521</v>
      </c>
    </row>
    <row r="4263" spans="3:7">
      <c r="C4263">
        <f ca="1"/>
        <v>1.047753588829077</v>
      </c>
      <c r="D4263">
        <f ca="1"/>
        <v>0.92481208757972067</v>
      </c>
      <c r="E4263">
        <f ca="1"/>
        <v>0.27727744204393301</v>
      </c>
      <c r="G4263">
        <f ca="1"/>
        <v>2.0299477601041978</v>
      </c>
    </row>
    <row r="4264" spans="3:7">
      <c r="C4264">
        <f ca="1"/>
        <v>1.08983837583204</v>
      </c>
      <c r="D4264">
        <f ca="1"/>
        <v>-2.3779755770035185E-2</v>
      </c>
      <c r="E4264">
        <f ca="1"/>
        <v>-0.51376228758503528</v>
      </c>
      <c r="G4264">
        <f ca="1"/>
        <v>1.4522648503653099</v>
      </c>
    </row>
    <row r="4265" spans="3:7">
      <c r="C4265">
        <f ca="1"/>
        <v>-8.2776924830451584E-2</v>
      </c>
      <c r="D4265">
        <f ca="1"/>
        <v>-2.6768257060517386E-2</v>
      </c>
      <c r="E4265">
        <f ca="1"/>
        <v>0.67021091755280582</v>
      </c>
      <c r="G4265">
        <f ca="1"/>
        <v>0.45675123287741803</v>
      </c>
    </row>
    <row r="4266" spans="3:7">
      <c r="C4266">
        <f ca="1"/>
        <v>0.63917991389135809</v>
      </c>
      <c r="D4266">
        <f ca="1"/>
        <v>-0.62462267993584975</v>
      </c>
      <c r="E4266">
        <f ca="1"/>
        <v>0.3503119581903274</v>
      </c>
      <c r="G4266">
        <f ca="1"/>
        <v>0.92142292266354864</v>
      </c>
    </row>
    <row r="4267" spans="3:7">
      <c r="C4267">
        <f ca="1"/>
        <v>0.57854598995280471</v>
      </c>
      <c r="D4267">
        <f ca="1"/>
        <v>-0.34366714271951648</v>
      </c>
      <c r="E4267">
        <f ca="1"/>
        <v>-0.46515477817074291</v>
      </c>
      <c r="G4267">
        <f ca="1"/>
        <v>0.6691915351305403</v>
      </c>
    </row>
    <row r="4268" spans="3:7">
      <c r="C4268">
        <f ca="1"/>
        <v>-0.89816977715095359</v>
      </c>
      <c r="D4268">
        <f ca="1"/>
        <v>1.4539662855189659</v>
      </c>
      <c r="E4268">
        <f ca="1"/>
        <v>0.75727293025633491</v>
      </c>
      <c r="G4268">
        <f ca="1"/>
        <v>3.4941891989122285</v>
      </c>
    </row>
    <row r="4269" spans="3:7">
      <c r="C4269">
        <f ca="1"/>
        <v>-0.99561949474229561</v>
      </c>
      <c r="D4269">
        <f ca="1"/>
        <v>0.10518796305641111</v>
      </c>
      <c r="E4269">
        <f ca="1"/>
        <v>0.65000878882734558</v>
      </c>
      <c r="G4269">
        <f ca="1"/>
        <v>1.4248341114356537</v>
      </c>
    </row>
    <row r="4270" spans="3:7">
      <c r="C4270">
        <f ca="1"/>
        <v>-1.4821472595619651</v>
      </c>
      <c r="D4270">
        <f ca="1"/>
        <v>-0.16144993339033245</v>
      </c>
      <c r="E4270">
        <f ca="1"/>
        <v>1.5168063412209942</v>
      </c>
      <c r="G4270">
        <f ca="1"/>
        <v>4.5235280567870051</v>
      </c>
    </row>
    <row r="4271" spans="3:7">
      <c r="C4271">
        <f ca="1"/>
        <v>-1.0231155485219123</v>
      </c>
      <c r="D4271">
        <f ca="1"/>
        <v>-0.17280179244907606</v>
      </c>
      <c r="E4271">
        <f ca="1"/>
        <v>-1.1757183780278204</v>
      </c>
      <c r="G4271">
        <f ca="1"/>
        <v>2.458939589533276</v>
      </c>
    </row>
    <row r="4272" spans="3:7">
      <c r="C4272">
        <f ca="1"/>
        <v>-1.992289488476584</v>
      </c>
      <c r="D4272">
        <f ca="1"/>
        <v>-0.30571240869438071</v>
      </c>
      <c r="E4272">
        <f ca="1"/>
        <v>-0.67548755311456221</v>
      </c>
      <c r="G4272">
        <f ca="1"/>
        <v>4.5189609171367078</v>
      </c>
    </row>
    <row r="4273" spans="3:7">
      <c r="C4273">
        <f ca="1"/>
        <v>0.77002830737604611</v>
      </c>
      <c r="D4273">
        <f ca="1"/>
        <v>0.83979509811868391</v>
      </c>
      <c r="E4273">
        <f ca="1"/>
        <v>9.2933083620444223E-2</v>
      </c>
      <c r="G4273">
        <f ca="1"/>
        <v>1.306835959015793</v>
      </c>
    </row>
    <row r="4274" spans="3:7">
      <c r="C4274">
        <f ca="1"/>
        <v>-2.6474739991855421E-2</v>
      </c>
      <c r="D4274">
        <f ca="1"/>
        <v>0.47384538141846927</v>
      </c>
      <c r="E4274">
        <f ca="1"/>
        <v>-0.72827528211885328</v>
      </c>
      <c r="G4274">
        <f ca="1"/>
        <v>0.75561524389454637</v>
      </c>
    </row>
    <row r="4275" spans="3:7">
      <c r="C4275">
        <f ca="1"/>
        <v>-0.43887040805011129</v>
      </c>
      <c r="D4275">
        <f ca="1"/>
        <v>-0.35373981539395494</v>
      </c>
      <c r="E4275">
        <f ca="1"/>
        <v>-0.48656910578664903</v>
      </c>
      <c r="G4275">
        <f ca="1"/>
        <v>0.5544885867630398</v>
      </c>
    </row>
    <row r="4276" spans="3:7">
      <c r="C4276">
        <f ca="1"/>
        <v>-1.1445924223229809</v>
      </c>
      <c r="D4276">
        <f ca="1"/>
        <v>1.7309082357569676</v>
      </c>
      <c r="E4276">
        <f ca="1"/>
        <v>0.46339354195882487</v>
      </c>
      <c r="G4276">
        <f ca="1"/>
        <v>4.5208687085796324</v>
      </c>
    </row>
    <row r="4277" spans="3:7">
      <c r="C4277">
        <f ca="1"/>
        <v>0.7589227984194592</v>
      </c>
      <c r="D4277">
        <f ca="1"/>
        <v>1.0973881507913719</v>
      </c>
      <c r="E4277">
        <f ca="1"/>
        <v>1.0814535107487264</v>
      </c>
      <c r="G4277">
        <f ca="1"/>
        <v>2.9497662633688755</v>
      </c>
    </row>
    <row r="4278" spans="3:7">
      <c r="C4278">
        <f ca="1"/>
        <v>-0.41119172945099686</v>
      </c>
      <c r="D4278">
        <f ca="1"/>
        <v>-1.2464703515679147</v>
      </c>
      <c r="E4278">
        <f ca="1"/>
        <v>-1.1461843386047852</v>
      </c>
      <c r="G4278">
        <f ca="1"/>
        <v>3.0365055137696317</v>
      </c>
    </row>
    <row r="4279" spans="3:7">
      <c r="C4279">
        <f ca="1"/>
        <v>0.32415767025949588</v>
      </c>
      <c r="D4279">
        <f ca="1"/>
        <v>0.44718944297775476</v>
      </c>
      <c r="E4279">
        <f ca="1"/>
        <v>0.61225130834492492</v>
      </c>
      <c r="G4279">
        <f ca="1"/>
        <v>0.67990825766889107</v>
      </c>
    </row>
    <row r="4280" spans="3:7">
      <c r="C4280">
        <f ca="1"/>
        <v>-6.1184242152157843E-3</v>
      </c>
      <c r="D4280">
        <f ca="1"/>
        <v>-1.0843583223503752</v>
      </c>
      <c r="E4280">
        <f ca="1"/>
        <v>1.2862842758153501</v>
      </c>
      <c r="G4280">
        <f ca="1"/>
        <v>2.8303976445752173</v>
      </c>
    </row>
    <row r="4281" spans="3:7">
      <c r="C4281">
        <f ca="1"/>
        <v>-0.86482511677687768</v>
      </c>
      <c r="D4281">
        <f ca="1"/>
        <v>0.57742773607589548</v>
      </c>
      <c r="E4281">
        <f ca="1"/>
        <v>0.67240879342624582</v>
      </c>
      <c r="G4281">
        <f ca="1"/>
        <v>1.5334788584748138</v>
      </c>
    </row>
    <row r="4282" spans="3:7">
      <c r="C4282">
        <f ca="1"/>
        <v>1.1982356961371932</v>
      </c>
      <c r="D4282">
        <f ca="1"/>
        <v>-0.62040363597524928</v>
      </c>
      <c r="E4282">
        <f ca="1"/>
        <v>1.2854140321333842</v>
      </c>
      <c r="G4282">
        <f ca="1"/>
        <v>3.4729586890340984</v>
      </c>
    </row>
    <row r="4283" spans="3:7">
      <c r="C4283">
        <f ca="1"/>
        <v>0.46941003937515408</v>
      </c>
      <c r="D4283">
        <f ca="1"/>
        <v>1.3728424102946641</v>
      </c>
      <c r="E4283">
        <f ca="1"/>
        <v>0.23199970201787939</v>
      </c>
      <c r="G4283">
        <f ca="1"/>
        <v>2.1588659303062316</v>
      </c>
    </row>
    <row r="4284" spans="3:7">
      <c r="C4284">
        <f ca="1"/>
        <v>0.85128123407798018</v>
      </c>
      <c r="D4284">
        <f ca="1"/>
        <v>-0.34511043704208311</v>
      </c>
      <c r="E4284">
        <f ca="1"/>
        <v>-0.36306391723084563</v>
      </c>
      <c r="G4284">
        <f ca="1"/>
        <v>0.97559636124371285</v>
      </c>
    </row>
    <row r="4285" spans="3:7">
      <c r="C4285">
        <f ca="1"/>
        <v>-2.7445607332604753</v>
      </c>
      <c r="D4285">
        <f ca="1"/>
        <v>0.44255970046238824</v>
      </c>
      <c r="E4285">
        <f ca="1"/>
        <v>-1.9967383858419467</v>
      </c>
      <c r="G4285">
        <f ca="1"/>
        <v>11.715436888523339</v>
      </c>
    </row>
    <row r="4286" spans="3:7">
      <c r="C4286">
        <f ca="1"/>
        <v>0.94995856266703327</v>
      </c>
      <c r="D4286">
        <f ca="1"/>
        <v>-1.1126257510814166</v>
      </c>
      <c r="E4286">
        <f ca="1"/>
        <v>-0.42214342736617505</v>
      </c>
      <c r="G4286">
        <f ca="1"/>
        <v>2.3185624060223633</v>
      </c>
    </row>
    <row r="4287" spans="3:7">
      <c r="C4287">
        <f ca="1"/>
        <v>-0.72596903830154069</v>
      </c>
      <c r="D4287">
        <f ca="1"/>
        <v>-1.1115366155005402</v>
      </c>
      <c r="E4287">
        <f ca="1"/>
        <v>0.25397542581852706</v>
      </c>
      <c r="G4287">
        <f ca="1"/>
        <v>1.8270482090905615</v>
      </c>
    </row>
    <row r="4288" spans="3:7">
      <c r="C4288">
        <f ca="1"/>
        <v>1.8394691731044595</v>
      </c>
      <c r="D4288">
        <f ca="1"/>
        <v>-0.79065975339970096</v>
      </c>
      <c r="E4288">
        <f ca="1"/>
        <v>-1.000933463933589</v>
      </c>
      <c r="G4288">
        <f ca="1"/>
        <v>5.0106574836697728</v>
      </c>
    </row>
    <row r="4289" spans="3:7">
      <c r="C4289">
        <f ca="1"/>
        <v>-0.81125283512066326</v>
      </c>
      <c r="D4289">
        <f ca="1"/>
        <v>-8.0847474896954513E-2</v>
      </c>
      <c r="E4289">
        <f ca="1"/>
        <v>-1.7812120884515013</v>
      </c>
      <c r="G4289">
        <f ca="1"/>
        <v>3.8373839807342867</v>
      </c>
    </row>
    <row r="4290" spans="3:7">
      <c r="C4290">
        <f ca="1"/>
        <v>1.1386420463492746</v>
      </c>
      <c r="D4290">
        <f ca="1"/>
        <v>0.49649522841339139</v>
      </c>
      <c r="E4290">
        <f ca="1"/>
        <v>1.2647483698895041</v>
      </c>
      <c r="G4290">
        <f ca="1"/>
        <v>3.1426016606898868</v>
      </c>
    </row>
    <row r="4291" spans="3:7">
      <c r="C4291">
        <f ca="1"/>
        <v>-0.70732228370203909</v>
      </c>
      <c r="D4291">
        <f ca="1"/>
        <v>7.6327468496230497E-2</v>
      </c>
      <c r="E4291">
        <f ca="1"/>
        <v>-1.2615043726699395</v>
      </c>
      <c r="G4291">
        <f ca="1"/>
        <v>2.0975239777338888</v>
      </c>
    </row>
    <row r="4292" spans="3:7">
      <c r="C4292">
        <f ca="1"/>
        <v>2.2081277325010502</v>
      </c>
      <c r="D4292">
        <f ca="1"/>
        <v>-0.1308400056165907</v>
      </c>
      <c r="E4292">
        <f ca="1"/>
        <v>-2.5789321915350203</v>
      </c>
      <c r="G4292">
        <f ca="1"/>
        <v>11.543838438645601</v>
      </c>
    </row>
    <row r="4293" spans="3:7">
      <c r="C4293">
        <f ca="1"/>
        <v>-1.1758804461624077</v>
      </c>
      <c r="D4293">
        <f ca="1"/>
        <v>-0.82933845660879757</v>
      </c>
      <c r="E4293">
        <f ca="1"/>
        <v>3.2413396103833716E-2</v>
      </c>
      <c r="G4293">
        <f ca="1"/>
        <v>2.0715477275243495</v>
      </c>
    </row>
    <row r="4294" spans="3:7">
      <c r="C4294">
        <f ca="1"/>
        <v>0.78815978351754745</v>
      </c>
      <c r="D4294">
        <f ca="1"/>
        <v>-0.39213200253964575</v>
      </c>
      <c r="E4294">
        <f ca="1"/>
        <v>-0.81249703490419944</v>
      </c>
      <c r="G4294">
        <f ca="1"/>
        <v>1.435114783498296</v>
      </c>
    </row>
    <row r="4295" spans="3:7">
      <c r="C4295">
        <f ca="1"/>
        <v>0.33590807955368623</v>
      </c>
      <c r="D4295">
        <f ca="1"/>
        <v>-1.2535644471990808</v>
      </c>
      <c r="E4295">
        <f ca="1"/>
        <v>0.54504436150776336</v>
      </c>
      <c r="G4295">
        <f ca="1"/>
        <v>1.9813314172023879</v>
      </c>
    </row>
    <row r="4296" spans="3:7">
      <c r="C4296">
        <f ca="1"/>
        <v>-0.42999045238265177</v>
      </c>
      <c r="D4296">
        <f ca="1"/>
        <v>-1.1184681170249389</v>
      </c>
      <c r="E4296">
        <f ca="1"/>
        <v>-1.5316739767405159</v>
      </c>
      <c r="G4296">
        <f ca="1"/>
        <v>3.7818878889656564</v>
      </c>
    </row>
    <row r="4297" spans="3:7">
      <c r="C4297">
        <f ca="1"/>
        <v>1.2250000753230981</v>
      </c>
      <c r="D4297">
        <f ca="1"/>
        <v>0.83554346085523667</v>
      </c>
      <c r="E4297">
        <f ca="1"/>
        <v>0.57278762618273327</v>
      </c>
      <c r="G4297">
        <f ca="1"/>
        <v>2.526843724227593</v>
      </c>
    </row>
    <row r="4298" spans="3:7">
      <c r="C4298">
        <f ca="1"/>
        <v>0.78662500315908956</v>
      </c>
      <c r="D4298">
        <f ca="1"/>
        <v>-0.3217813695419342</v>
      </c>
      <c r="E4298">
        <f ca="1"/>
        <v>-8.666626072861093E-2</v>
      </c>
      <c r="G4298">
        <f ca="1"/>
        <v>0.72983318612800008</v>
      </c>
    </row>
    <row r="4299" spans="3:7">
      <c r="C4299">
        <f ca="1"/>
        <v>1.3567535580151358</v>
      </c>
      <c r="D4299">
        <f ca="1"/>
        <v>6.9310189120385434E-3</v>
      </c>
      <c r="E4299">
        <f ca="1"/>
        <v>-6.5534824469435107E-2</v>
      </c>
      <c r="G4299">
        <f ca="1"/>
        <v>1.8451230694281289</v>
      </c>
    </row>
    <row r="4300" spans="3:7">
      <c r="C4300">
        <f ca="1"/>
        <v>1.5913112417879096</v>
      </c>
      <c r="D4300">
        <f ca="1"/>
        <v>0.7910023631610168</v>
      </c>
      <c r="E4300">
        <f ca="1"/>
        <v>1.9444692552035867</v>
      </c>
      <c r="G4300">
        <f ca="1"/>
        <v>6.9389168911988834</v>
      </c>
    </row>
    <row r="4301" spans="3:7">
      <c r="C4301">
        <f ca="1"/>
        <v>0.6537633756793747</v>
      </c>
      <c r="D4301">
        <f ca="1"/>
        <v>0.53582279028073976</v>
      </c>
      <c r="E4301">
        <f ca="1"/>
        <v>0.25212526447953926</v>
      </c>
      <c r="G4301">
        <f ca="1"/>
        <v>0.77807976295280645</v>
      </c>
    </row>
    <row r="4302" spans="3:7">
      <c r="C4302">
        <f ca="1"/>
        <v>-0.58210089582994817</v>
      </c>
      <c r="D4302">
        <f ca="1"/>
        <v>-1.2546807222599108</v>
      </c>
      <c r="E4302">
        <f ca="1"/>
        <v>-0.96011905265520181</v>
      </c>
      <c r="G4302">
        <f ca="1"/>
        <v>2.8348937630082016</v>
      </c>
    </row>
    <row r="4303" spans="3:7">
      <c r="C4303">
        <f ca="1"/>
        <v>1.2312188056041138</v>
      </c>
      <c r="D4303">
        <f ca="1"/>
        <v>8.258515259587966E-2</v>
      </c>
      <c r="E4303">
        <f ca="1"/>
        <v>-0.83500278643953774</v>
      </c>
      <c r="G4303">
        <f ca="1"/>
        <v>2.2199497080642976</v>
      </c>
    </row>
    <row r="4304" spans="3:7">
      <c r="C4304">
        <f ca="1"/>
        <v>1.4164410257039799</v>
      </c>
      <c r="D4304">
        <f ca="1"/>
        <v>0.68865560779383639</v>
      </c>
      <c r="E4304">
        <f ca="1"/>
        <v>1.3782548180107062</v>
      </c>
      <c r="G4304">
        <f ca="1"/>
        <v>4.3801380688129656</v>
      </c>
    </row>
    <row r="4305" spans="3:7">
      <c r="C4305">
        <f ca="1"/>
        <v>-1.0269865657456188</v>
      </c>
      <c r="D4305">
        <f ca="1"/>
        <v>-1.0310895617775786</v>
      </c>
      <c r="E4305">
        <f ca="1"/>
        <v>-1.7343399107825359</v>
      </c>
      <c r="G4305">
        <f ca="1"/>
        <v>5.1257820167618338</v>
      </c>
    </row>
    <row r="4306" spans="3:7">
      <c r="C4306">
        <f ca="1"/>
        <v>-1.6756829749678905</v>
      </c>
      <c r="D4306">
        <f ca="1"/>
        <v>1.4037824728869208</v>
      </c>
      <c r="E4306">
        <f ca="1"/>
        <v>-0.70492061135639206</v>
      </c>
      <c r="G4306">
        <f ca="1"/>
        <v>5.2754317320968278</v>
      </c>
    </row>
    <row r="4307" spans="3:7">
      <c r="C4307">
        <f ca="1"/>
        <v>-0.10576839453701321</v>
      </c>
      <c r="D4307">
        <f ca="1"/>
        <v>1.6122865784101685</v>
      </c>
      <c r="E4307">
        <f ca="1"/>
        <v>-0.51793732262822112</v>
      </c>
      <c r="G4307">
        <f ca="1"/>
        <v>2.878914034375796</v>
      </c>
    </row>
    <row r="4308" spans="3:7">
      <c r="C4308">
        <f ca="1"/>
        <v>0.21769207241422128</v>
      </c>
      <c r="D4308">
        <f ca="1"/>
        <v>0.4656109065316742</v>
      </c>
      <c r="E4308">
        <f ca="1"/>
        <v>-0.5121811541150455</v>
      </c>
      <c r="G4308">
        <f ca="1"/>
        <v>0.52651288930386597</v>
      </c>
    </row>
    <row r="4309" spans="3:7">
      <c r="C4309">
        <f ca="1"/>
        <v>-1.3925343834765418</v>
      </c>
      <c r="D4309">
        <f ca="1"/>
        <v>0.36035585535859282</v>
      </c>
      <c r="E4309">
        <f ca="1"/>
        <v>1.961604346447646</v>
      </c>
      <c r="G4309">
        <f ca="1"/>
        <v>5.9168999636579116</v>
      </c>
    </row>
    <row r="4310" spans="3:7">
      <c r="C4310">
        <f ca="1"/>
        <v>-0.67602806270010518</v>
      </c>
      <c r="D4310">
        <f ca="1"/>
        <v>0.35731805290442847</v>
      </c>
      <c r="E4310">
        <f ca="1"/>
        <v>-0.68615172616942488</v>
      </c>
      <c r="G4310">
        <f ca="1"/>
        <v>1.0554943238147507</v>
      </c>
    </row>
    <row r="4311" spans="3:7">
      <c r="C4311">
        <f ca="1"/>
        <v>-0.91242214725586446</v>
      </c>
      <c r="D4311">
        <f ca="1"/>
        <v>1.0696499461806177</v>
      </c>
      <c r="E4311">
        <f ca="1"/>
        <v>0.50948406454198758</v>
      </c>
      <c r="G4311">
        <f ca="1"/>
        <v>2.2362391941894249</v>
      </c>
    </row>
    <row r="4312" spans="3:7">
      <c r="C4312">
        <f ca="1"/>
        <v>-0.2724580248391627</v>
      </c>
      <c r="D4312">
        <f ca="1"/>
        <v>0.94480744373834746</v>
      </c>
      <c r="E4312">
        <f ca="1"/>
        <v>1.0762127120358458</v>
      </c>
      <c r="G4312">
        <f ca="1"/>
        <v>2.1251282825901989</v>
      </c>
    </row>
    <row r="4313" spans="3:7">
      <c r="C4313">
        <f ca="1"/>
        <v>-1.1377284797519538</v>
      </c>
      <c r="D4313">
        <f ca="1"/>
        <v>0.60030998766806787</v>
      </c>
      <c r="E4313">
        <f ca="1"/>
        <v>-1.0390587952594978</v>
      </c>
      <c r="G4313">
        <f ca="1"/>
        <v>2.7344413549388467</v>
      </c>
    </row>
    <row r="4314" spans="3:7">
      <c r="C4314">
        <f ca="1"/>
        <v>0.70193455715790409</v>
      </c>
      <c r="D4314">
        <f ca="1"/>
        <v>-0.34331239847655715</v>
      </c>
      <c r="E4314">
        <f ca="1"/>
        <v>-1.5833143702092654</v>
      </c>
      <c r="G4314">
        <f ca="1"/>
        <v>3.1174599203913522</v>
      </c>
    </row>
    <row r="4315" spans="3:7">
      <c r="C4315">
        <f ca="1"/>
        <v>0.23861567413906432</v>
      </c>
      <c r="D4315">
        <f ca="1"/>
        <v>1.2218152079135183</v>
      </c>
      <c r="E4315">
        <f ca="1"/>
        <v>-0.22217345049753887</v>
      </c>
      <c r="G4315">
        <f ca="1"/>
        <v>1.5991308843395764</v>
      </c>
    </row>
    <row r="4316" spans="3:7">
      <c r="C4316">
        <f ca="1"/>
        <v>0.46246288693224807</v>
      </c>
      <c r="D4316">
        <f ca="1"/>
        <v>0.73836234405587642</v>
      </c>
      <c r="E4316">
        <f ca="1"/>
        <v>-1.2694633116350751</v>
      </c>
      <c r="G4316">
        <f ca="1"/>
        <v>2.3705879724968897</v>
      </c>
    </row>
    <row r="4317" spans="3:7">
      <c r="C4317">
        <f ca="1"/>
        <v>-0.23367615383448201</v>
      </c>
      <c r="D4317">
        <f ca="1"/>
        <v>-2.5341938184158996</v>
      </c>
      <c r="E4317">
        <f ca="1"/>
        <v>0.3407399821064217</v>
      </c>
      <c r="G4317">
        <f ca="1"/>
        <v>6.5928465895741191</v>
      </c>
    </row>
    <row r="4318" spans="3:7">
      <c r="C4318">
        <f ca="1"/>
        <v>0.943793921451615</v>
      </c>
      <c r="D4318">
        <f ca="1"/>
        <v>0.74704405427686971</v>
      </c>
      <c r="E4318">
        <f ca="1"/>
        <v>-1.7201860863023164</v>
      </c>
      <c r="G4318">
        <f ca="1"/>
        <v>4.4078619567075208</v>
      </c>
    </row>
    <row r="4319" spans="3:7">
      <c r="C4319">
        <f ca="1"/>
        <v>-0.71423929250089335</v>
      </c>
      <c r="D4319">
        <f ca="1"/>
        <v>-0.82713101768584796</v>
      </c>
      <c r="E4319">
        <f ca="1"/>
        <v>1.3432612090281604</v>
      </c>
      <c r="G4319">
        <f ca="1"/>
        <v>2.9986341630499984</v>
      </c>
    </row>
    <row r="4320" spans="3:7">
      <c r="C4320">
        <f ca="1"/>
        <v>-9.528018236220416E-2</v>
      </c>
      <c r="D4320">
        <f ca="1"/>
        <v>1.0232830280895733</v>
      </c>
      <c r="E4320">
        <f ca="1"/>
        <v>0.24401319141425398</v>
      </c>
      <c r="G4320">
        <f ca="1"/>
        <v>1.1157289063113105</v>
      </c>
    </row>
    <row r="4321" spans="3:7">
      <c r="C4321">
        <f ca="1"/>
        <v>1.8745453098663756</v>
      </c>
      <c r="D4321">
        <f ca="1"/>
        <v>0.61329349187647053</v>
      </c>
      <c r="E4321">
        <f ca="1"/>
        <v>4.9849671481656851E-2</v>
      </c>
      <c r="G4321">
        <f ca="1"/>
        <v>3.8925340156668899</v>
      </c>
    </row>
    <row r="4322" spans="3:7">
      <c r="C4322">
        <f ca="1"/>
        <v>1.0242804298420158</v>
      </c>
      <c r="D4322">
        <f ca="1"/>
        <v>0.40215499163201168</v>
      </c>
      <c r="E4322">
        <f ca="1"/>
        <v>1.9547270429948791</v>
      </c>
      <c r="G4322">
        <f ca="1"/>
        <v>5.0318368488673917</v>
      </c>
    </row>
    <row r="4323" spans="3:7">
      <c r="C4323">
        <f ca="1"/>
        <v>1.2396136194023344</v>
      </c>
      <c r="D4323">
        <f ca="1"/>
        <v>1.5277258839543493</v>
      </c>
      <c r="E4323">
        <f ca="1"/>
        <v>0.29917709588650593</v>
      </c>
      <c r="G4323">
        <f ca="1"/>
        <v>3.9600952366149369</v>
      </c>
    </row>
    <row r="4324" spans="3:7">
      <c r="C4324">
        <f ca="1"/>
        <v>-1.4338582691275028</v>
      </c>
      <c r="D4324">
        <f ca="1"/>
        <v>0.98809166107175894</v>
      </c>
      <c r="E4324">
        <f ca="1"/>
        <v>0.18143584678186697</v>
      </c>
      <c r="G4324">
        <f ca="1"/>
        <v>3.0651936331223193</v>
      </c>
    </row>
    <row r="4325" spans="3:7">
      <c r="C4325">
        <f ca="1"/>
        <v>0.56154558571629276</v>
      </c>
      <c r="D4325">
        <f ca="1"/>
        <v>0.42687626489091929</v>
      </c>
      <c r="E4325">
        <f ca="1"/>
        <v>-0.50692882117231308</v>
      </c>
      <c r="G4325">
        <f ca="1"/>
        <v>0.75453362009982761</v>
      </c>
    </row>
    <row r="4326" spans="3:7">
      <c r="C4326">
        <f ca="1"/>
        <v>1.0982179386250863</v>
      </c>
      <c r="D4326">
        <f ca="1"/>
        <v>-0.40953452494004128</v>
      </c>
      <c r="E4326">
        <f ca="1"/>
        <v>-7.404929223787029E-3</v>
      </c>
      <c r="G4326">
        <f ca="1"/>
        <v>1.3738560008126086</v>
      </c>
    </row>
    <row r="4327" spans="3:7">
      <c r="C4327">
        <f ca="1"/>
        <v>1.077255967195704</v>
      </c>
      <c r="D4327">
        <f ca="1"/>
        <v>1.1036588870324924</v>
      </c>
      <c r="E4327">
        <f ca="1"/>
        <v>1.3086334306936991</v>
      </c>
      <c r="G4327">
        <f ca="1"/>
        <v>4.0910648137137127</v>
      </c>
    </row>
    <row r="4328" spans="3:7">
      <c r="C4328">
        <f ca="1"/>
        <v>1.1183356700363609</v>
      </c>
      <c r="D4328">
        <f ca="1"/>
        <v>0.6756257262861014</v>
      </c>
      <c r="E4328">
        <f ca="1"/>
        <v>-4.083038140373159E-3</v>
      </c>
      <c r="G4328">
        <f ca="1"/>
        <v>1.707161464095754</v>
      </c>
    </row>
    <row r="4329" spans="3:7">
      <c r="C4329">
        <f ca="1"/>
        <v>0.87759531039894534</v>
      </c>
      <c r="D4329">
        <f ca="1"/>
        <v>-0.39195195620310735</v>
      </c>
      <c r="E4329">
        <f ca="1"/>
        <v>-0.78398861108013818</v>
      </c>
      <c r="G4329">
        <f ca="1"/>
        <v>1.5384380071090278</v>
      </c>
    </row>
    <row r="4330" spans="3:7">
      <c r="C4330">
        <f ca="1"/>
        <v>0.73734729490993245</v>
      </c>
      <c r="D4330">
        <f ca="1"/>
        <v>-0.18946446593513433</v>
      </c>
      <c r="E4330">
        <f ca="1"/>
        <v>1.1963164549914458</v>
      </c>
      <c r="G4330">
        <f ca="1"/>
        <v>2.0107508776463807</v>
      </c>
    </row>
    <row r="4331" spans="3:7">
      <c r="C4331">
        <f ca="1"/>
        <v>-0.95540626137240436</v>
      </c>
      <c r="D4331">
        <f ca="1"/>
        <v>1.4665270039440743</v>
      </c>
      <c r="E4331">
        <f ca="1"/>
        <v>8.0290125972359502E-2</v>
      </c>
      <c r="G4331">
        <f ca="1"/>
        <v>3.0699490818954356</v>
      </c>
    </row>
    <row r="4332" spans="3:7">
      <c r="C4332">
        <f ca="1"/>
        <v>-6.804730728149723E-2</v>
      </c>
      <c r="D4332">
        <f ca="1"/>
        <v>-1.0017422680095793</v>
      </c>
      <c r="E4332">
        <f ca="1"/>
        <v>-1.6234461733552175</v>
      </c>
      <c r="G4332">
        <f ca="1"/>
        <v>3.643695485326937</v>
      </c>
    </row>
    <row r="4333" spans="3:7">
      <c r="C4333">
        <f ca="1"/>
        <v>0.69460987309452893</v>
      </c>
      <c r="D4333">
        <f ca="1"/>
        <v>-3.5761959681724614E-3</v>
      </c>
      <c r="E4333">
        <f ca="1"/>
        <v>-8.3631885103003747E-2</v>
      </c>
      <c r="G4333">
        <f ca="1"/>
        <v>0.48948995718388238</v>
      </c>
    </row>
    <row r="4334" spans="3:7">
      <c r="C4334">
        <f ca="1"/>
        <v>1.3347299301629572</v>
      </c>
      <c r="D4334">
        <f ca="1"/>
        <v>0.12631151321428508</v>
      </c>
      <c r="E4334">
        <f ca="1"/>
        <v>0.22666708977868857</v>
      </c>
      <c r="G4334">
        <f ca="1"/>
        <v>1.8488365544320349</v>
      </c>
    </row>
    <row r="4335" spans="3:7">
      <c r="C4335">
        <f ca="1"/>
        <v>-2.3918093337581823</v>
      </c>
      <c r="D4335">
        <f ca="1"/>
        <v>-1.1189847274622731</v>
      </c>
      <c r="E4335">
        <f ca="1"/>
        <v>-0.52741837694049576</v>
      </c>
      <c r="G4335">
        <f ca="1"/>
        <v>7.2510488536811248</v>
      </c>
    </row>
    <row r="4336" spans="3:7">
      <c r="C4336">
        <f ca="1"/>
        <v>-0.70768056100089904</v>
      </c>
      <c r="D4336">
        <f ca="1"/>
        <v>-0.78213152576961442</v>
      </c>
      <c r="E4336">
        <f ca="1"/>
        <v>1.2954411656525946</v>
      </c>
      <c r="G4336">
        <f ca="1"/>
        <v>2.7907093136886054</v>
      </c>
    </row>
    <row r="4337" spans="3:7">
      <c r="C4337">
        <f ca="1"/>
        <v>6.0310774863920898E-2</v>
      </c>
      <c r="D4337">
        <f ca="1"/>
        <v>-9.1356100143060462E-2</v>
      </c>
      <c r="E4337">
        <f ca="1"/>
        <v>-1.0483528249086278</v>
      </c>
      <c r="G4337">
        <f ca="1"/>
        <v>1.1110269720919355</v>
      </c>
    </row>
    <row r="4338" spans="3:7">
      <c r="C4338">
        <f ca="1"/>
        <v>0.32465042521580223</v>
      </c>
      <c r="D4338">
        <f ca="1"/>
        <v>1.2268950467306556</v>
      </c>
      <c r="E4338">
        <f ca="1"/>
        <v>0.88882571571687308</v>
      </c>
      <c r="G4338">
        <f ca="1"/>
        <v>2.4006805072046307</v>
      </c>
    </row>
    <row r="4339" spans="3:7">
      <c r="C4339">
        <f ca="1"/>
        <v>0.57846176444395336</v>
      </c>
      <c r="D4339">
        <f ca="1"/>
        <v>0.87867226765236561</v>
      </c>
      <c r="E4339">
        <f ca="1"/>
        <v>0.43515196031525566</v>
      </c>
      <c r="G4339">
        <f ca="1"/>
        <v>1.2960401954311722</v>
      </c>
    </row>
    <row r="4340" spans="3:7">
      <c r="C4340">
        <f ca="1"/>
        <v>1.4025755225942138</v>
      </c>
      <c r="D4340">
        <f ca="1"/>
        <v>1.5899189223578003</v>
      </c>
      <c r="E4340">
        <f ca="1"/>
        <v>2.0792169237654323</v>
      </c>
      <c r="G4340">
        <f ca="1"/>
        <v>8.8182032923244087</v>
      </c>
    </row>
    <row r="4341" spans="3:7">
      <c r="C4341">
        <f ca="1"/>
        <v>-0.78172177018730371</v>
      </c>
      <c r="D4341">
        <f ca="1"/>
        <v>2.229749241595361</v>
      </c>
      <c r="E4341">
        <f ca="1"/>
        <v>-0.34583635005308816</v>
      </c>
      <c r="G4341">
        <f ca="1"/>
        <v>5.7024733873979017</v>
      </c>
    </row>
    <row r="4342" spans="3:7">
      <c r="C4342">
        <f ca="1"/>
        <v>1.9524909734574669</v>
      </c>
      <c r="D4342">
        <f ca="1"/>
        <v>-0.40787773888293433</v>
      </c>
      <c r="E4342">
        <f ca="1"/>
        <v>-1.1028597394680342</v>
      </c>
      <c r="G4342">
        <f ca="1"/>
        <v>5.1948848562486418</v>
      </c>
    </row>
    <row r="4343" spans="3:7">
      <c r="C4343">
        <f ca="1"/>
        <v>0.8807578935360143</v>
      </c>
      <c r="D4343">
        <f ca="1"/>
        <v>-0.91553339063113293</v>
      </c>
      <c r="E4343">
        <f ca="1"/>
        <v>-0.46404305713680494</v>
      </c>
      <c r="G4343">
        <f ca="1"/>
        <v>1.8292718152634078</v>
      </c>
    </row>
    <row r="4344" spans="3:7">
      <c r="C4344">
        <f ca="1"/>
        <v>-2.2229080993303421</v>
      </c>
      <c r="D4344">
        <f ca="1"/>
        <v>-0.82741771221286065</v>
      </c>
      <c r="E4344">
        <f ca="1"/>
        <v>0.33097614543000231</v>
      </c>
      <c r="G4344">
        <f ca="1"/>
        <v>5.7354856973957009</v>
      </c>
    </row>
    <row r="4345" spans="3:7">
      <c r="C4345">
        <f ca="1"/>
        <v>-0.29848771212692676</v>
      </c>
      <c r="D4345">
        <f ca="1"/>
        <v>0.2413185465780657</v>
      </c>
      <c r="E4345">
        <f ca="1"/>
        <v>0.21060759626088571</v>
      </c>
      <c r="G4345">
        <f ca="1"/>
        <v>0.1916851148161054</v>
      </c>
    </row>
    <row r="4346" spans="3:7">
      <c r="C4346">
        <f ca="1"/>
        <v>-0.17803995881370549</v>
      </c>
      <c r="D4346">
        <f ca="1"/>
        <v>-0.58198280521153156</v>
      </c>
      <c r="E4346">
        <f ca="1"/>
        <v>-0.60578596726930045</v>
      </c>
      <c r="G4346">
        <f ca="1"/>
        <v>0.73737885063667141</v>
      </c>
    </row>
    <row r="4347" spans="3:7">
      <c r="C4347">
        <f ca="1"/>
        <v>2.1201052929775241</v>
      </c>
      <c r="D4347">
        <f ca="1"/>
        <v>1.4367198469830293</v>
      </c>
      <c r="E4347">
        <f ca="1"/>
        <v>-1.4403003045214406</v>
      </c>
      <c r="G4347">
        <f ca="1"/>
        <v>8.6334753392308077</v>
      </c>
    </row>
    <row r="4348" spans="3:7">
      <c r="C4348">
        <f ca="1"/>
        <v>-0.26042172909394623</v>
      </c>
      <c r="D4348">
        <f ca="1"/>
        <v>0.32971187451265255</v>
      </c>
      <c r="E4348">
        <f ca="1"/>
        <v>-0.76745828431234064</v>
      </c>
      <c r="G4348">
        <f ca="1"/>
        <v>0.76552161533856933</v>
      </c>
    </row>
    <row r="4349" spans="3:7">
      <c r="C4349">
        <f ca="1"/>
        <v>0.20205787385459548</v>
      </c>
      <c r="D4349">
        <f ca="1"/>
        <v>0.2773113604046592</v>
      </c>
      <c r="E4349">
        <f ca="1"/>
        <v>-6.2678765729416913E-2</v>
      </c>
      <c r="G4349">
        <f ca="1"/>
        <v>0.12165760266948554</v>
      </c>
    </row>
    <row r="4350" spans="3:7">
      <c r="C4350">
        <f ca="1"/>
        <v>1.3639588632099167</v>
      </c>
      <c r="D4350">
        <f ca="1"/>
        <v>0.4950825405115975</v>
      </c>
      <c r="E4350">
        <f ca="1"/>
        <v>1.2326475041110556</v>
      </c>
      <c r="G4350">
        <f ca="1"/>
        <v>3.6249103718395208</v>
      </c>
    </row>
    <row r="4351" spans="3:7">
      <c r="C4351">
        <f ca="1"/>
        <v>1.4104849632416259</v>
      </c>
      <c r="D4351">
        <f ca="1"/>
        <v>-0.84304742538399635</v>
      </c>
      <c r="E4351">
        <f ca="1"/>
        <v>1.5680314526777517</v>
      </c>
      <c r="G4351">
        <f ca="1"/>
        <v>5.1589194295640155</v>
      </c>
    </row>
    <row r="4352" spans="3:7">
      <c r="C4352">
        <f ca="1"/>
        <v>1.0061511860427961</v>
      </c>
      <c r="D4352">
        <f ca="1"/>
        <v>0.11274458510024749</v>
      </c>
      <c r="E4352">
        <f ca="1"/>
        <v>0.93679795444551806</v>
      </c>
      <c r="G4352">
        <f ca="1"/>
        <v>1.9026419580980591</v>
      </c>
    </row>
    <row r="4353" spans="3:7">
      <c r="C4353">
        <f ca="1"/>
        <v>0.27250043754019598</v>
      </c>
      <c r="D4353">
        <f ca="1"/>
        <v>-0.19250095533086042</v>
      </c>
      <c r="E4353">
        <f ca="1"/>
        <v>0.57637976659339163</v>
      </c>
      <c r="G4353">
        <f ca="1"/>
        <v>0.4435267416011448</v>
      </c>
    </row>
    <row r="4354" spans="3:7">
      <c r="C4354">
        <f ca="1"/>
        <v>-0.78628179618990413</v>
      </c>
      <c r="D4354">
        <f ca="1"/>
        <v>-1.5017832151760164</v>
      </c>
      <c r="E4354">
        <f ca="1"/>
        <v>1.2726504718710834</v>
      </c>
      <c r="G4354">
        <f ca="1"/>
        <v>4.4932311119577264</v>
      </c>
    </row>
    <row r="4355" spans="3:7">
      <c r="C4355">
        <f ca="1"/>
        <v>-0.6452435912972434</v>
      </c>
      <c r="D4355">
        <f ca="1"/>
        <v>1.6207435561293642</v>
      </c>
      <c r="E4355">
        <f ca="1"/>
        <v>0.45848090525853974</v>
      </c>
      <c r="G4355">
        <f ca="1"/>
        <v>3.2533537073317116</v>
      </c>
    </row>
    <row r="4356" spans="3:7">
      <c r="C4356">
        <f ca="1"/>
        <v>0.12489934619514734</v>
      </c>
      <c r="D4356">
        <f ca="1"/>
        <v>0.39156798593818781</v>
      </c>
      <c r="E4356">
        <f ca="1"/>
        <v>0.5450707981942281</v>
      </c>
      <c r="G4356">
        <f ca="1"/>
        <v>0.46602750933575704</v>
      </c>
    </row>
    <row r="4357" spans="3:7">
      <c r="C4357">
        <f ca="1"/>
        <v>-0.65756068240382193</v>
      </c>
      <c r="D4357">
        <f ca="1"/>
        <v>-7.3877155927103783E-2</v>
      </c>
      <c r="E4357">
        <f ca="1"/>
        <v>-0.89461047800421112</v>
      </c>
      <c r="G4357">
        <f ca="1"/>
        <v>1.2381717925661806</v>
      </c>
    </row>
    <row r="4358" spans="3:7">
      <c r="C4358">
        <f ca="1"/>
        <v>1.7100992325482234</v>
      </c>
      <c r="D4358">
        <f ca="1"/>
        <v>1.3503372766403943</v>
      </c>
      <c r="E4358">
        <f ca="1"/>
        <v>-1.2740794161791782</v>
      </c>
      <c r="G4358">
        <f ca="1"/>
        <v>6.3711285045780954</v>
      </c>
    </row>
    <row r="4359" spans="3:7">
      <c r="C4359">
        <f ca="1"/>
        <v>-0.34921282855706609</v>
      </c>
      <c r="D4359">
        <f ca="1"/>
        <v>-0.60565453203350728</v>
      </c>
      <c r="E4359">
        <f ca="1"/>
        <v>-2.2324719768286756</v>
      </c>
      <c r="G4359">
        <f ca="1"/>
        <v>5.4726981391268881</v>
      </c>
    </row>
    <row r="4360" spans="3:7">
      <c r="C4360">
        <f ca="1"/>
        <v>1.4336218452032081</v>
      </c>
      <c r="D4360">
        <f ca="1"/>
        <v>1.0566056192468376</v>
      </c>
      <c r="E4360">
        <f ca="1"/>
        <v>-1.3646065897682187</v>
      </c>
      <c r="G4360">
        <f ca="1"/>
        <v>5.033838174506692</v>
      </c>
    </row>
    <row r="4361" spans="3:7">
      <c r="C4361">
        <f ca="1"/>
        <v>-1.4173263227748982</v>
      </c>
      <c r="D4361">
        <f ca="1"/>
        <v>-0.20701075184648937</v>
      </c>
      <c r="E4361">
        <f ca="1"/>
        <v>1.740285918651457</v>
      </c>
      <c r="G4361">
        <f ca="1"/>
        <v>5.0802624352672092</v>
      </c>
    </row>
    <row r="4362" spans="3:7">
      <c r="C4362">
        <f ca="1"/>
        <v>2.3738826544146625</v>
      </c>
      <c r="D4362">
        <f ca="1"/>
        <v>-2.2323870195105364</v>
      </c>
      <c r="E4362">
        <f ca="1"/>
        <v>0.6053895061865483</v>
      </c>
      <c r="G4362">
        <f ca="1"/>
        <v>10.985367116010732</v>
      </c>
    </row>
    <row r="4363" spans="3:7">
      <c r="C4363">
        <f ca="1"/>
        <v>-1.0024924044210166</v>
      </c>
      <c r="D4363">
        <f ca="1"/>
        <v>2.0992375332709723</v>
      </c>
      <c r="E4363">
        <f ca="1"/>
        <v>-0.61973758318467198</v>
      </c>
      <c r="G4363">
        <f ca="1"/>
        <v>5.795863914027005</v>
      </c>
    </row>
    <row r="4364" spans="3:7">
      <c r="C4364">
        <f ca="1"/>
        <v>1.2546386541646937</v>
      </c>
      <c r="D4364">
        <f ca="1"/>
        <v>1.9300754570988592</v>
      </c>
      <c r="E4364">
        <f ca="1"/>
        <v>-0.72039260504594771</v>
      </c>
      <c r="G4364">
        <f ca="1"/>
        <v>5.8182749280244508</v>
      </c>
    </row>
    <row r="4365" spans="3:7">
      <c r="C4365">
        <f ca="1"/>
        <v>-1.2342971564561589</v>
      </c>
      <c r="D4365">
        <f ca="1"/>
        <v>0.86231078821435825</v>
      </c>
      <c r="E4365">
        <f ca="1"/>
        <v>-1.0708754264963993</v>
      </c>
      <c r="G4365">
        <f ca="1"/>
        <v>3.4138435449804727</v>
      </c>
    </row>
    <row r="4366" spans="3:7">
      <c r="C4366">
        <f ca="1"/>
        <v>-0.35181518313537852</v>
      </c>
      <c r="D4366">
        <f ca="1"/>
        <v>-7.6649525801783705E-2</v>
      </c>
      <c r="E4366">
        <f ca="1"/>
        <v>0.96989784459970785</v>
      </c>
      <c r="G4366">
        <f ca="1"/>
        <v>1.0703509018493773</v>
      </c>
    </row>
    <row r="4367" spans="3:7">
      <c r="C4367">
        <f ca="1"/>
        <v>0.12438735048134912</v>
      </c>
      <c r="D4367">
        <f ca="1"/>
        <v>-1.340861047408586</v>
      </c>
      <c r="E4367">
        <f ca="1"/>
        <v>-1.5619739596378233</v>
      </c>
      <c r="G4367">
        <f ca="1"/>
        <v>4.2531432120040806</v>
      </c>
    </row>
    <row r="4368" spans="3:7">
      <c r="C4368">
        <f ca="1"/>
        <v>0.20027769674156432</v>
      </c>
      <c r="D4368">
        <f ca="1"/>
        <v>0.29656433130574184</v>
      </c>
      <c r="E4368">
        <f ca="1"/>
        <v>-0.24621475852446126</v>
      </c>
      <c r="G4368">
        <f ca="1"/>
        <v>0.18868326573018657</v>
      </c>
    </row>
    <row r="4369" spans="3:7">
      <c r="C4369">
        <f ca="1"/>
        <v>-0.27764727246839549</v>
      </c>
      <c r="D4369">
        <f ca="1"/>
        <v>-0.21220203428546247</v>
      </c>
      <c r="E4369">
        <f ca="1"/>
        <v>-0.30424835593437305</v>
      </c>
      <c r="G4369">
        <f ca="1"/>
        <v>0.21468477335279701</v>
      </c>
    </row>
    <row r="4370" spans="3:7">
      <c r="C4370">
        <f ca="1"/>
        <v>0.54595639605404434</v>
      </c>
      <c r="D4370">
        <f ca="1"/>
        <v>0.53938517313810053</v>
      </c>
      <c r="E4370">
        <f ca="1"/>
        <v>-1.1574314340332135</v>
      </c>
      <c r="G4370">
        <f ca="1"/>
        <v>1.9286522758817202</v>
      </c>
    </row>
    <row r="4371" spans="3:7">
      <c r="C4371">
        <f ca="1"/>
        <v>-1.7829727504866859</v>
      </c>
      <c r="D4371">
        <f ca="1"/>
        <v>1.1773225223276885E-2</v>
      </c>
      <c r="E4371">
        <f ca="1"/>
        <v>1.5065605544868588</v>
      </c>
      <c r="G4371">
        <f ca="1"/>
        <v>5.4488551421459679</v>
      </c>
    </row>
    <row r="4372" spans="3:7">
      <c r="C4372">
        <f ca="1"/>
        <v>-0.46539296801025387</v>
      </c>
      <c r="D4372">
        <f ca="1"/>
        <v>-0.60030393163010498</v>
      </c>
      <c r="E4372">
        <f ca="1"/>
        <v>0.42612745607569946</v>
      </c>
      <c r="G4372">
        <f ca="1"/>
        <v>0.75854003382550217</v>
      </c>
    </row>
    <row r="4373" spans="3:7">
      <c r="C4373">
        <f ca="1"/>
        <v>0.32780207645767984</v>
      </c>
      <c r="D4373">
        <f ca="1"/>
        <v>0.69908282113319953</v>
      </c>
      <c r="E4373">
        <f ca="1"/>
        <v>1.1269415374346923</v>
      </c>
      <c r="G4373">
        <f ca="1"/>
        <v>1.8661682209291877</v>
      </c>
    </row>
    <row r="4374" spans="3:7">
      <c r="C4374">
        <f ca="1"/>
        <v>-0.42549732324294243</v>
      </c>
      <c r="D4374">
        <f ca="1"/>
        <v>-0.55600687345894761</v>
      </c>
      <c r="E4374">
        <f ca="1"/>
        <v>0.33427596114108188</v>
      </c>
      <c r="G4374">
        <f ca="1"/>
        <v>0.6019320336172973</v>
      </c>
    </row>
    <row r="4375" spans="3:7">
      <c r="C4375">
        <f ca="1"/>
        <v>2.3915486514150066</v>
      </c>
      <c r="D4375">
        <f ca="1"/>
        <v>1.0897405096037496</v>
      </c>
      <c r="E4375">
        <f ca="1"/>
        <v>0.57768338757838611</v>
      </c>
      <c r="G4375">
        <f ca="1"/>
        <v>7.2407574266404158</v>
      </c>
    </row>
    <row r="4376" spans="3:7">
      <c r="C4376">
        <f ca="1"/>
        <v>0.14762547897359191</v>
      </c>
      <c r="D4376">
        <f ca="1"/>
        <v>0.98399744526222754</v>
      </c>
      <c r="E4376">
        <f ca="1"/>
        <v>0.34083358490453186</v>
      </c>
      <c r="G4376">
        <f ca="1"/>
        <v>1.1062117869236476</v>
      </c>
    </row>
    <row r="4377" spans="3:7">
      <c r="C4377">
        <f ca="1"/>
        <v>-4.17413028671366E-2</v>
      </c>
      <c r="D4377">
        <f ca="1"/>
        <v>0.75443844779885438</v>
      </c>
      <c r="E4377">
        <f ca="1"/>
        <v>0.78953921694812379</v>
      </c>
      <c r="G4377">
        <f ca="1"/>
        <v>1.1942918829812474</v>
      </c>
    </row>
    <row r="4378" spans="3:7">
      <c r="C4378">
        <f ca="1"/>
        <v>-0.58943702278397192</v>
      </c>
      <c r="D4378">
        <f ca="1"/>
        <v>0.61615971237157152</v>
      </c>
      <c r="E4378">
        <f ca="1"/>
        <v>0.55133197930232181</v>
      </c>
      <c r="G4378">
        <f ca="1"/>
        <v>1.0310557463796661</v>
      </c>
    </row>
    <row r="4379" spans="3:7">
      <c r="C4379">
        <f ca="1"/>
        <v>0.96367970506339196</v>
      </c>
      <c r="D4379">
        <f ca="1"/>
        <v>-0.18441431103606401</v>
      </c>
      <c r="E4379">
        <f ca="1"/>
        <v>-0.18464918537189109</v>
      </c>
      <c r="G4379">
        <f ca="1"/>
        <v>0.99678253372447534</v>
      </c>
    </row>
    <row r="4380" spans="3:7">
      <c r="C4380">
        <f ca="1"/>
        <v>-1.2537353077427758</v>
      </c>
      <c r="D4380">
        <f ca="1"/>
        <v>-1.8588126232649218</v>
      </c>
      <c r="E4380">
        <f ca="1"/>
        <v>-0.83648897717127702</v>
      </c>
      <c r="G4380">
        <f ca="1"/>
        <v>5.7267503992189415</v>
      </c>
    </row>
    <row r="4381" spans="3:7">
      <c r="C4381">
        <f ca="1"/>
        <v>-0.32822532623648953</v>
      </c>
      <c r="D4381">
        <f ca="1"/>
        <v>-0.83133120500506597</v>
      </c>
      <c r="E4381">
        <f ca="1"/>
        <v>-1.5900767764447996</v>
      </c>
      <c r="G4381">
        <f ca="1"/>
        <v>3.3271875921873102</v>
      </c>
    </row>
    <row r="4382" spans="3:7">
      <c r="C4382">
        <f ca="1"/>
        <v>0.53016574252772075</v>
      </c>
      <c r="D4382">
        <f ca="1"/>
        <v>-0.88717668600003829</v>
      </c>
      <c r="E4382">
        <f ca="1"/>
        <v>1.2428507741194901E-2</v>
      </c>
      <c r="G4382">
        <f ca="1"/>
        <v>1.068312654536653</v>
      </c>
    </row>
    <row r="4383" spans="3:7">
      <c r="C4383">
        <f ca="1"/>
        <v>-2.1848663496980376</v>
      </c>
      <c r="D4383">
        <f ca="1"/>
        <v>0.7350509024126245</v>
      </c>
      <c r="E4383">
        <f ca="1"/>
        <v>-0.55825226726243804</v>
      </c>
      <c r="G4383">
        <f ca="1"/>
        <v>5.625586389084094</v>
      </c>
    </row>
    <row r="4384" spans="3:7">
      <c r="C4384">
        <f ca="1"/>
        <v>1.1456071597639936</v>
      </c>
      <c r="D4384">
        <f ca="1"/>
        <v>0.48302707184475252</v>
      </c>
      <c r="E4384">
        <f ca="1"/>
        <v>-0.16014126930587125</v>
      </c>
      <c r="G4384">
        <f ca="1"/>
        <v>1.5713761427723358</v>
      </c>
    </row>
    <row r="4385" spans="3:7">
      <c r="C4385">
        <f ca="1"/>
        <v>-0.35746226408399012</v>
      </c>
      <c r="D4385">
        <f ca="1"/>
        <v>-0.96401008039977032</v>
      </c>
      <c r="E4385">
        <f ca="1"/>
        <v>1.170152685714444</v>
      </c>
      <c r="G4385">
        <f ca="1"/>
        <v>2.42635201324115</v>
      </c>
    </row>
    <row r="4386" spans="3:7">
      <c r="C4386">
        <f ca="1"/>
        <v>9.4102158510612679E-3</v>
      </c>
      <c r="D4386">
        <f ca="1"/>
        <v>-2.2736237956546037</v>
      </c>
      <c r="E4386">
        <f ca="1"/>
        <v>2.2831695579579669</v>
      </c>
      <c r="G4386">
        <f ca="1"/>
        <v>10.382316946715189</v>
      </c>
    </row>
    <row r="4387" spans="3:7">
      <c r="C4387">
        <f ca="1"/>
        <v>-0.83021204911146207</v>
      </c>
      <c r="D4387">
        <f ca="1"/>
        <v>1.9329688851919162</v>
      </c>
      <c r="E4387">
        <f ca="1"/>
        <v>-3.6514318761798899E-2</v>
      </c>
      <c r="G4387">
        <f ca="1"/>
        <v>4.4269540530845708</v>
      </c>
    </row>
    <row r="4388" spans="3:7">
      <c r="C4388">
        <f ca="1"/>
        <v>-1.4768215127962092</v>
      </c>
      <c r="D4388">
        <f ca="1"/>
        <v>1.7237685734782902</v>
      </c>
      <c r="E4388">
        <f ca="1"/>
        <v>-0.82947160984157187</v>
      </c>
      <c r="G4388">
        <f ca="1"/>
        <v>5.8404030271022318</v>
      </c>
    </row>
    <row r="4389" spans="3:7">
      <c r="C4389">
        <f ca="1"/>
        <v>0.54268103225094255</v>
      </c>
      <c r="D4389">
        <f ca="1"/>
        <v>-0.61849697984367347</v>
      </c>
      <c r="E4389">
        <f ca="1"/>
        <v>0.81677918301300356</v>
      </c>
      <c r="G4389">
        <f ca="1"/>
        <v>1.3441694506440836</v>
      </c>
    </row>
    <row r="4390" spans="3:7">
      <c r="C4390">
        <f ca="1"/>
        <v>-0.87765511368732441</v>
      </c>
      <c r="D4390">
        <f ca="1"/>
        <v>1.845691216533317E-2</v>
      </c>
      <c r="E4390">
        <f ca="1"/>
        <v>-0.19862694561277439</v>
      </c>
      <c r="G4390">
        <f ca="1"/>
        <v>0.8100718197116491</v>
      </c>
    </row>
    <row r="4391" spans="3:7">
      <c r="C4391">
        <f ca="1"/>
        <v>-0.63460590363624392</v>
      </c>
      <c r="D4391">
        <f ca="1"/>
        <v>9.4847130110518291E-2</v>
      </c>
      <c r="E4391">
        <f ca="1"/>
        <v>0.12740974977381178</v>
      </c>
      <c r="G4391">
        <f ca="1"/>
        <v>0.42795387535760065</v>
      </c>
    </row>
    <row r="4392" spans="3:7">
      <c r="C4392">
        <f ca="1"/>
        <v>-0.28913640673529534</v>
      </c>
      <c r="D4392">
        <f ca="1"/>
        <v>-0.15676585575683313</v>
      </c>
      <c r="E4392">
        <f ca="1"/>
        <v>0.68999901960179921</v>
      </c>
      <c r="G4392">
        <f ca="1"/>
        <v>0.58427404228241442</v>
      </c>
    </row>
    <row r="4393" spans="3:7">
      <c r="C4393">
        <f ca="1"/>
        <v>-0.21475259579478603</v>
      </c>
      <c r="D4393">
        <f ca="1"/>
        <v>-2.0936746221520655</v>
      </c>
      <c r="E4393">
        <f ca="1"/>
        <v>-2.7958449334404729E-2</v>
      </c>
      <c r="G4393">
        <f ca="1"/>
        <v>4.4303737757333774</v>
      </c>
    </row>
    <row r="4394" spans="3:7">
      <c r="C4394">
        <f ca="1"/>
        <v>-0.93094727041978709</v>
      </c>
      <c r="D4394">
        <f ca="1"/>
        <v>-0.12463010447415181</v>
      </c>
      <c r="E4394">
        <f ca="1"/>
        <v>1.7789370091726806</v>
      </c>
      <c r="G4394">
        <f ca="1"/>
        <v>4.0468123658475319</v>
      </c>
    </row>
    <row r="4395" spans="3:7">
      <c r="C4395">
        <f ca="1"/>
        <v>0.63003697316863327</v>
      </c>
      <c r="D4395">
        <f ca="1"/>
        <v>0.81828012062990463</v>
      </c>
      <c r="E4395">
        <f ca="1"/>
        <v>-2.6712630270065154</v>
      </c>
      <c r="G4395">
        <f ca="1"/>
        <v>8.2021751028295959</v>
      </c>
    </row>
    <row r="4396" spans="3:7">
      <c r="C4396">
        <f ca="1"/>
        <v>0.73766129804265279</v>
      </c>
      <c r="D4396">
        <f ca="1"/>
        <v>-0.22969212410443104</v>
      </c>
      <c r="E4396">
        <f ca="1"/>
        <v>-9.5770727919988335E-2</v>
      </c>
      <c r="G4396">
        <f ca="1"/>
        <v>0.60607469483190124</v>
      </c>
    </row>
    <row r="4397" spans="3:7">
      <c r="C4397">
        <f ca="1"/>
        <v>7.6640955797977181E-2</v>
      </c>
      <c r="D4397">
        <f ca="1"/>
        <v>-2.3306701391954499</v>
      </c>
      <c r="E4397">
        <f ca="1"/>
        <v>0.43275742628883929</v>
      </c>
      <c r="G4397">
        <f ca="1"/>
        <v>5.625176123851106</v>
      </c>
    </row>
    <row r="4398" spans="3:7">
      <c r="C4398">
        <f ca="1"/>
        <v>-1.2337802591665301</v>
      </c>
      <c r="D4398">
        <f ca="1"/>
        <v>-0.48915006780091963</v>
      </c>
      <c r="E4398">
        <f ca="1"/>
        <v>1.3244711480883207</v>
      </c>
      <c r="G4398">
        <f ca="1"/>
        <v>3.5157053388570687</v>
      </c>
    </row>
    <row r="4399" spans="3:7">
      <c r="C4399">
        <f ca="1"/>
        <v>0.85666178767525925</v>
      </c>
      <c r="D4399">
        <f ca="1"/>
        <v>-0.3876872734130512</v>
      </c>
      <c r="E4399">
        <f ca="1"/>
        <v>-0.77438477165787034</v>
      </c>
      <c r="G4399">
        <f ca="1"/>
        <v>1.4838426150050288</v>
      </c>
    </row>
    <row r="4400" spans="3:7">
      <c r="C4400">
        <f ca="1"/>
        <v>-0.34892488252418741</v>
      </c>
      <c r="D4400">
        <f ca="1"/>
        <v>0.2910141149439604</v>
      </c>
      <c r="E4400">
        <f ca="1"/>
        <v>0.81562826021617219</v>
      </c>
      <c r="G4400">
        <f ca="1"/>
        <v>0.87168724760439453</v>
      </c>
    </row>
    <row r="4401" spans="3:7">
      <c r="C4401">
        <f ca="1"/>
        <v>1.2608456454229346</v>
      </c>
      <c r="D4401">
        <f ca="1"/>
        <v>-1.6190596231972796</v>
      </c>
      <c r="E4401">
        <f ca="1"/>
        <v>9.1419388146142339E-2</v>
      </c>
      <c r="G4401">
        <f ca="1"/>
        <v>4.2194433095787085</v>
      </c>
    </row>
    <row r="4402" spans="3:7">
      <c r="C4402">
        <f ca="1"/>
        <v>-0.84271961145067242</v>
      </c>
      <c r="D4402">
        <f ca="1"/>
        <v>-1.093088921628492</v>
      </c>
      <c r="E4402">
        <f ca="1"/>
        <v>1.8184714762957426</v>
      </c>
      <c r="G4402">
        <f ca="1"/>
        <v>5.2118582442117294</v>
      </c>
    </row>
    <row r="4403" spans="3:7">
      <c r="C4403">
        <f ca="1"/>
        <v>-0.49946201564674925</v>
      </c>
      <c r="D4403">
        <f ca="1"/>
        <v>-0.18141279977059482</v>
      </c>
      <c r="E4403">
        <f ca="1"/>
        <v>-0.6015425896204607</v>
      </c>
      <c r="G4403">
        <f ca="1"/>
        <v>0.64422639612180954</v>
      </c>
    </row>
    <row r="4404" spans="3:7">
      <c r="C4404">
        <f ca="1"/>
        <v>1.0706147134498398</v>
      </c>
      <c r="D4404">
        <f ca="1"/>
        <v>0.10931977192428974</v>
      </c>
      <c r="E4404">
        <f ca="1"/>
        <v>-1.2232624618327037</v>
      </c>
      <c r="G4404">
        <f ca="1"/>
        <v>2.6545377277178686</v>
      </c>
    </row>
    <row r="4405" spans="3:7">
      <c r="C4405">
        <f ca="1"/>
        <v>-0.68354694468690436</v>
      </c>
      <c r="D4405">
        <f ca="1"/>
        <v>-0.79767365631871756</v>
      </c>
      <c r="E4405">
        <f ca="1"/>
        <v>2.7458280892026621E-2</v>
      </c>
      <c r="G4405">
        <f ca="1"/>
        <v>1.1042736447652188</v>
      </c>
    </row>
    <row r="4406" spans="3:7">
      <c r="C4406">
        <f ca="1"/>
        <v>-1.1110997917555177E-2</v>
      </c>
      <c r="D4406">
        <f ca="1"/>
        <v>0.97758985885479988</v>
      </c>
      <c r="E4406">
        <f ca="1"/>
        <v>0.34187268140201732</v>
      </c>
      <c r="G4406">
        <f ca="1"/>
        <v>1.0726823166994768</v>
      </c>
    </row>
    <row r="4407" spans="3:7">
      <c r="C4407">
        <f ca="1"/>
        <v>0.78920313874282144</v>
      </c>
      <c r="D4407">
        <f ca="1"/>
        <v>0.12345952206820056</v>
      </c>
      <c r="E4407">
        <f ca="1"/>
        <v>0.83989521219037844</v>
      </c>
      <c r="G4407">
        <f ca="1"/>
        <v>1.3435078152511504</v>
      </c>
    </row>
    <row r="4408" spans="3:7">
      <c r="C4408">
        <f ca="1"/>
        <v>1.4790910557163857</v>
      </c>
      <c r="D4408">
        <f ca="1"/>
        <v>1.2450165910203816</v>
      </c>
      <c r="E4408">
        <f ca="1"/>
        <v>-9.3385420580231721E-2</v>
      </c>
      <c r="G4408">
        <f ca="1"/>
        <v>3.746497499793171</v>
      </c>
    </row>
    <row r="4409" spans="3:7">
      <c r="C4409">
        <f ca="1"/>
        <v>0.1066636419706414</v>
      </c>
      <c r="D4409">
        <f ca="1"/>
        <v>-0.46287783186067805</v>
      </c>
      <c r="E4409">
        <f ca="1"/>
        <v>-0.49880934887593043</v>
      </c>
      <c r="G4409">
        <f ca="1"/>
        <v>0.47444378627251299</v>
      </c>
    </row>
    <row r="4410" spans="3:7">
      <c r="C4410">
        <f ca="1"/>
        <v>1.5488955435769785</v>
      </c>
      <c r="D4410">
        <f ca="1"/>
        <v>-1.8787132948818719</v>
      </c>
      <c r="E4410">
        <f ca="1"/>
        <v>2.052948663527375</v>
      </c>
      <c r="G4410">
        <f ca="1"/>
        <v>10.143239264357359</v>
      </c>
    </row>
    <row r="4411" spans="3:7">
      <c r="C4411">
        <f ca="1"/>
        <v>0.4744728675842787</v>
      </c>
      <c r="D4411">
        <f ca="1"/>
        <v>-1.1501156312502125</v>
      </c>
      <c r="E4411">
        <f ca="1"/>
        <v>-0.73346460007375414</v>
      </c>
      <c r="G4411">
        <f ca="1"/>
        <v>2.0858607868810752</v>
      </c>
    </row>
    <row r="4412" spans="3:7">
      <c r="C4412">
        <f ca="1"/>
        <v>-0.29889010635708702</v>
      </c>
      <c r="D4412">
        <f ca="1"/>
        <v>-0.74705126568687386</v>
      </c>
      <c r="E4412">
        <f ca="1"/>
        <v>-0.25896517446137274</v>
      </c>
      <c r="G4412">
        <f ca="1"/>
        <v>0.71448385082632015</v>
      </c>
    </row>
    <row r="4413" spans="3:7">
      <c r="C4413">
        <f ca="1"/>
        <v>-0.83934045400370061</v>
      </c>
      <c r="D4413">
        <f ca="1"/>
        <v>0.79653635623274144</v>
      </c>
      <c r="E4413">
        <f ca="1"/>
        <v>-0.39701177590268472</v>
      </c>
      <c r="G4413">
        <f ca="1"/>
        <v>1.4965809147330746</v>
      </c>
    </row>
    <row r="4414" spans="3:7">
      <c r="C4414">
        <f ca="1"/>
        <v>-0.75398164715283145</v>
      </c>
      <c r="D4414">
        <f ca="1"/>
        <v>-0.37044816949307319</v>
      </c>
      <c r="E4414">
        <f ca="1"/>
        <v>-0.95754540632243834</v>
      </c>
      <c r="G4414">
        <f ca="1"/>
        <v>1.6226133756932692</v>
      </c>
    </row>
    <row r="4415" spans="3:7">
      <c r="C4415">
        <f ca="1"/>
        <v>-0.22223557484892464</v>
      </c>
      <c r="D4415">
        <f ca="1"/>
        <v>-0.60196119482989996</v>
      </c>
      <c r="E4415">
        <f ca="1"/>
        <v>-1.2922514435231245</v>
      </c>
      <c r="G4415">
        <f ca="1"/>
        <v>2.0816597240970718</v>
      </c>
    </row>
    <row r="4416" spans="3:7">
      <c r="C4416">
        <f ca="1"/>
        <v>-0.69071531542147346</v>
      </c>
      <c r="D4416">
        <f ca="1"/>
        <v>-0.72332201156966802</v>
      </c>
      <c r="E4416">
        <f ca="1"/>
        <v>-2.0674280994477319</v>
      </c>
      <c r="G4416">
        <f ca="1"/>
        <v>5.2745413257650373</v>
      </c>
    </row>
    <row r="4417" spans="3:7">
      <c r="C4417">
        <f ca="1"/>
        <v>1.2716789219011575</v>
      </c>
      <c r="D4417">
        <f ca="1"/>
        <v>0.25243675236594987</v>
      </c>
      <c r="E4417">
        <f ca="1"/>
        <v>-0.21268047656715292</v>
      </c>
      <c r="G4417">
        <f ca="1"/>
        <v>1.7261245794655893</v>
      </c>
    </row>
    <row r="4418" spans="3:7">
      <c r="C4418">
        <f ca="1"/>
        <v>-0.94630518998718449</v>
      </c>
      <c r="D4418">
        <f ca="1"/>
        <v>-0.36376243989479262</v>
      </c>
      <c r="E4418">
        <f ca="1"/>
        <v>0.44698102092573649</v>
      </c>
      <c r="G4418">
        <f ca="1"/>
        <v>1.2276086583427075</v>
      </c>
    </row>
    <row r="4419" spans="3:7">
      <c r="C4419">
        <f ca="1"/>
        <v>-0.81379347458153561</v>
      </c>
      <c r="D4419">
        <f ca="1"/>
        <v>-0.86653785745288037</v>
      </c>
      <c r="E4419">
        <f ca="1"/>
        <v>0.73853984500423586</v>
      </c>
      <c r="G4419">
        <f ca="1"/>
        <v>1.9585887803293978</v>
      </c>
    </row>
    <row r="4420" spans="3:7">
      <c r="C4420">
        <f ca="1"/>
        <v>-1.4951986164654394</v>
      </c>
      <c r="D4420">
        <f ca="1"/>
        <v>0.95383296813574481</v>
      </c>
      <c r="E4420">
        <f ca="1"/>
        <v>1.4651852845802902E-2</v>
      </c>
      <c r="G4420">
        <f ca="1"/>
        <v>3.1456309105746243</v>
      </c>
    </row>
    <row r="4421" spans="3:7">
      <c r="C4421">
        <f ca="1"/>
        <v>-1.7985976130787515</v>
      </c>
      <c r="D4421">
        <f ca="1"/>
        <v>1.1410954658455781</v>
      </c>
      <c r="E4421">
        <f ca="1"/>
        <v>4.0098441961094994E-2</v>
      </c>
      <c r="G4421">
        <f ca="1"/>
        <v>4.5386601209936268</v>
      </c>
    </row>
    <row r="4422" spans="3:7">
      <c r="C4422">
        <f ca="1"/>
        <v>-1.3842198773576035</v>
      </c>
      <c r="D4422">
        <f ca="1"/>
        <v>-0.94290705779978934</v>
      </c>
      <c r="E4422">
        <f ca="1"/>
        <v>0.34933260443531627</v>
      </c>
      <c r="G4422">
        <f ca="1"/>
        <v>2.9271716570421153</v>
      </c>
    </row>
    <row r="4423" spans="3:7">
      <c r="C4423">
        <f ca="1"/>
        <v>-0.1792924200785643</v>
      </c>
      <c r="D4423">
        <f ca="1"/>
        <v>0.40102584554809645</v>
      </c>
      <c r="E4423">
        <f ca="1"/>
        <v>-1.6208750500286233</v>
      </c>
      <c r="G4423">
        <f ca="1"/>
        <v>2.820203428500486</v>
      </c>
    </row>
    <row r="4424" spans="3:7">
      <c r="C4424">
        <f ca="1"/>
        <v>0.3528167910199278</v>
      </c>
      <c r="D4424">
        <f ca="1"/>
        <v>0.64229051478869836</v>
      </c>
      <c r="E4424">
        <f ca="1"/>
        <v>-0.4280755690775197</v>
      </c>
      <c r="G4424">
        <f ca="1"/>
        <v>0.72026548625417286</v>
      </c>
    </row>
    <row r="4425" spans="3:7">
      <c r="C4425">
        <f ca="1"/>
        <v>0.94909227093688142</v>
      </c>
      <c r="D4425">
        <f ca="1"/>
        <v>0.49026001067389646</v>
      </c>
      <c r="E4425">
        <f ca="1"/>
        <v>-0.59391927659651844</v>
      </c>
      <c r="G4425">
        <f ca="1"/>
        <v>1.4938711239310276</v>
      </c>
    </row>
    <row r="4426" spans="3:7">
      <c r="C4426">
        <f ca="1"/>
        <v>-2.8250385832644249</v>
      </c>
      <c r="D4426">
        <f ca="1"/>
        <v>1.0436492633951022</v>
      </c>
      <c r="E4426">
        <f ca="1"/>
        <v>1.1408299795230934</v>
      </c>
      <c r="G4426">
        <f ca="1"/>
        <v>10.37153982409647</v>
      </c>
    </row>
    <row r="4427" spans="3:7">
      <c r="C4427">
        <f ca="1"/>
        <v>1.5284731763155366</v>
      </c>
      <c r="D4427">
        <f ca="1"/>
        <v>-1.8486552925782656</v>
      </c>
      <c r="E4427">
        <f ca="1"/>
        <v>-1.5541918501563021</v>
      </c>
      <c r="G4427">
        <f ca="1"/>
        <v>8.1692689485860068</v>
      </c>
    </row>
    <row r="4428" spans="3:7">
      <c r="C4428">
        <f ca="1"/>
        <v>-1.4421235358640201</v>
      </c>
      <c r="D4428">
        <f ca="1"/>
        <v>1.8143639213290081</v>
      </c>
      <c r="E4428">
        <f ca="1"/>
        <v>0.9885245932767438</v>
      </c>
      <c r="G4428">
        <f ca="1"/>
        <v>6.3488176032262711</v>
      </c>
    </row>
    <row r="4429" spans="3:7">
      <c r="C4429">
        <f ca="1"/>
        <v>1.830028077814136</v>
      </c>
      <c r="D4429">
        <f ca="1"/>
        <v>-0.20208373048873157</v>
      </c>
      <c r="E4429">
        <f ca="1"/>
        <v>-1.234483915121948</v>
      </c>
      <c r="G4429">
        <f ca="1"/>
        <v>4.9137911364111568</v>
      </c>
    </row>
    <row r="4430" spans="3:7">
      <c r="C4430">
        <f ca="1"/>
        <v>0.85040576456106165</v>
      </c>
      <c r="D4430">
        <f ca="1"/>
        <v>2.5972968136825783</v>
      </c>
      <c r="E4430">
        <f ca="1"/>
        <v>0.84533565451278336</v>
      </c>
      <c r="G4430">
        <f ca="1"/>
        <v>8.1837330715549133</v>
      </c>
    </row>
    <row r="4431" spans="3:7">
      <c r="C4431">
        <f ca="1"/>
        <v>0.60484691592408024</v>
      </c>
      <c r="D4431">
        <f ca="1"/>
        <v>-0.4579501408832144</v>
      </c>
      <c r="E4431">
        <f ca="1"/>
        <v>0.56873456567918856</v>
      </c>
      <c r="G4431">
        <f ca="1"/>
        <v>0.89901712943612255</v>
      </c>
    </row>
    <row r="4432" spans="3:7">
      <c r="C4432">
        <f ca="1"/>
        <v>-0.92607642569435134</v>
      </c>
      <c r="D4432">
        <f ca="1"/>
        <v>2.4377021329638784</v>
      </c>
      <c r="E4432">
        <f ca="1"/>
        <v>-1.3774469306974688</v>
      </c>
      <c r="G4432">
        <f ca="1"/>
        <v>8.697369282171346</v>
      </c>
    </row>
    <row r="4433" spans="3:7">
      <c r="C4433">
        <f ca="1"/>
        <v>-1.9022282485983852</v>
      </c>
      <c r="D4433">
        <f ca="1"/>
        <v>-0.69327600834963665</v>
      </c>
      <c r="E4433">
        <f ca="1"/>
        <v>0.37206746257091095</v>
      </c>
      <c r="G4433">
        <f ca="1"/>
        <v>4.2375381302228421</v>
      </c>
    </row>
    <row r="4434" spans="3:7">
      <c r="C4434">
        <f ca="1"/>
        <v>0.76113474815204196</v>
      </c>
      <c r="D4434">
        <f ca="1"/>
        <v>5.403339167453166E-2</v>
      </c>
      <c r="E4434">
        <f ca="1"/>
        <v>-1.2125271539471658</v>
      </c>
      <c r="G4434">
        <f ca="1"/>
        <v>2.0524678113195396</v>
      </c>
    </row>
    <row r="4435" spans="3:7">
      <c r="C4435">
        <f ca="1"/>
        <v>-1.1787750836963669</v>
      </c>
      <c r="D4435">
        <f ca="1"/>
        <v>1.8809833578984037</v>
      </c>
      <c r="E4435">
        <f ca="1"/>
        <v>-0.63306859725619091</v>
      </c>
      <c r="G4435">
        <f ca="1"/>
        <v>5.3283849394660523</v>
      </c>
    </row>
    <row r="4436" spans="3:7">
      <c r="C4436">
        <f ca="1"/>
        <v>0.10349723195810902</v>
      </c>
      <c r="D4436">
        <f ca="1"/>
        <v>1.1268176845306559</v>
      </c>
      <c r="E4436">
        <f ca="1"/>
        <v>2.0750761325479563</v>
      </c>
      <c r="G4436">
        <f ca="1"/>
        <v>5.5863707270642031</v>
      </c>
    </row>
    <row r="4437" spans="3:7">
      <c r="C4437">
        <f ca="1"/>
        <v>0.73781930326896494</v>
      </c>
      <c r="D4437">
        <f ca="1"/>
        <v>0.68732939765522016</v>
      </c>
      <c r="E4437">
        <f ca="1"/>
        <v>-0.3069282808940777</v>
      </c>
      <c r="G4437">
        <f ca="1"/>
        <v>1.1110039947699826</v>
      </c>
    </row>
    <row r="4438" spans="3:7">
      <c r="C4438">
        <f ca="1"/>
        <v>-0.89530527515852054</v>
      </c>
      <c r="D4438">
        <f ca="1"/>
        <v>-1.728200568383832</v>
      </c>
      <c r="E4438">
        <f ca="1"/>
        <v>0.57542727965149654</v>
      </c>
      <c r="G4438">
        <f ca="1"/>
        <v>4.1193652944559958</v>
      </c>
    </row>
    <row r="4439" spans="3:7">
      <c r="C4439">
        <f ca="1"/>
        <v>-0.24501251051483089</v>
      </c>
      <c r="D4439">
        <f ca="1"/>
        <v>-0.68312269466625031</v>
      </c>
      <c r="E4439">
        <f ca="1"/>
        <v>-0.46491505336050537</v>
      </c>
      <c r="G4439">
        <f ca="1"/>
        <v>0.74283375311806077</v>
      </c>
    </row>
    <row r="4440" spans="3:7">
      <c r="C4440">
        <f ca="1"/>
        <v>-0.31100924441559596</v>
      </c>
      <c r="D4440">
        <f ca="1"/>
        <v>1.0630018502351546</v>
      </c>
      <c r="E4440">
        <f ca="1"/>
        <v>2.0890850844995406</v>
      </c>
      <c r="G4440">
        <f ca="1"/>
        <v>5.5909761739937744</v>
      </c>
    </row>
    <row r="4441" spans="3:7">
      <c r="C4441">
        <f ca="1"/>
        <v>0.77052324098864866</v>
      </c>
      <c r="D4441">
        <f ca="1"/>
        <v>-0.24053470609258759</v>
      </c>
      <c r="E4441">
        <f ca="1"/>
        <v>-3.8753130073250701E-2</v>
      </c>
      <c r="G4441">
        <f ca="1"/>
        <v>0.65306481482917289</v>
      </c>
    </row>
    <row r="4442" spans="3:7">
      <c r="C4442">
        <f ca="1"/>
        <v>1.7028126062810949</v>
      </c>
      <c r="D4442">
        <f ca="1"/>
        <v>-1.1213965601450275</v>
      </c>
      <c r="E4442">
        <f ca="1"/>
        <v>-0.27803138623318657</v>
      </c>
      <c r="G4442">
        <f ca="1"/>
        <v>4.2344024689456621</v>
      </c>
    </row>
    <row r="4443" spans="3:7">
      <c r="C4443">
        <f ca="1"/>
        <v>1.4018902172400469</v>
      </c>
      <c r="D4443">
        <f ca="1"/>
        <v>1.1814140385086167</v>
      </c>
      <c r="E4443">
        <f ca="1"/>
        <v>-0.70827828789940661</v>
      </c>
      <c r="G4443">
        <f ca="1"/>
        <v>3.8626934446883001</v>
      </c>
    </row>
    <row r="4444" spans="3:7">
      <c r="C4444">
        <f ca="1"/>
        <v>-2.9091600995148665</v>
      </c>
      <c r="D4444">
        <f ca="1"/>
        <v>0.24961358643719989</v>
      </c>
      <c r="E4444">
        <f ca="1"/>
        <v>-0.66083079279448265</v>
      </c>
      <c r="G4444">
        <f ca="1"/>
        <v>8.9622167638487742</v>
      </c>
    </row>
    <row r="4445" spans="3:7">
      <c r="C4445">
        <f ca="1"/>
        <v>0.28026190736870826</v>
      </c>
      <c r="D4445">
        <f ca="1"/>
        <v>0.91652810119367734</v>
      </c>
      <c r="E4445">
        <f ca="1"/>
        <v>2.1279215131577547</v>
      </c>
      <c r="G4445">
        <f ca="1"/>
        <v>5.4466204631592223</v>
      </c>
    </row>
    <row r="4446" spans="3:7">
      <c r="C4446">
        <f ca="1"/>
        <v>-0.88969240255408977</v>
      </c>
      <c r="D4446">
        <f ca="1"/>
        <v>-2.1494730464174001</v>
      </c>
      <c r="E4446">
        <f ca="1"/>
        <v>-0.18604968319649989</v>
      </c>
      <c r="G4446">
        <f ca="1"/>
        <v>5.4464014330548851</v>
      </c>
    </row>
    <row r="4447" spans="3:7">
      <c r="C4447">
        <f ca="1"/>
        <v>0.11780010150773582</v>
      </c>
      <c r="D4447">
        <f ca="1"/>
        <v>-0.85741328764923619</v>
      </c>
      <c r="E4447">
        <f ca="1"/>
        <v>0.5449065267960358</v>
      </c>
      <c r="G4447">
        <f ca="1"/>
        <v>1.0459575326976236</v>
      </c>
    </row>
    <row r="4448" spans="3:7">
      <c r="C4448">
        <f ca="1"/>
        <v>-1.4478636075376337</v>
      </c>
      <c r="D4448">
        <f ca="1"/>
        <v>0.19888948777137683</v>
      </c>
      <c r="E4448">
        <f ca="1"/>
        <v>1.2474091670087419</v>
      </c>
      <c r="G4448">
        <f ca="1"/>
        <v>3.6918956843152948</v>
      </c>
    </row>
    <row r="4449" spans="3:7">
      <c r="C4449">
        <f ca="1"/>
        <v>1.1626093039642946</v>
      </c>
      <c r="D4449">
        <f ca="1"/>
        <v>9.8601637899426275E-2</v>
      </c>
      <c r="E4449">
        <f ca="1"/>
        <v>0.68231640555610973</v>
      </c>
      <c r="G4449">
        <f ca="1"/>
        <v>1.8269383539518009</v>
      </c>
    </row>
    <row r="4450" spans="3:7">
      <c r="C4450">
        <f ca="1"/>
        <v>0.53612164597125933</v>
      </c>
      <c r="D4450">
        <f ca="1"/>
        <v>0.30484022182762205</v>
      </c>
      <c r="E4450">
        <f ca="1"/>
        <v>0.69348075313295721</v>
      </c>
      <c r="G4450">
        <f ca="1"/>
        <v>0.86126953508869963</v>
      </c>
    </row>
    <row r="4451" spans="3:7">
      <c r="C4451">
        <f ca="1"/>
        <v>-3.1335725360150907E-3</v>
      </c>
      <c r="D4451">
        <f ca="1"/>
        <v>-0.73336386673051668</v>
      </c>
      <c r="E4451">
        <f ca="1"/>
        <v>2.5984798059767309</v>
      </c>
      <c r="G4451">
        <f ca="1"/>
        <v>7.2899296823716426</v>
      </c>
    </row>
    <row r="4452" spans="3:7">
      <c r="C4452">
        <f ca="1"/>
        <v>-0.61057454076109097</v>
      </c>
      <c r="D4452">
        <f ca="1"/>
        <v>-0.26935576366352215</v>
      </c>
      <c r="E4452">
        <f ca="1"/>
        <v>0.54685941799590176</v>
      </c>
      <c r="G4452">
        <f ca="1"/>
        <v>0.74440902029519274</v>
      </c>
    </row>
    <row r="4453" spans="3:7">
      <c r="C4453">
        <f ca="1"/>
        <v>1.5999719009590967</v>
      </c>
      <c r="D4453">
        <f ca="1"/>
        <v>0.72575489355870948</v>
      </c>
      <c r="E4453">
        <f ca="1"/>
        <v>0.11974069102013533</v>
      </c>
      <c r="G4453">
        <f ca="1"/>
        <v>3.1009680824690591</v>
      </c>
    </row>
    <row r="4454" spans="3:7">
      <c r="C4454">
        <f ca="1"/>
        <v>0.27637825864622706</v>
      </c>
      <c r="D4454">
        <f ca="1"/>
        <v>9.2114105456015102E-2</v>
      </c>
      <c r="E4454">
        <f ca="1"/>
        <v>0.14682323870633926</v>
      </c>
      <c r="G4454">
        <f ca="1"/>
        <v>0.10642701370050132</v>
      </c>
    </row>
    <row r="4455" spans="3:7">
      <c r="C4455">
        <f ca="1"/>
        <v>-0.88653970637265356</v>
      </c>
      <c r="D4455">
        <f ca="1"/>
        <v>-0.97383644040876871</v>
      </c>
      <c r="E4455">
        <f ca="1"/>
        <v>-2.1292144039358254</v>
      </c>
      <c r="G4455">
        <f ca="1"/>
        <v>6.2678640415711246</v>
      </c>
    </row>
    <row r="4456" spans="3:7">
      <c r="C4456">
        <f ca="1"/>
        <v>-0.10271297731146922</v>
      </c>
      <c r="D4456">
        <f ca="1"/>
        <v>0.8390076262273255</v>
      </c>
      <c r="E4456">
        <f ca="1"/>
        <v>0.76383517091268405</v>
      </c>
      <c r="G4456">
        <f ca="1"/>
        <v>1.2979279208990071</v>
      </c>
    </row>
    <row r="4457" spans="3:7">
      <c r="C4457">
        <f ca="1"/>
        <v>-2.0789431684301403</v>
      </c>
      <c r="D4457">
        <f ca="1"/>
        <v>1.1038602635565418</v>
      </c>
      <c r="E4457">
        <f ca="1"/>
        <v>3.2180664476380923E-3</v>
      </c>
      <c r="G4457">
        <f ca="1"/>
        <v>5.54052253497313</v>
      </c>
    </row>
    <row r="4458" spans="3:7">
      <c r="C4458">
        <f ca="1"/>
        <v>-1.2617529286822005</v>
      </c>
      <c r="D4458">
        <f ca="1"/>
        <v>-0.94499445141844163</v>
      </c>
      <c r="E4458">
        <f ca="1"/>
        <v>0.34398551785116538</v>
      </c>
      <c r="G4458">
        <f ca="1"/>
        <v>2.6033610027410861</v>
      </c>
    </row>
    <row r="4459" spans="3:7">
      <c r="C4459">
        <f ca="1"/>
        <v>0.61529799064536095</v>
      </c>
      <c r="D4459">
        <f ca="1"/>
        <v>-1.158949745578596</v>
      </c>
      <c r="E4459">
        <f ca="1"/>
        <v>8.8481893792061433E-3</v>
      </c>
      <c r="G4459">
        <f ca="1"/>
        <v>1.7218344205242011</v>
      </c>
    </row>
    <row r="4460" spans="3:7">
      <c r="C4460">
        <f ca="1"/>
        <v>-0.11808406090336881</v>
      </c>
      <c r="D4460">
        <f ca="1"/>
        <v>-6.0475597213755616E-2</v>
      </c>
      <c r="E4460">
        <f ca="1"/>
        <v>1.0953119312626858</v>
      </c>
      <c r="G4460">
        <f ca="1"/>
        <v>1.2173093700641855</v>
      </c>
    </row>
    <row r="4461" spans="3:7">
      <c r="C4461">
        <f ca="1"/>
        <v>-0.62572282410295188</v>
      </c>
      <c r="D4461">
        <f ca="1"/>
        <v>2.8368577794077323</v>
      </c>
      <c r="E4461">
        <f ca="1"/>
        <v>-1.0434090662169722</v>
      </c>
      <c r="G4461">
        <f ca="1"/>
        <v>9.527993592653317</v>
      </c>
    </row>
    <row r="4462" spans="3:7">
      <c r="C4462">
        <f ca="1"/>
        <v>0.44097952878539626</v>
      </c>
      <c r="D4462">
        <f ca="1"/>
        <v>1.1209612949988543</v>
      </c>
      <c r="E4462">
        <f ca="1"/>
        <v>-1.4645767754842518</v>
      </c>
      <c r="G4462">
        <f ca="1"/>
        <v>3.596002300981147</v>
      </c>
    </row>
    <row r="4463" spans="3:7">
      <c r="C4463">
        <f ca="1"/>
        <v>0.2221557882555445</v>
      </c>
      <c r="D4463">
        <f ca="1"/>
        <v>-3.2683745077851647</v>
      </c>
      <c r="E4463">
        <f ca="1"/>
        <v>0.30847207340864086</v>
      </c>
      <c r="G4463">
        <f ca="1"/>
        <v>10.826780137468386</v>
      </c>
    </row>
    <row r="4464" spans="3:7">
      <c r="C4464">
        <f ca="1"/>
        <v>-1.9606671729127305</v>
      </c>
      <c r="D4464">
        <f ca="1"/>
        <v>0.35962971016933903</v>
      </c>
      <c r="E4464">
        <f ca="1"/>
        <v>0.17480911430335969</v>
      </c>
      <c r="G4464">
        <f ca="1"/>
        <v>4.0041075178176069</v>
      </c>
    </row>
    <row r="4465" spans="3:7">
      <c r="C4465">
        <f ca="1"/>
        <v>-0.88882566695994902</v>
      </c>
      <c r="D4465">
        <f ca="1"/>
        <v>0.3973125093280564</v>
      </c>
      <c r="E4465">
        <f ca="1"/>
        <v>0.11254633991583202</v>
      </c>
      <c r="G4465">
        <f ca="1"/>
        <v>0.96053497494380513</v>
      </c>
    </row>
    <row r="4466" spans="3:7">
      <c r="C4466">
        <f ca="1"/>
        <v>-2.6356811767241068</v>
      </c>
      <c r="D4466">
        <f ca="1"/>
        <v>0.8287565938477125</v>
      </c>
      <c r="E4466">
        <f ca="1"/>
        <v>-2.61393050547299</v>
      </c>
      <c r="G4466">
        <f ca="1"/>
        <v>14.466285444626116</v>
      </c>
    </row>
    <row r="4467" spans="3:7">
      <c r="C4467">
        <f ca="1"/>
        <v>0.12368233264569697</v>
      </c>
      <c r="D4467">
        <f ca="1"/>
        <v>-0.64255445896814634</v>
      </c>
      <c r="E4467">
        <f ca="1"/>
        <v>0.17913738134432469</v>
      </c>
      <c r="G4467">
        <f ca="1"/>
        <v>0.46026375354343008</v>
      </c>
    </row>
    <row r="4468" spans="3:7">
      <c r="C4468">
        <f ca="1"/>
        <v>-0.44714908435205147</v>
      </c>
      <c r="D4468">
        <f ca="1"/>
        <v>-1.0375891583350729</v>
      </c>
      <c r="E4468">
        <f ca="1"/>
        <v>0.46900971476102576</v>
      </c>
      <c r="G4468">
        <f ca="1"/>
        <v>1.4965036776715819</v>
      </c>
    </row>
    <row r="4469" spans="3:7">
      <c r="C4469">
        <f ca="1"/>
        <v>0.34964191824868918</v>
      </c>
      <c r="D4469">
        <f ca="1"/>
        <v>0.68077759955843209</v>
      </c>
      <c r="E4469">
        <f ca="1"/>
        <v>4.1078394249768391E-2</v>
      </c>
      <c r="G4469">
        <f ca="1"/>
        <v>0.58739504553130339</v>
      </c>
    </row>
    <row r="4470" spans="3:7">
      <c r="C4470">
        <f ca="1"/>
        <v>0.55798517341482223</v>
      </c>
      <c r="D4470">
        <f ca="1"/>
        <v>-0.82382899239164031</v>
      </c>
      <c r="E4470">
        <f ca="1"/>
        <v>-0.37361006627370347</v>
      </c>
      <c r="G4470">
        <f ca="1"/>
        <v>1.1296261440768358</v>
      </c>
    </row>
    <row r="4471" spans="3:7">
      <c r="C4471">
        <f ca="1"/>
        <v>0.15885421218164689</v>
      </c>
      <c r="D4471">
        <f ca="1"/>
        <v>1.5187265415541993</v>
      </c>
      <c r="E4471">
        <f ca="1"/>
        <v>-1.0425190611865993</v>
      </c>
      <c r="G4471">
        <f ca="1"/>
        <v>3.4186109616864195</v>
      </c>
    </row>
    <row r="4472" spans="3:7">
      <c r="C4472">
        <f ca="1"/>
        <v>-0.30096119292059093</v>
      </c>
      <c r="D4472">
        <f ca="1"/>
        <v>-0.36342489332338968</v>
      </c>
      <c r="E4472">
        <f ca="1"/>
        <v>1.9270194527707474</v>
      </c>
      <c r="G4472">
        <f ca="1"/>
        <v>3.9360592640881729</v>
      </c>
    </row>
    <row r="4473" spans="3:7">
      <c r="C4473">
        <f ca="1"/>
        <v>-0.60177270632981283</v>
      </c>
      <c r="D4473">
        <f ca="1"/>
        <v>1.8332508210856635</v>
      </c>
      <c r="E4473">
        <f ca="1"/>
        <v>1.2102009332531305</v>
      </c>
      <c r="G4473">
        <f ca="1"/>
        <v>5.1875252619415146</v>
      </c>
    </row>
    <row r="4474" spans="3:7">
      <c r="C4474">
        <f ca="1"/>
        <v>-0.35255653465655595</v>
      </c>
      <c r="D4474">
        <f ca="1"/>
        <v>-0.38848701892045107</v>
      </c>
      <c r="E4474">
        <f ca="1"/>
        <v>-0.61949742407092434</v>
      </c>
      <c r="G4474">
        <f ca="1"/>
        <v>0.6589953324292489</v>
      </c>
    </row>
    <row r="4475" spans="3:7">
      <c r="C4475">
        <f ca="1"/>
        <v>0.88696516519361168</v>
      </c>
      <c r="D4475">
        <f ca="1"/>
        <v>0.58548235353419809</v>
      </c>
      <c r="E4475">
        <f ca="1"/>
        <v>-4.9388921201884761E-2</v>
      </c>
      <c r="G4475">
        <f ca="1"/>
        <v>1.1319360561043608</v>
      </c>
    </row>
    <row r="4476" spans="3:7">
      <c r="C4476">
        <f ca="1"/>
        <v>-0.68827675807614797</v>
      </c>
      <c r="D4476">
        <f ca="1"/>
        <v>9.1128623812919821E-2</v>
      </c>
      <c r="E4476">
        <f ca="1"/>
        <v>1.6208800353446184</v>
      </c>
      <c r="G4476">
        <f ca="1"/>
        <v>3.1092814107646203</v>
      </c>
    </row>
    <row r="4477" spans="3:7">
      <c r="C4477">
        <f ca="1"/>
        <v>1.1375278116804688</v>
      </c>
      <c r="D4477">
        <f ca="1"/>
        <v>0.48652545907833339</v>
      </c>
      <c r="E4477">
        <f ca="1"/>
        <v>-0.43495462794609163</v>
      </c>
      <c r="G4477">
        <f ca="1"/>
        <v>1.7198620730496621</v>
      </c>
    </row>
    <row r="4478" spans="3:7">
      <c r="C4478">
        <f ca="1"/>
        <v>0.36944299934976327</v>
      </c>
      <c r="D4478">
        <f ca="1"/>
        <v>-0.11334270329993426</v>
      </c>
      <c r="E4478">
        <f ca="1"/>
        <v>2.3963073697279475E-2</v>
      </c>
      <c r="G4478">
        <f ca="1"/>
        <v>0.14990892706090736</v>
      </c>
    </row>
    <row r="4479" spans="3:7">
      <c r="C4479">
        <f ca="1"/>
        <v>-9.2182407361254382E-2</v>
      </c>
      <c r="D4479">
        <f ca="1"/>
        <v>1.453231392767149</v>
      </c>
      <c r="E4479">
        <f ca="1"/>
        <v>-0.21917977834355445</v>
      </c>
      <c r="G4479">
        <f ca="1"/>
        <v>2.1684188523855932</v>
      </c>
    </row>
    <row r="4480" spans="3:7">
      <c r="C4480">
        <f ca="1"/>
        <v>1.4557788631966484</v>
      </c>
      <c r="D4480">
        <f ca="1"/>
        <v>-0.11916706869590625</v>
      </c>
      <c r="E4480">
        <f ca="1"/>
        <v>0.20240631745904014</v>
      </c>
      <c r="G4480">
        <f ca="1"/>
        <v>2.1744612061390307</v>
      </c>
    </row>
    <row r="4481" spans="3:7">
      <c r="C4481">
        <f ca="1"/>
        <v>0.75520197390108312</v>
      </c>
      <c r="D4481">
        <f ca="1"/>
        <v>0.46006738509047262</v>
      </c>
      <c r="E4481">
        <f ca="1"/>
        <v>0.69748949088730672</v>
      </c>
      <c r="G4481">
        <f ca="1"/>
        <v>1.2684836101063117</v>
      </c>
    </row>
    <row r="4482" spans="3:7">
      <c r="C4482">
        <f ca="1"/>
        <v>-1.7652092833084141</v>
      </c>
      <c r="D4482">
        <f ca="1"/>
        <v>-0.49378904243438354</v>
      </c>
      <c r="E4482">
        <f ca="1"/>
        <v>-8.2084880078128059E-2</v>
      </c>
      <c r="G4482">
        <f ca="1"/>
        <v>3.3665293598439114</v>
      </c>
    </row>
    <row r="4483" spans="3:7">
      <c r="C4483">
        <f ca="1"/>
        <v>-1.7072329362969283</v>
      </c>
      <c r="D4483">
        <f ca="1"/>
        <v>-1.0405256947600849</v>
      </c>
      <c r="E4483">
        <f ca="1"/>
        <v>-0.4953977907598478</v>
      </c>
      <c r="G4483">
        <f ca="1"/>
        <v>4.242756991322727</v>
      </c>
    </row>
    <row r="4484" spans="3:7">
      <c r="C4484">
        <f ca="1"/>
        <v>-1.9035419338656576</v>
      </c>
      <c r="D4484">
        <f ca="1"/>
        <v>0.75790877574274162</v>
      </c>
      <c r="E4484">
        <f ca="1"/>
        <v>-0.21793835081018045</v>
      </c>
      <c r="G4484">
        <f ca="1"/>
        <v>4.2453947310867308</v>
      </c>
    </row>
    <row r="4485" spans="3:7">
      <c r="C4485">
        <f ca="1"/>
        <v>0.18748765589997463</v>
      </c>
      <c r="D4485">
        <f ca="1"/>
        <v>-7.6569558962885476E-2</v>
      </c>
      <c r="E4485">
        <f ca="1"/>
        <v>0.27840139739063774</v>
      </c>
      <c r="G4485">
        <f ca="1"/>
        <v>0.11852185654369787</v>
      </c>
    </row>
    <row r="4486" spans="3:7">
      <c r="C4486">
        <f ca="1"/>
        <v>-2.3447421193666571</v>
      </c>
      <c r="D4486">
        <f ca="1"/>
        <v>0.82992806754239379</v>
      </c>
      <c r="E4486">
        <f ca="1"/>
        <v>0.69801577295265937</v>
      </c>
      <c r="G4486">
        <f ca="1"/>
        <v>6.6738222229173934</v>
      </c>
    </row>
    <row r="4487" spans="3:7">
      <c r="C4487">
        <f ca="1"/>
        <v>-0.27997996546047393</v>
      </c>
      <c r="D4487">
        <f ca="1"/>
        <v>-0.94930253410946852</v>
      </c>
      <c r="E4487">
        <f ca="1"/>
        <v>0.33369186967268316</v>
      </c>
      <c r="G4487">
        <f ca="1"/>
        <v>1.0909143462115578</v>
      </c>
    </row>
    <row r="4488" spans="3:7">
      <c r="C4488">
        <f ca="1"/>
        <v>-1.1675788154225806</v>
      </c>
      <c r="D4488">
        <f ca="1"/>
        <v>7.5875666730886318E-2</v>
      </c>
      <c r="E4488">
        <f ca="1"/>
        <v>-1.1569771746814701</v>
      </c>
      <c r="G4488">
        <f ca="1"/>
        <v>2.7075935897593699</v>
      </c>
    </row>
    <row r="4489" spans="3:7">
      <c r="C4489">
        <f ca="1"/>
        <v>0.33997120709190343</v>
      </c>
      <c r="D4489">
        <f ca="1"/>
        <v>0.90186374468866393</v>
      </c>
      <c r="E4489">
        <f ca="1"/>
        <v>0.73653896751426218</v>
      </c>
      <c r="G4489">
        <f ca="1"/>
        <v>1.4714282863023609</v>
      </c>
    </row>
    <row r="4490" spans="3:7">
      <c r="C4490">
        <f ca="1"/>
        <v>-1.3825199692058747</v>
      </c>
      <c r="D4490">
        <f ca="1"/>
        <v>0.59607494526842242</v>
      </c>
      <c r="E4490">
        <f ca="1"/>
        <v>4.3621858660776364E-2</v>
      </c>
      <c r="G4490">
        <f ca="1"/>
        <v>2.2685696721827862</v>
      </c>
    </row>
    <row r="4491" spans="3:7">
      <c r="C4491">
        <f ca="1"/>
        <v>0.24680983419314509</v>
      </c>
      <c r="D4491">
        <f ca="1"/>
        <v>-0.52563177278593698</v>
      </c>
      <c r="E4491">
        <f ca="1"/>
        <v>-4.5245018271833956E-2</v>
      </c>
      <c r="G4491">
        <f ca="1"/>
        <v>0.33925096649495329</v>
      </c>
    </row>
    <row r="4492" spans="3:7">
      <c r="C4492">
        <f ca="1"/>
        <v>0.1956696132956334</v>
      </c>
      <c r="D4492">
        <f ca="1"/>
        <v>-0.49275844621179365</v>
      </c>
      <c r="E4492">
        <f ca="1"/>
        <v>0.5291453652420286</v>
      </c>
      <c r="G4492">
        <f ca="1"/>
        <v>0.56109230143744371</v>
      </c>
    </row>
    <row r="4493" spans="3:7">
      <c r="C4493">
        <f ca="1"/>
        <v>0.74612486200199934</v>
      </c>
      <c r="D4493">
        <f ca="1"/>
        <v>-0.2173801464759979</v>
      </c>
      <c r="E4493">
        <f ca="1"/>
        <v>0.11819218396118918</v>
      </c>
      <c r="G4493">
        <f ca="1"/>
        <v>0.61792583012894442</v>
      </c>
    </row>
    <row r="4494" spans="3:7">
      <c r="C4494">
        <f ca="1"/>
        <v>0.36341362636590019</v>
      </c>
      <c r="D4494">
        <f ca="1"/>
        <v>1.6625421504759406</v>
      </c>
      <c r="E4494">
        <f ca="1"/>
        <v>7.1261716180582801E-2</v>
      </c>
      <c r="G4494">
        <f ca="1"/>
        <v>2.9011940981305813</v>
      </c>
    </row>
    <row r="4495" spans="3:7">
      <c r="C4495">
        <f ca="1"/>
        <v>-4.6285850974133111E-2</v>
      </c>
      <c r="D4495">
        <f ca="1"/>
        <v>-0.74307089327633813</v>
      </c>
      <c r="E4495">
        <f ca="1"/>
        <v>-1.0120147195222415</v>
      </c>
      <c r="G4495">
        <f ca="1"/>
        <v>1.5784705249645761</v>
      </c>
    </row>
    <row r="4496" spans="3:7">
      <c r="C4496">
        <f ca="1"/>
        <v>0.33833565880563776</v>
      </c>
      <c r="D4496">
        <f ca="1"/>
        <v>0.41672874833648504</v>
      </c>
      <c r="E4496">
        <f ca="1"/>
        <v>0.19009034185922147</v>
      </c>
      <c r="G4496">
        <f ca="1"/>
        <v>0.32426820577769411</v>
      </c>
    </row>
    <row r="4497" spans="3:7">
      <c r="C4497">
        <f ca="1"/>
        <v>-1.2820060651460217</v>
      </c>
      <c r="D4497">
        <f ca="1"/>
        <v>0.81867989593891588</v>
      </c>
      <c r="E4497">
        <f ca="1"/>
        <v>-0.71620597737380498</v>
      </c>
      <c r="G4497">
        <f ca="1"/>
        <v>2.8267273251117069</v>
      </c>
    </row>
    <row r="4498" spans="3:7">
      <c r="C4498">
        <f ca="1"/>
        <v>-1.2239814147404049</v>
      </c>
      <c r="D4498">
        <f ca="1"/>
        <v>-0.53336017661305468</v>
      </c>
      <c r="E4498">
        <f ca="1"/>
        <v>-0.82002899680665087</v>
      </c>
      <c r="G4498">
        <f ca="1"/>
        <v>2.4550511372303543</v>
      </c>
    </row>
    <row r="4499" spans="3:7">
      <c r="C4499">
        <f ca="1"/>
        <v>0.81037538892213457</v>
      </c>
      <c r="D4499">
        <f ca="1"/>
        <v>0.67773516800374711</v>
      </c>
      <c r="E4499">
        <f ca="1"/>
        <v>-1.7879150095534595</v>
      </c>
      <c r="G4499">
        <f ca="1"/>
        <v>4.3126733103063151</v>
      </c>
    </row>
    <row r="4500" spans="3:7">
      <c r="C4500">
        <f ca="1"/>
        <v>-0.34731109823023654</v>
      </c>
      <c r="D4500">
        <f ca="1"/>
        <v>-0.63340851483601235</v>
      </c>
      <c r="E4500">
        <f ca="1"/>
        <v>0.37661591368857067</v>
      </c>
      <c r="G4500">
        <f ca="1"/>
        <v>0.66367089206413277</v>
      </c>
    </row>
    <row r="4501" spans="3:7">
      <c r="C4501">
        <f ca="1"/>
        <v>0.4026234681861503</v>
      </c>
      <c r="D4501">
        <f ca="1"/>
        <v>-0.20663168344454097</v>
      </c>
      <c r="E4501">
        <f ca="1"/>
        <v>0.6724985271866285</v>
      </c>
      <c r="G4501">
        <f ca="1"/>
        <v>0.65705657880555346</v>
      </c>
    </row>
    <row r="4502" spans="3:7">
      <c r="C4502">
        <f ca="1"/>
        <v>0.54511204929224799</v>
      </c>
      <c r="D4502">
        <f ca="1"/>
        <v>1.8159781540520334</v>
      </c>
      <c r="E4502">
        <f ca="1"/>
        <v>0.88445467487657881</v>
      </c>
      <c r="G4502">
        <f ca="1"/>
        <v>4.3771838741888596</v>
      </c>
    </row>
    <row r="4503" spans="3:7">
      <c r="C4503">
        <f ca="1"/>
        <v>0.54894390496198353</v>
      </c>
      <c r="D4503">
        <f ca="1"/>
        <v>1.0805269966409994</v>
      </c>
      <c r="E4503">
        <f ca="1"/>
        <v>-0.19638560126850349</v>
      </c>
      <c r="G4503">
        <f ca="1"/>
        <v>1.5074453056505213</v>
      </c>
    </row>
    <row r="4504" spans="3:7">
      <c r="C4504">
        <f ca="1"/>
        <v>0.10984165637561349</v>
      </c>
      <c r="D4504">
        <f ca="1"/>
        <v>-1.5735709615758826</v>
      </c>
      <c r="E4504">
        <f ca="1"/>
        <v>-0.176989778983833</v>
      </c>
      <c r="G4504">
        <f ca="1"/>
        <v>2.5195161424549322</v>
      </c>
    </row>
    <row r="4505" spans="3:7">
      <c r="C4505">
        <f ca="1"/>
        <v>-0.24753969915794247</v>
      </c>
      <c r="D4505">
        <f ca="1"/>
        <v>-0.49330403277256979</v>
      </c>
      <c r="E4505">
        <f ca="1"/>
        <v>-6.1125403231264828E-2</v>
      </c>
      <c r="G4505">
        <f ca="1"/>
        <v>0.30836108632907</v>
      </c>
    </row>
    <row r="4506" spans="3:7">
      <c r="C4506">
        <f ca="1"/>
        <v>-0.46659641418771053</v>
      </c>
      <c r="D4506">
        <f ca="1"/>
        <v>0.77068376830723029</v>
      </c>
      <c r="E4506">
        <f ca="1"/>
        <v>0.63673165565185408</v>
      </c>
      <c r="G4506">
        <f ca="1"/>
        <v>1.2170928857742134</v>
      </c>
    </row>
    <row r="4507" spans="3:7">
      <c r="C4507">
        <f ca="1"/>
        <v>0.25026557757126938</v>
      </c>
      <c r="D4507">
        <f ca="1"/>
        <v>1.236649894490109</v>
      </c>
      <c r="E4507">
        <f ca="1"/>
        <v>-0.57583211467153972</v>
      </c>
      <c r="G4507">
        <f ca="1"/>
        <v>1.9235184451465761</v>
      </c>
    </row>
    <row r="4508" spans="3:7">
      <c r="C4508">
        <f ca="1"/>
        <v>0.60694807389418692</v>
      </c>
      <c r="D4508">
        <f ca="1"/>
        <v>0.40762594735132285</v>
      </c>
      <c r="E4508">
        <f ca="1"/>
        <v>-0.25529897794138617</v>
      </c>
      <c r="G4508">
        <f ca="1"/>
        <v>0.5997224454958433</v>
      </c>
    </row>
    <row r="4509" spans="3:7">
      <c r="C4509">
        <f ca="1"/>
        <v>0.72373858203505037</v>
      </c>
      <c r="D4509">
        <f ca="1"/>
        <v>0.70258686064312437</v>
      </c>
      <c r="E4509">
        <f ca="1"/>
        <v>0.62803431975196033</v>
      </c>
      <c r="G4509">
        <f ca="1"/>
        <v>1.4118529386607741</v>
      </c>
    </row>
    <row r="4510" spans="3:7">
      <c r="C4510">
        <f ca="1"/>
        <v>-0.40023059497765029</v>
      </c>
      <c r="D4510">
        <f ca="1"/>
        <v>0.17768515528234105</v>
      </c>
      <c r="E4510">
        <f ca="1"/>
        <v>2.0167381626669618</v>
      </c>
      <c r="G4510">
        <f ca="1"/>
        <v>4.2589893603211868</v>
      </c>
    </row>
    <row r="4511" spans="3:7">
      <c r="C4511">
        <f ca="1"/>
        <v>0.10936868852033524</v>
      </c>
      <c r="D4511">
        <f ca="1"/>
        <v>-0.78890409467621336</v>
      </c>
      <c r="E4511">
        <f ca="1"/>
        <v>0.30151647944438198</v>
      </c>
      <c r="G4511">
        <f ca="1"/>
        <v>0.72524336800208833</v>
      </c>
    </row>
    <row r="4512" spans="3:7">
      <c r="C4512">
        <f ca="1"/>
        <v>-0.43805593875397897</v>
      </c>
      <c r="D4512">
        <f ca="1"/>
        <v>-0.25471735828410808</v>
      </c>
      <c r="E4512">
        <f ca="1"/>
        <v>1.4850315405570218</v>
      </c>
      <c r="G4512">
        <f ca="1"/>
        <v>2.462092614538026</v>
      </c>
    </row>
    <row r="4513" spans="3:7">
      <c r="C4513">
        <f ca="1"/>
        <v>1.0191502106716352</v>
      </c>
      <c r="D4513">
        <f ca="1"/>
        <v>0.17503560555043274</v>
      </c>
      <c r="E4513">
        <f ca="1"/>
        <v>1.1576236162628866</v>
      </c>
      <c r="G4513">
        <f ca="1"/>
        <v>2.4093970520520083</v>
      </c>
    </row>
    <row r="4514" spans="3:7">
      <c r="C4514">
        <f ca="1"/>
        <v>0.31535346020147897</v>
      </c>
      <c r="D4514">
        <f ca="1"/>
        <v>-0.43929771035276638</v>
      </c>
      <c r="E4514">
        <f ca="1"/>
        <v>-0.3785002719487548</v>
      </c>
      <c r="G4514">
        <f ca="1"/>
        <v>0.43569273904751016</v>
      </c>
    </row>
    <row r="4515" spans="3:7">
      <c r="C4515">
        <f ca="1"/>
        <v>-0.20636399749013296</v>
      </c>
      <c r="D4515">
        <f ca="1"/>
        <v>0.40596618595057032</v>
      </c>
      <c r="E4515">
        <f ca="1"/>
        <v>0.36861161929921044</v>
      </c>
      <c r="G4515">
        <f ca="1"/>
        <v>0.34326916947774666</v>
      </c>
    </row>
    <row r="4516" spans="3:7">
      <c r="C4516">
        <f ca="1"/>
        <v>0.13848237811087724</v>
      </c>
      <c r="D4516">
        <f ca="1"/>
        <v>-1.7015991218358026</v>
      </c>
      <c r="E4516">
        <f ca="1"/>
        <v>0.48819220920910689</v>
      </c>
      <c r="G4516">
        <f ca="1"/>
        <v>3.152948573612087</v>
      </c>
    </row>
    <row r="4517" spans="3:7">
      <c r="C4517">
        <f ca="1"/>
        <v>8.05723685803173E-2</v>
      </c>
      <c r="D4517">
        <f ca="1"/>
        <v>-2.1088072344058444E-2</v>
      </c>
      <c r="E4517">
        <f ca="1"/>
        <v>-0.86607377404027652</v>
      </c>
      <c r="G4517">
        <f ca="1"/>
        <v>0.75702039545419875</v>
      </c>
    </row>
    <row r="4518" spans="3:7">
      <c r="C4518">
        <f ca="1"/>
        <v>-0.55932588789870163</v>
      </c>
      <c r="D4518">
        <f ca="1"/>
        <v>0.45426856936678794</v>
      </c>
      <c r="E4518">
        <f ca="1"/>
        <v>-0.6479242029189819</v>
      </c>
      <c r="G4518">
        <f ca="1"/>
        <v>0.93901115471641727</v>
      </c>
    </row>
    <row r="4519" spans="3:7">
      <c r="C4519">
        <f ca="1"/>
        <v>-0.76280687666137248</v>
      </c>
      <c r="D4519">
        <f ca="1"/>
        <v>-0.18451212697384684</v>
      </c>
      <c r="E4519">
        <f ca="1"/>
        <v>0.93505523457409434</v>
      </c>
      <c r="G4519">
        <f ca="1"/>
        <v>1.490247347786706</v>
      </c>
    </row>
    <row r="4520" spans="3:7">
      <c r="C4520">
        <f ca="1"/>
        <v>-0.62121961122692226</v>
      </c>
      <c r="D4520">
        <f ca="1"/>
        <v>-3.4284889439643359E-3</v>
      </c>
      <c r="E4520">
        <f ca="1"/>
        <v>0.28244021309347295</v>
      </c>
      <c r="G4520">
        <f ca="1"/>
        <v>0.46569803388165376</v>
      </c>
    </row>
    <row r="4521" spans="3:7">
      <c r="C4521">
        <f ca="1"/>
        <v>0.16119632536194972</v>
      </c>
      <c r="D4521">
        <f ca="1"/>
        <v>-1.6416667859821841</v>
      </c>
      <c r="E4521">
        <f ca="1"/>
        <v>-0.52340541632914706</v>
      </c>
      <c r="G4521">
        <f ca="1"/>
        <v>2.9950073213499571</v>
      </c>
    </row>
    <row r="4522" spans="3:7">
      <c r="C4522">
        <f ca="1"/>
        <v>1.5306043948052865</v>
      </c>
      <c r="D4522">
        <f ca="1"/>
        <v>-0.94140446326045379</v>
      </c>
      <c r="E4522">
        <f ca="1"/>
        <v>-0.85590009170637726</v>
      </c>
      <c r="G4522">
        <f ca="1"/>
        <v>3.9615571438269459</v>
      </c>
    </row>
    <row r="4523" spans="3:7">
      <c r="C4523">
        <f ca="1"/>
        <v>-0.29498923687831535</v>
      </c>
      <c r="D4523">
        <f ca="1"/>
        <v>-0.61109656769995646</v>
      </c>
      <c r="E4523">
        <f ca="1"/>
        <v>0.4306559414796815</v>
      </c>
      <c r="G4523">
        <f ca="1"/>
        <v>0.64592220486046914</v>
      </c>
    </row>
    <row r="4524" spans="3:7">
      <c r="C4524">
        <f ca="1"/>
        <v>-0.93937443569091039</v>
      </c>
      <c r="D4524">
        <f ca="1"/>
        <v>-1.3813434979039672</v>
      </c>
      <c r="E4524">
        <f ca="1"/>
        <v>1.2364963350586351</v>
      </c>
      <c r="G4524">
        <f ca="1"/>
        <v>4.3194573762446202</v>
      </c>
    </row>
    <row r="4525" spans="3:7">
      <c r="C4525">
        <f ca="1"/>
        <v>-0.10667482021066339</v>
      </c>
      <c r="D4525">
        <f ca="1"/>
        <v>1.2047532129379934</v>
      </c>
      <c r="E4525">
        <f ca="1"/>
        <v>-7.4793926550481768E-2</v>
      </c>
      <c r="G4525">
        <f ca="1"/>
        <v>1.4684039528002342</v>
      </c>
    </row>
    <row r="4526" spans="3:7">
      <c r="C4526">
        <f ca="1"/>
        <v>0.22061258996472022</v>
      </c>
      <c r="D4526">
        <f ca="1"/>
        <v>0.11388074375822486</v>
      </c>
      <c r="E4526">
        <f ca="1"/>
        <v>-5.0006356466052393E-2</v>
      </c>
      <c r="G4526">
        <f ca="1"/>
        <v>6.4139374336878135E-2</v>
      </c>
    </row>
    <row r="4527" spans="3:7">
      <c r="C4527">
        <f ca="1"/>
        <v>-0.90749143486374295</v>
      </c>
      <c r="D4527">
        <f ca="1"/>
        <v>-7.1313328294001915E-2</v>
      </c>
      <c r="E4527">
        <f ca="1"/>
        <v>-0.5713241435561347</v>
      </c>
      <c r="G4527">
        <f ca="1"/>
        <v>1.1550375721535739</v>
      </c>
    </row>
    <row r="4528" spans="3:7">
      <c r="C4528">
        <f ca="1"/>
        <v>-0.69751120916359788</v>
      </c>
      <c r="D4528">
        <f ca="1"/>
        <v>2.1155424921196433</v>
      </c>
      <c r="E4528">
        <f ca="1"/>
        <v>-1.302615081286163</v>
      </c>
      <c r="G4528">
        <f ca="1"/>
        <v>6.6588479728668126</v>
      </c>
    </row>
    <row r="4529" spans="3:7">
      <c r="C4529">
        <f ca="1"/>
        <v>0.29859417849274378</v>
      </c>
      <c r="D4529">
        <f ca="1"/>
        <v>-1.735613925033525</v>
      </c>
      <c r="E4529">
        <f ca="1"/>
        <v>-0.17619077692203577</v>
      </c>
      <c r="G4529">
        <f ca="1"/>
        <v>3.1325573700724254</v>
      </c>
    </row>
    <row r="4530" spans="3:7">
      <c r="C4530">
        <f ca="1"/>
        <v>0.82968160967319959</v>
      </c>
      <c r="D4530">
        <f ca="1"/>
        <v>0.12031333568009965</v>
      </c>
      <c r="E4530">
        <f ca="1"/>
        <v>-1.1104367518461562</v>
      </c>
      <c r="G4530">
        <f ca="1"/>
        <v>1.9359166520230255</v>
      </c>
    </row>
    <row r="4531" spans="3:7">
      <c r="C4531">
        <f ca="1"/>
        <v>-0.35147427744879972</v>
      </c>
      <c r="D4531">
        <f ca="1"/>
        <v>1.0835805488805574</v>
      </c>
      <c r="E4531">
        <f ca="1"/>
        <v>0.32019070920917747</v>
      </c>
      <c r="G4531">
        <f ca="1"/>
        <v>1.4002030638843221</v>
      </c>
    </row>
    <row r="4532" spans="3:7">
      <c r="C4532">
        <f ca="1"/>
        <v>-4.3965509694837406E-3</v>
      </c>
      <c r="D4532">
        <f ca="1"/>
        <v>-0.98950096129541387</v>
      </c>
      <c r="E4532">
        <f ca="1"/>
        <v>-1.3147272715325378</v>
      </c>
      <c r="G4532">
        <f ca="1"/>
        <v>2.7076392805763669</v>
      </c>
    </row>
    <row r="4533" spans="3:7">
      <c r="C4533">
        <f ca="1"/>
        <v>0.3772137016128172</v>
      </c>
      <c r="D4533">
        <f ca="1"/>
        <v>1.4516866565564452</v>
      </c>
      <c r="E4533">
        <f ca="1"/>
        <v>0.14185042799543437</v>
      </c>
      <c r="G4533">
        <f ca="1"/>
        <v>2.2698058694309622</v>
      </c>
    </row>
    <row r="4534" spans="3:7">
      <c r="C4534">
        <f ca="1"/>
        <v>-0.53962100932076873</v>
      </c>
      <c r="D4534">
        <f ca="1"/>
        <v>-0.59974985945103965</v>
      </c>
      <c r="E4534">
        <f ca="1"/>
        <v>-0.40353483305375765</v>
      </c>
      <c r="G4534">
        <f ca="1"/>
        <v>0.8137310890996311</v>
      </c>
    </row>
    <row r="4535" spans="3:7">
      <c r="C4535">
        <f ca="1"/>
        <v>-0.35860857119585904</v>
      </c>
      <c r="D4535">
        <f ca="1"/>
        <v>0.68538616029379118</v>
      </c>
      <c r="E4535">
        <f ca="1"/>
        <v>-0.3150414832342352</v>
      </c>
      <c r="G4535">
        <f ca="1"/>
        <v>0.69760543221582894</v>
      </c>
    </row>
    <row r="4536" spans="3:7">
      <c r="C4536">
        <f ca="1"/>
        <v>-0.52815398397722502</v>
      </c>
      <c r="D4536">
        <f ca="1"/>
        <v>-9.5399061362440238E-2</v>
      </c>
      <c r="E4536">
        <f ca="1"/>
        <v>-0.67743205117218308</v>
      </c>
      <c r="G4536">
        <f ca="1"/>
        <v>0.74696179565520082</v>
      </c>
    </row>
    <row r="4537" spans="3:7">
      <c r="C4537">
        <f ca="1"/>
        <v>-0.43039184450598622</v>
      </c>
      <c r="D4537">
        <f ca="1"/>
        <v>-0.33977218062501247</v>
      </c>
      <c r="E4537">
        <f ca="1"/>
        <v>7.7412416564027517E-2</v>
      </c>
      <c r="G4537">
        <f ca="1"/>
        <v>0.30667495678222367</v>
      </c>
    </row>
    <row r="4538" spans="3:7">
      <c r="C4538">
        <f ca="1"/>
        <v>0.65282195023777934</v>
      </c>
      <c r="D4538">
        <f ca="1"/>
        <v>0.77917188991066944</v>
      </c>
      <c r="E4538">
        <f ca="1"/>
        <v>1.526236393232087</v>
      </c>
      <c r="G4538">
        <f ca="1"/>
        <v>3.3626828607653119</v>
      </c>
    </row>
    <row r="4539" spans="3:7">
      <c r="C4539">
        <f ca="1"/>
        <v>-1.9380710833095784</v>
      </c>
      <c r="D4539">
        <f ca="1"/>
        <v>-0.75787702027949511</v>
      </c>
      <c r="E4539">
        <f ca="1"/>
        <v>-2.423271959622344</v>
      </c>
      <c r="G4539">
        <f ca="1"/>
        <v>10.202744092120405</v>
      </c>
    </row>
    <row r="4540" spans="3:7">
      <c r="C4540">
        <f ca="1"/>
        <v>0.46665024399462768</v>
      </c>
      <c r="D4540">
        <f ca="1"/>
        <v>0.44475142602991652</v>
      </c>
      <c r="E4540">
        <f ca="1"/>
        <v>0.65612565241347887</v>
      </c>
      <c r="G4540">
        <f ca="1"/>
        <v>0.84606715293090318</v>
      </c>
    </row>
    <row r="4541" spans="3:7">
      <c r="C4541">
        <f ca="1"/>
        <v>-0.93419490850181996</v>
      </c>
      <c r="D4541">
        <f ca="1"/>
        <v>0.55345116782333159</v>
      </c>
      <c r="E4541">
        <f ca="1"/>
        <v>9.6209434241030206E-2</v>
      </c>
      <c r="G4541">
        <f ca="1"/>
        <v>1.1882845774727124</v>
      </c>
    </row>
    <row r="4542" spans="3:7">
      <c r="C4542">
        <f ca="1"/>
        <v>1.7545134632150279</v>
      </c>
      <c r="D4542">
        <f ca="1"/>
        <v>-0.26782510323378772</v>
      </c>
      <c r="E4542">
        <f ca="1"/>
        <v>0.71968658341327785</v>
      </c>
      <c r="G4542">
        <f ca="1"/>
        <v>3.6679965568700572</v>
      </c>
    </row>
    <row r="4543" spans="3:7">
      <c r="C4543">
        <f ca="1"/>
        <v>0.19186354526034868</v>
      </c>
      <c r="D4543">
        <f ca="1"/>
        <v>-1.2569692789243829</v>
      </c>
      <c r="E4543">
        <f ca="1"/>
        <v>0.2289772754583177</v>
      </c>
      <c r="G4543">
        <f ca="1"/>
        <v>1.6692139808358673</v>
      </c>
    </row>
    <row r="4544" spans="3:7">
      <c r="C4544">
        <f ca="1"/>
        <v>-0.927069763839246</v>
      </c>
      <c r="D4544">
        <f ca="1"/>
        <v>-1.6488735272723749</v>
      </c>
      <c r="E4544">
        <f ca="1"/>
        <v>-0.79243837047877663</v>
      </c>
      <c r="G4544">
        <f ca="1"/>
        <v>4.2062008269716573</v>
      </c>
    </row>
    <row r="4545" spans="3:7">
      <c r="C4545">
        <f ca="1"/>
        <v>0.50881534275989826</v>
      </c>
      <c r="D4545">
        <f ca="1"/>
        <v>1.7962448337524037</v>
      </c>
      <c r="E4545">
        <f ca="1"/>
        <v>-5.682719322421436E-2</v>
      </c>
      <c r="G4545">
        <f ca="1"/>
        <v>3.4886178856998158</v>
      </c>
    </row>
    <row r="4546" spans="3:7">
      <c r="C4546">
        <f ca="1"/>
        <v>0.54105570499032074</v>
      </c>
      <c r="D4546">
        <f ca="1"/>
        <v>0.704839447018343</v>
      </c>
      <c r="E4546">
        <f ca="1"/>
        <v>0.37575043668294394</v>
      </c>
      <c r="G4546">
        <f ca="1"/>
        <v>0.93072831264311962</v>
      </c>
    </row>
    <row r="4547" spans="3:7">
      <c r="C4547">
        <f ca="1"/>
        <v>0.23236067819112655</v>
      </c>
      <c r="D4547">
        <f ca="1"/>
        <v>-0.82594331168696322</v>
      </c>
      <c r="E4547">
        <f ca="1"/>
        <v>-0.18822524804599414</v>
      </c>
      <c r="G4547">
        <f ca="1"/>
        <v>0.77160258289184436</v>
      </c>
    </row>
    <row r="4548" spans="3:7">
      <c r="C4548">
        <f ca="1"/>
        <v>-0.7394149088921862</v>
      </c>
      <c r="D4548">
        <f ca="1"/>
        <v>1.690002059547137</v>
      </c>
      <c r="E4548">
        <f ca="1"/>
        <v>-0.77315188170254245</v>
      </c>
      <c r="G4548">
        <f ca="1"/>
        <v>4.0006052009457873</v>
      </c>
    </row>
    <row r="4549" spans="3:7">
      <c r="C4549">
        <f ca="1"/>
        <v>1.1904550247632635</v>
      </c>
      <c r="D4549">
        <f ca="1"/>
        <v>-0.69176931677319786</v>
      </c>
      <c r="E4549">
        <f ca="1"/>
        <v>0.22950871990301008</v>
      </c>
      <c r="G4549">
        <f ca="1"/>
        <v>1.9484022061244775</v>
      </c>
    </row>
    <row r="4550" spans="3:7">
      <c r="C4550">
        <f ca="1"/>
        <v>-1.773084645741253</v>
      </c>
      <c r="D4550">
        <f ca="1"/>
        <v>0.42602379325139672</v>
      </c>
      <c r="E4550">
        <f ca="1"/>
        <v>2.1289312356019647</v>
      </c>
      <c r="G4550">
        <f ca="1"/>
        <v>7.8576736393014013</v>
      </c>
    </row>
    <row r="4551" spans="3:7">
      <c r="C4551">
        <f ca="1"/>
        <v>-0.71837646324229121</v>
      </c>
      <c r="D4551">
        <f ca="1"/>
        <v>0.21878873586757885</v>
      </c>
      <c r="E4551">
        <f ca="1"/>
        <v>-0.41070635572062336</v>
      </c>
      <c r="G4551">
        <f ca="1"/>
        <v>0.73261296451235136</v>
      </c>
    </row>
    <row r="4552" spans="3:7">
      <c r="C4552">
        <f ca="1"/>
        <v>-0.86813621976181987</v>
      </c>
      <c r="D4552">
        <f ca="1"/>
        <v>0.29439831277422857</v>
      </c>
      <c r="E4552">
        <f ca="1"/>
        <v>0.97808966596474511</v>
      </c>
      <c r="G4552">
        <f ca="1"/>
        <v>1.796990257293682</v>
      </c>
    </row>
    <row r="4553" spans="3:7">
      <c r="C4553">
        <f ca="1"/>
        <v>-1.5351256917631937</v>
      </c>
      <c r="D4553">
        <f ca="1"/>
        <v>0.29569932800805482</v>
      </c>
      <c r="E4553">
        <f ca="1"/>
        <v>0.87962519840131759</v>
      </c>
      <c r="G4553">
        <f ca="1"/>
        <v>3.2177894717583966</v>
      </c>
    </row>
    <row r="4554" spans="3:7">
      <c r="C4554">
        <f ca="1"/>
        <v>0.50870496742446369</v>
      </c>
      <c r="D4554">
        <f ca="1"/>
        <v>0.39098682594930217</v>
      </c>
      <c r="E4554">
        <f ca="1"/>
        <v>0.31377145544033225</v>
      </c>
      <c r="G4554">
        <f ca="1"/>
        <v>0.51010396819737902</v>
      </c>
    </row>
    <row r="4555" spans="3:7">
      <c r="C4555">
        <f ca="1"/>
        <v>-0.39378117441439847</v>
      </c>
      <c r="D4555">
        <f ca="1"/>
        <v>2.0261327285334376</v>
      </c>
      <c r="E4555">
        <f ca="1"/>
        <v>-0.33048952516080204</v>
      </c>
      <c r="G4555">
        <f ca="1"/>
        <v>4.3695007731985473</v>
      </c>
    </row>
    <row r="4556" spans="3:7">
      <c r="C4556">
        <f ca="1"/>
        <v>0.24808814463380835</v>
      </c>
      <c r="D4556">
        <f ca="1"/>
        <v>-1.4241276726178109</v>
      </c>
      <c r="E4556">
        <f ca="1"/>
        <v>1.0519407388730966</v>
      </c>
      <c r="G4556">
        <f ca="1"/>
        <v>3.1962666735245446</v>
      </c>
    </row>
    <row r="4557" spans="3:7">
      <c r="C4557">
        <f ca="1"/>
        <v>0.2822522659814139</v>
      </c>
      <c r="D4557">
        <f ca="1"/>
        <v>0.56047831812998627</v>
      </c>
      <c r="E4557">
        <f ca="1"/>
        <v>0.6497822158856984</v>
      </c>
      <c r="G4557">
        <f ca="1"/>
        <v>0.8160192148267893</v>
      </c>
    </row>
    <row r="4558" spans="3:7">
      <c r="C4558">
        <f ca="1"/>
        <v>0.97008255119110731</v>
      </c>
      <c r="D4558">
        <f ca="1"/>
        <v>-1.1426670945287065</v>
      </c>
      <c r="E4558">
        <f ca="1"/>
        <v>-1.2892929878262811</v>
      </c>
      <c r="G4558">
        <f ca="1"/>
        <v>3.9090246535021427</v>
      </c>
    </row>
    <row r="4559" spans="3:7">
      <c r="C4559">
        <f ca="1"/>
        <v>-1.7316981980621595</v>
      </c>
      <c r="D4559">
        <f ca="1"/>
        <v>0.55752688791889082</v>
      </c>
      <c r="E4559">
        <f ca="1"/>
        <v>1.2664875800633109</v>
      </c>
      <c r="G4559">
        <f ca="1"/>
        <v>4.9136056703788746</v>
      </c>
    </row>
    <row r="4560" spans="3:7">
      <c r="C4560">
        <f ca="1"/>
        <v>-0.17992780605881156</v>
      </c>
      <c r="D4560">
        <f ca="1"/>
        <v>-6.2862192463579089E-2</v>
      </c>
      <c r="E4560">
        <f ca="1"/>
        <v>1.2261786949213804</v>
      </c>
      <c r="G4560">
        <f ca="1"/>
        <v>1.5398398625135652</v>
      </c>
    </row>
    <row r="4561" spans="3:7">
      <c r="C4561">
        <f ca="1"/>
        <v>1.2512379363781643</v>
      </c>
      <c r="D4561">
        <f ca="1"/>
        <v>0.44086257243401838</v>
      </c>
      <c r="E4561">
        <f ca="1"/>
        <v>-0.39036323173060528</v>
      </c>
      <c r="G4561">
        <f ca="1"/>
        <v>1.9123396338921892</v>
      </c>
    </row>
    <row r="4562" spans="3:7">
      <c r="C4562">
        <f ca="1"/>
        <v>0.67907041551210368</v>
      </c>
      <c r="D4562">
        <f ca="1"/>
        <v>-0.24789614699334039</v>
      </c>
      <c r="E4562">
        <f ca="1"/>
        <v>-0.77776342894559947</v>
      </c>
      <c r="G4562">
        <f ca="1"/>
        <v>1.1275050803231417</v>
      </c>
    </row>
    <row r="4563" spans="3:7">
      <c r="C4563">
        <f ca="1"/>
        <v>1.2558808617126635E-3</v>
      </c>
      <c r="D4563">
        <f ca="1"/>
        <v>1.3450014726925539</v>
      </c>
      <c r="E4563">
        <f ca="1"/>
        <v>-0.41636912808221904</v>
      </c>
      <c r="G4563">
        <f ca="1"/>
        <v>1.9823937896018249</v>
      </c>
    </row>
    <row r="4564" spans="3:7">
      <c r="C4564">
        <f ca="1"/>
        <v>0.1582504176685702</v>
      </c>
      <c r="D4564">
        <f ca="1"/>
        <v>0.38451517936647994</v>
      </c>
      <c r="E4564">
        <f ca="1"/>
        <v>0.8284277366888344</v>
      </c>
      <c r="G4564">
        <f ca="1"/>
        <v>0.85918763277089794</v>
      </c>
    </row>
    <row r="4565" spans="3:7">
      <c r="C4565">
        <f ca="1"/>
        <v>0.19333144554725418</v>
      </c>
      <c r="D4565">
        <f ca="1"/>
        <v>1.4886627873569092</v>
      </c>
      <c r="E4565">
        <f ca="1"/>
        <v>0.76334386124693276</v>
      </c>
      <c r="G4565">
        <f ca="1"/>
        <v>2.8361877928020092</v>
      </c>
    </row>
    <row r="4566" spans="3:7">
      <c r="C4566">
        <f ca="1"/>
        <v>0.39680615002014824</v>
      </c>
      <c r="D4566">
        <f ca="1"/>
        <v>-1.6442091804828692E-2</v>
      </c>
      <c r="E4566">
        <f ca="1"/>
        <v>-0.72900122716228444</v>
      </c>
      <c r="G4566">
        <f ca="1"/>
        <v>0.68916825228084744</v>
      </c>
    </row>
    <row r="4567" spans="3:7">
      <c r="C4567">
        <f ca="1"/>
        <v>1.0006461943081182</v>
      </c>
      <c r="D4567">
        <f ca="1"/>
        <v>0.90168668733183488</v>
      </c>
      <c r="E4567">
        <f ca="1"/>
        <v>-1.3425298276959101</v>
      </c>
      <c r="G4567">
        <f ca="1"/>
        <v>3.6167180265479884</v>
      </c>
    </row>
    <row r="4568" spans="3:7">
      <c r="C4568">
        <f ca="1"/>
        <v>-0.70976091940225317</v>
      </c>
      <c r="D4568">
        <f ca="1"/>
        <v>0.8876399485052453</v>
      </c>
      <c r="E4568">
        <f ca="1"/>
        <v>-1.7056821767041574</v>
      </c>
      <c r="G4568">
        <f ca="1"/>
        <v>4.2010169288193584</v>
      </c>
    </row>
    <row r="4569" spans="3:7">
      <c r="C4569">
        <f ca="1"/>
        <v>0.31931425219949905</v>
      </c>
      <c r="D4569">
        <f ca="1"/>
        <v>0.60476080496850615</v>
      </c>
      <c r="E4569">
        <f ca="1"/>
        <v>-0.42329486092867175</v>
      </c>
      <c r="G4569">
        <f ca="1"/>
        <v>0.64687576217250442</v>
      </c>
    </row>
    <row r="4570" spans="3:7">
      <c r="C4570">
        <f ca="1"/>
        <v>2.0414079895520532</v>
      </c>
      <c r="D4570">
        <f ca="1"/>
        <v>0.21079671187673982</v>
      </c>
      <c r="E4570">
        <f ca="1"/>
        <v>0.37864212386841767</v>
      </c>
      <c r="G4570">
        <f ca="1"/>
        <v>4.355151691512587</v>
      </c>
    </row>
    <row r="4571" spans="3:7">
      <c r="C4571">
        <f ca="1"/>
        <v>-0.94106356593518969</v>
      </c>
      <c r="D4571">
        <f ca="1"/>
        <v>-1.0979225123355021</v>
      </c>
      <c r="E4571">
        <f ca="1"/>
        <v>0.7307781882215576</v>
      </c>
      <c r="G4571">
        <f ca="1"/>
        <v>2.6250712386041379</v>
      </c>
    </row>
    <row r="4572" spans="3:7">
      <c r="C4572">
        <f ca="1"/>
        <v>0.70707546720994863</v>
      </c>
      <c r="D4572">
        <f ca="1"/>
        <v>-1.5174670515123609</v>
      </c>
      <c r="E4572">
        <f ca="1"/>
        <v>1.3434873726331749</v>
      </c>
      <c r="G4572">
        <f ca="1"/>
        <v>4.6076202891805771</v>
      </c>
    </row>
    <row r="4573" spans="3:7">
      <c r="C4573">
        <f ca="1"/>
        <v>0.34506522891691516</v>
      </c>
      <c r="D4573">
        <f ca="1"/>
        <v>-1.3061625091429354</v>
      </c>
      <c r="E4573">
        <f ca="1"/>
        <v>0.3046217026021138</v>
      </c>
      <c r="G4573">
        <f ca="1"/>
        <v>1.9179248941942626</v>
      </c>
    </row>
    <row r="4574" spans="3:7">
      <c r="C4574">
        <f ca="1"/>
        <v>-8.7974007934705001E-2</v>
      </c>
      <c r="D4574">
        <f ca="1"/>
        <v>-9.4401161658457619E-2</v>
      </c>
      <c r="E4574">
        <f ca="1"/>
        <v>-0.15136646273974391</v>
      </c>
      <c r="G4574">
        <f ca="1"/>
        <v>3.9562811436904072E-2</v>
      </c>
    </row>
    <row r="4575" spans="3:7">
      <c r="C4575">
        <f ca="1"/>
        <v>1.111586410490067</v>
      </c>
      <c r="D4575">
        <f ca="1"/>
        <v>0.5318043528514812</v>
      </c>
      <c r="E4575">
        <f ca="1"/>
        <v>0.17796847510773361</v>
      </c>
      <c r="G4575">
        <f ca="1"/>
        <v>1.5501129958301463</v>
      </c>
    </row>
    <row r="4576" spans="3:7">
      <c r="C4576">
        <f ca="1"/>
        <v>0.29710113368821345</v>
      </c>
      <c r="D4576">
        <f ca="1"/>
        <v>-1.3239857359515272</v>
      </c>
      <c r="E4576">
        <f ca="1"/>
        <v>-0.80464846731053119</v>
      </c>
      <c r="G4576">
        <f ca="1"/>
        <v>2.488666468587116</v>
      </c>
    </row>
    <row r="4577" spans="3:7">
      <c r="C4577">
        <f ca="1"/>
        <v>-0.79806804677815602</v>
      </c>
      <c r="D4577">
        <f ca="1"/>
        <v>0.42283578134938216</v>
      </c>
      <c r="E4577">
        <f ca="1"/>
        <v>1.2179838475933193</v>
      </c>
      <c r="G4577">
        <f ca="1"/>
        <v>2.2991873582758697</v>
      </c>
    </row>
    <row r="4578" spans="3:7">
      <c r="C4578">
        <f ca="1"/>
        <v>-0.64927646036792708</v>
      </c>
      <c r="D4578">
        <f ca="1"/>
        <v>0.89438985938601678</v>
      </c>
      <c r="E4578">
        <f ca="1"/>
        <v>-2.0642479590837537</v>
      </c>
      <c r="G4578">
        <f ca="1"/>
        <v>5.4826127791418857</v>
      </c>
    </row>
    <row r="4579" spans="3:7">
      <c r="C4579">
        <f ca="1"/>
        <v>0.59582037764074824</v>
      </c>
      <c r="D4579">
        <f ca="1"/>
        <v>0.53443867533303691</v>
      </c>
      <c r="E4579">
        <f ca="1"/>
        <v>-0.94541442466085424</v>
      </c>
      <c r="G4579">
        <f ca="1"/>
        <v>1.5344350544605092</v>
      </c>
    </row>
    <row r="4580" spans="3:7">
      <c r="C4580">
        <f ca="1"/>
        <v>0.57933596085753558</v>
      </c>
      <c r="D4580">
        <f ca="1"/>
        <v>0.60810920585307082</v>
      </c>
      <c r="E4580">
        <f ca="1"/>
        <v>2.1528662004537731</v>
      </c>
      <c r="G4580">
        <f ca="1"/>
        <v>5.3402598388422415</v>
      </c>
    </row>
    <row r="4581" spans="3:7">
      <c r="C4581">
        <f ca="1"/>
        <v>-0.3424859457155876</v>
      </c>
      <c r="D4581">
        <f ca="1"/>
        <v>-1.0172728014598262</v>
      </c>
      <c r="E4581">
        <f ca="1"/>
        <v>-0.29746134122655199</v>
      </c>
      <c r="G4581">
        <f ca="1"/>
        <v>1.2406238251269226</v>
      </c>
    </row>
    <row r="4582" spans="3:7">
      <c r="C4582">
        <f ca="1"/>
        <v>-1.3566531085843871</v>
      </c>
      <c r="D4582">
        <f ca="1"/>
        <v>-2.1352202808489853</v>
      </c>
      <c r="E4582">
        <f ca="1"/>
        <v>0.75253502516600201</v>
      </c>
      <c r="G4582">
        <f ca="1"/>
        <v>6.9659822688820965</v>
      </c>
    </row>
    <row r="4583" spans="3:7">
      <c r="C4583">
        <f ca="1"/>
        <v>-1.263492419995232</v>
      </c>
      <c r="D4583">
        <f ca="1"/>
        <v>-1.1428650600905432</v>
      </c>
      <c r="E4583">
        <f ca="1"/>
        <v>-1.8437225354185796</v>
      </c>
      <c r="G4583">
        <f ca="1"/>
        <v>6.3018664285714845</v>
      </c>
    </row>
    <row r="4584" spans="3:7">
      <c r="C4584">
        <f ca="1"/>
        <v>-0.50300553984920959</v>
      </c>
      <c r="D4584">
        <f ca="1"/>
        <v>1.3684933524247629</v>
      </c>
      <c r="E4584">
        <f ca="1"/>
        <v>-1.8671466343756682</v>
      </c>
      <c r="G4584">
        <f ca="1"/>
        <v>5.6120251830101466</v>
      </c>
    </row>
    <row r="4585" spans="3:7">
      <c r="C4585">
        <f ca="1"/>
        <v>0.56325595377665283</v>
      </c>
      <c r="D4585">
        <f ca="1"/>
        <v>-0.40064632509720521</v>
      </c>
      <c r="E4585">
        <f ca="1"/>
        <v>-0.12520676019271348</v>
      </c>
      <c r="G4585">
        <f ca="1"/>
        <v>0.49345148007669803</v>
      </c>
    </row>
    <row r="4586" spans="3:7">
      <c r="C4586">
        <f ca="1"/>
        <v>1.674343810279459</v>
      </c>
      <c r="D4586">
        <f ca="1"/>
        <v>-8.6609108084964113E-3</v>
      </c>
      <c r="E4586">
        <f ca="1"/>
        <v>0.25756689176169284</v>
      </c>
      <c r="G4586">
        <f ca="1"/>
        <v>2.8698429101289498</v>
      </c>
    </row>
    <row r="4587" spans="3:7">
      <c r="C4587">
        <f ca="1"/>
        <v>-0.85641785223007505</v>
      </c>
      <c r="D4587">
        <f ca="1"/>
        <v>1.6678946720398216</v>
      </c>
      <c r="E4587">
        <f ca="1"/>
        <v>-1.2023402624442499</v>
      </c>
      <c r="G4587">
        <f ca="1"/>
        <v>4.9609462813317062</v>
      </c>
    </row>
    <row r="4588" spans="3:7">
      <c r="C4588">
        <f ca="1"/>
        <v>1.6175771171930295</v>
      </c>
      <c r="D4588">
        <f ca="1"/>
        <v>0.15964209332055676</v>
      </c>
      <c r="E4588">
        <f ca="1"/>
        <v>-0.21585241346106307</v>
      </c>
      <c r="G4588">
        <f ca="1"/>
        <v>2.6886335924232472</v>
      </c>
    </row>
    <row r="4589" spans="3:7">
      <c r="C4589">
        <f ca="1"/>
        <v>0.86621294858624964</v>
      </c>
      <c r="D4589">
        <f ca="1"/>
        <v>-0.40634338976257162</v>
      </c>
      <c r="E4589">
        <f ca="1"/>
        <v>-1.2551882542936352</v>
      </c>
      <c r="G4589">
        <f ca="1"/>
        <v>2.4909373764189255</v>
      </c>
    </row>
    <row r="4590" spans="3:7">
      <c r="C4590">
        <f ca="1"/>
        <v>0.14708679072902212</v>
      </c>
      <c r="D4590">
        <f ca="1"/>
        <v>1.0816653318071709</v>
      </c>
      <c r="E4590">
        <f ca="1"/>
        <v>1.193756622134017</v>
      </c>
      <c r="G4590">
        <f ca="1"/>
        <v>2.6166892869292981</v>
      </c>
    </row>
    <row r="4591" spans="3:7">
      <c r="C4591">
        <f ca="1"/>
        <v>0.76531095880909128</v>
      </c>
      <c r="D4591">
        <f ca="1"/>
        <v>1.0423189540921531E-2</v>
      </c>
      <c r="E4591">
        <f ca="1"/>
        <v>-1.1433174027752224</v>
      </c>
      <c r="G4591">
        <f ca="1"/>
        <v>1.8929841900421769</v>
      </c>
    </row>
    <row r="4592" spans="3:7">
      <c r="C4592">
        <f ca="1"/>
        <v>0.45559977962490988</v>
      </c>
      <c r="D4592">
        <f ca="1"/>
        <v>0.49724218752532839</v>
      </c>
      <c r="E4592">
        <f ca="1"/>
        <v>3.0983064052570159</v>
      </c>
      <c r="G4592">
        <f ca="1"/>
        <v>10.054323533105894</v>
      </c>
    </row>
    <row r="4593" spans="3:7">
      <c r="C4593">
        <f ca="1"/>
        <v>-1.6557779321467896</v>
      </c>
      <c r="D4593">
        <f ca="1"/>
        <v>-0.5166804654182191</v>
      </c>
      <c r="E4593">
        <f ca="1"/>
        <v>-1.203913745876515</v>
      </c>
      <c r="G4593">
        <f ca="1"/>
        <v>4.4579675714395082</v>
      </c>
    </row>
    <row r="4594" spans="3:7">
      <c r="C4594">
        <f ca="1"/>
        <v>-4.7406864770419964E-2</v>
      </c>
      <c r="D4594">
        <f ca="1"/>
        <v>-0.19342147234935875</v>
      </c>
      <c r="E4594">
        <f ca="1"/>
        <v>-0.46779703945021417</v>
      </c>
      <c r="G4594">
        <f ca="1"/>
        <v>0.25849334691153986</v>
      </c>
    </row>
    <row r="4595" spans="3:7">
      <c r="C4595">
        <f ca="1"/>
        <v>-0.86641913930409187</v>
      </c>
      <c r="D4595">
        <f ca="1"/>
        <v>-0.41126249424250094</v>
      </c>
      <c r="E4595">
        <f ca="1"/>
        <v>0.83890082520546427</v>
      </c>
      <c r="G4595">
        <f ca="1"/>
        <v>1.6235735586534155</v>
      </c>
    </row>
    <row r="4596" spans="3:7">
      <c r="C4596">
        <f ca="1"/>
        <v>0.79857917731993289</v>
      </c>
      <c r="D4596">
        <f ca="1"/>
        <v>-1.2036428787841404</v>
      </c>
      <c r="E4596">
        <f ca="1"/>
        <v>-1.180265459170855</v>
      </c>
      <c r="G4596">
        <f ca="1"/>
        <v>3.4795114362085431</v>
      </c>
    </row>
    <row r="4597" spans="3:7">
      <c r="C4597">
        <f ca="1"/>
        <v>0.40541120471140935</v>
      </c>
      <c r="D4597">
        <f ca="1"/>
        <v>0.62748778985748455</v>
      </c>
      <c r="E4597">
        <f ca="1"/>
        <v>-0.49228645004245264</v>
      </c>
      <c r="G4597">
        <f ca="1"/>
        <v>0.80044512022118708</v>
      </c>
    </row>
    <row r="4598" spans="3:7">
      <c r="C4598">
        <f ca="1"/>
        <v>0.27894664353605353</v>
      </c>
      <c r="D4598">
        <f ca="1"/>
        <v>0.49358217908640784</v>
      </c>
      <c r="E4598">
        <f ca="1"/>
        <v>0.55539981030318464</v>
      </c>
      <c r="G4598">
        <f ca="1"/>
        <v>0.62990354673653037</v>
      </c>
    </row>
    <row r="4599" spans="3:7">
      <c r="C4599">
        <f ca="1"/>
        <v>-2.4075883183697844</v>
      </c>
      <c r="D4599">
        <f ca="1"/>
        <v>-0.14595435810798507</v>
      </c>
      <c r="E4599">
        <f ca="1"/>
        <v>-1.411239295962416</v>
      </c>
      <c r="G4599">
        <f ca="1"/>
        <v>7.809380535869856</v>
      </c>
    </row>
    <row r="4600" spans="3:7">
      <c r="C4600">
        <f ca="1"/>
        <v>0.34764963790801245</v>
      </c>
      <c r="D4600">
        <f ca="1"/>
        <v>-2.0995219937504728</v>
      </c>
      <c r="E4600">
        <f ca="1"/>
        <v>0.26928358961549059</v>
      </c>
      <c r="G4600">
        <f ca="1"/>
        <v>4.6013665246157371</v>
      </c>
    </row>
    <row r="4601" spans="3:7">
      <c r="C4601">
        <f ca="1"/>
        <v>1.4668951113070847</v>
      </c>
      <c r="D4601">
        <f ca="1"/>
        <v>-1.1410692113562804</v>
      </c>
      <c r="E4601">
        <f ca="1"/>
        <v>2.3124045121987482</v>
      </c>
      <c r="G4601">
        <f ca="1"/>
        <v>8.801034840718998</v>
      </c>
    </row>
    <row r="4602" spans="3:7">
      <c r="C4602">
        <f ca="1"/>
        <v>0.34114246324273645</v>
      </c>
      <c r="D4602">
        <f ca="1"/>
        <v>0.22925568309394634</v>
      </c>
      <c r="E4602">
        <f ca="1"/>
        <v>-0.63220567083423007</v>
      </c>
      <c r="G4602">
        <f ca="1"/>
        <v>0.56862035869315264</v>
      </c>
    </row>
    <row r="4603" spans="3:7">
      <c r="C4603">
        <f ca="1"/>
        <v>-0.68478212290861362</v>
      </c>
      <c r="D4603">
        <f ca="1"/>
        <v>0.30777109188246099</v>
      </c>
      <c r="E4603">
        <f ca="1"/>
        <v>0.43014535403591309</v>
      </c>
      <c r="G4603">
        <f ca="1"/>
        <v>0.74867462645243088</v>
      </c>
    </row>
    <row r="4604" spans="3:7">
      <c r="C4604">
        <f ca="1"/>
        <v>-0.65348614505409752</v>
      </c>
      <c r="D4604">
        <f ca="1"/>
        <v>0.17715786395038932</v>
      </c>
      <c r="E4604">
        <f ca="1"/>
        <v>-0.87812103866161328</v>
      </c>
      <c r="G4604">
        <f ca="1"/>
        <v>1.2295256090772801</v>
      </c>
    </row>
    <row r="4605" spans="3:7">
      <c r="C4605">
        <f ca="1"/>
        <v>1.7317016687532896</v>
      </c>
      <c r="D4605">
        <f ca="1"/>
        <v>0.40171631943707409</v>
      </c>
      <c r="E4605">
        <f ca="1"/>
        <v>-0.52666678523902533</v>
      </c>
      <c r="G4605">
        <f ca="1"/>
        <v>3.4375445735390069</v>
      </c>
    </row>
    <row r="4606" spans="3:7">
      <c r="C4606">
        <f ca="1"/>
        <v>-0.89566299425664064</v>
      </c>
      <c r="D4606">
        <f ca="1"/>
        <v>0.14060983863656829</v>
      </c>
      <c r="E4606">
        <f ca="1"/>
        <v>-2.8439039708021316</v>
      </c>
      <c r="G4606">
        <f ca="1"/>
        <v>8.9097731211463032</v>
      </c>
    </row>
    <row r="4607" spans="3:7">
      <c r="C4607">
        <f ca="1"/>
        <v>0.50264420731135473</v>
      </c>
      <c r="D4607">
        <f ca="1"/>
        <v>-0.77038782620950486</v>
      </c>
      <c r="E4607">
        <f ca="1"/>
        <v>0.60675327610175755</v>
      </c>
      <c r="G4607">
        <f ca="1"/>
        <v>1.214298139975682</v>
      </c>
    </row>
    <row r="4608" spans="3:7">
      <c r="C4608">
        <f ca="1"/>
        <v>0.20829883271530616</v>
      </c>
      <c r="D4608">
        <f ca="1"/>
        <v>0.4502640897157878</v>
      </c>
      <c r="E4608">
        <f ca="1"/>
        <v>-0.25304088977330386</v>
      </c>
      <c r="G4608">
        <f ca="1"/>
        <v>0.31015584609541141</v>
      </c>
    </row>
    <row r="4609" spans="3:7">
      <c r="C4609">
        <f ca="1"/>
        <v>0.17217820184647487</v>
      </c>
      <c r="D4609">
        <f ca="1"/>
        <v>0.90136736572335585</v>
      </c>
      <c r="E4609">
        <f ca="1"/>
        <v>2.2831121063326836</v>
      </c>
      <c r="G4609">
        <f ca="1"/>
        <v>6.0547093512650099</v>
      </c>
    </row>
    <row r="4610" spans="3:7">
      <c r="C4610">
        <f ca="1"/>
        <v>-0.42947569715507783</v>
      </c>
      <c r="D4610">
        <f ca="1"/>
        <v>0.67843652764795104</v>
      </c>
      <c r="E4610">
        <f ca="1"/>
        <v>-1.2927667099940907</v>
      </c>
      <c r="G4610">
        <f ca="1"/>
        <v>2.3159712629627949</v>
      </c>
    </row>
    <row r="4611" spans="3:7">
      <c r="C4611">
        <f ca="1"/>
        <v>-0.90405904821627159</v>
      </c>
      <c r="D4611">
        <f ca="1"/>
        <v>-0.63799508689244855</v>
      </c>
      <c r="E4611">
        <f ca="1"/>
        <v>-0.25141136567429312</v>
      </c>
      <c r="G4611">
        <f ca="1"/>
        <v>1.2875681683508269</v>
      </c>
    </row>
    <row r="4612" spans="3:7">
      <c r="C4612">
        <f ca="1"/>
        <v>-0.59115553180354274</v>
      </c>
      <c r="D4612">
        <f ca="1"/>
        <v>-0.12441107873700116</v>
      </c>
      <c r="E4612">
        <f ca="1"/>
        <v>-0.63087309065888764</v>
      </c>
      <c r="G4612">
        <f ca="1"/>
        <v>0.76294383581193082</v>
      </c>
    </row>
    <row r="4613" spans="3:7">
      <c r="C4613">
        <f ca="1"/>
        <v>-0.25903246798155433</v>
      </c>
      <c r="D4613">
        <f ca="1"/>
        <v>0.58910494854833639</v>
      </c>
      <c r="E4613">
        <f ca="1"/>
        <v>1.4489710099639168</v>
      </c>
      <c r="G4613">
        <f ca="1"/>
        <v>2.5136594475886063</v>
      </c>
    </row>
    <row r="4614" spans="3:7">
      <c r="C4614">
        <f ca="1"/>
        <v>0.86393589851203778</v>
      </c>
      <c r="D4614">
        <f ca="1"/>
        <v>0.34313794153047361</v>
      </c>
      <c r="E4614">
        <f ca="1"/>
        <v>0.22704158144894837</v>
      </c>
      <c r="G4614">
        <f ca="1"/>
        <v>0.91567676336241222</v>
      </c>
    </row>
    <row r="4615" spans="3:7">
      <c r="C4615">
        <f ca="1"/>
        <v>-0.99838810011334722</v>
      </c>
      <c r="D4615">
        <f ca="1"/>
        <v>1.9051130283350288</v>
      </c>
      <c r="E4615">
        <f ca="1"/>
        <v>2.9007134204326105E-2</v>
      </c>
      <c r="G4615">
        <f ca="1"/>
        <v>4.6270758630145519</v>
      </c>
    </row>
    <row r="4616" spans="3:7">
      <c r="C4616">
        <f ca="1"/>
        <v>0.74240464873615841</v>
      </c>
      <c r="D4616">
        <f ca="1"/>
        <v>-0.54521868966047848</v>
      </c>
      <c r="E4616">
        <f ca="1"/>
        <v>-1.202363367257548</v>
      </c>
      <c r="G4616">
        <f ca="1"/>
        <v>2.294105748943057</v>
      </c>
    </row>
    <row r="4617" spans="3:7">
      <c r="C4617">
        <f ca="1"/>
        <v>-0.81226090536671514</v>
      </c>
      <c r="D4617">
        <f ca="1"/>
        <v>-1.4123166313620705</v>
      </c>
      <c r="E4617">
        <f ca="1"/>
        <v>0.52844021215590564</v>
      </c>
      <c r="G4617">
        <f ca="1"/>
        <v>2.9336551034324407</v>
      </c>
    </row>
    <row r="4618" spans="3:7">
      <c r="C4618">
        <f ca="1"/>
        <v>0.25639725524286355</v>
      </c>
      <c r="D4618">
        <f ca="1"/>
        <v>-0.68096168473574648</v>
      </c>
      <c r="E4618">
        <f ca="1"/>
        <v>-1.3298289791736131</v>
      </c>
      <c r="G4618">
        <f ca="1"/>
        <v>2.2978934824241541</v>
      </c>
    </row>
    <row r="4619" spans="3:7">
      <c r="C4619">
        <f ca="1"/>
        <v>0.89403281010674485</v>
      </c>
      <c r="D4619">
        <f ca="1"/>
        <v>-1.732549245133973</v>
      </c>
      <c r="E4619">
        <f ca="1"/>
        <v>-3.5172359789635281E-2</v>
      </c>
      <c r="G4619">
        <f ca="1"/>
        <v>3.8022586472548343</v>
      </c>
    </row>
    <row r="4620" spans="3:7">
      <c r="C4620">
        <f ca="1"/>
        <v>-2.1173577354240143</v>
      </c>
      <c r="D4620">
        <f ca="1"/>
        <v>-0.9874912013866608</v>
      </c>
      <c r="E4620">
        <f ca="1"/>
        <v>0.58259216590520524</v>
      </c>
      <c r="G4620">
        <f ca="1"/>
        <v>5.7977562843500987</v>
      </c>
    </row>
    <row r="4621" spans="3:7">
      <c r="C4621">
        <f ca="1"/>
        <v>-2.3224380383199859</v>
      </c>
      <c r="D4621">
        <f ca="1"/>
        <v>-0.60079320622869636</v>
      </c>
      <c r="E4621">
        <f ca="1"/>
        <v>0.93098132697372749</v>
      </c>
      <c r="G4621">
        <f ca="1"/>
        <v>6.6213971496599031</v>
      </c>
    </row>
    <row r="4622" spans="3:7">
      <c r="C4622">
        <f ca="1"/>
        <v>-1.0534953777492915</v>
      </c>
      <c r="D4622">
        <f ca="1"/>
        <v>0.49712377825107479</v>
      </c>
      <c r="E4622">
        <f ca="1"/>
        <v>-0.62411116671202138</v>
      </c>
      <c r="G4622">
        <f ca="1"/>
        <v>1.7464993102563868</v>
      </c>
    </row>
    <row r="4623" spans="3:7">
      <c r="C4623">
        <f ca="1"/>
        <v>-0.17225339369757109</v>
      </c>
      <c r="D4623">
        <f ca="1"/>
        <v>6.8352423900176927E-3</v>
      </c>
      <c r="E4623">
        <f ca="1"/>
        <v>0.86562548466645617</v>
      </c>
      <c r="G4623">
        <f ca="1"/>
        <v>0.77902543188289786</v>
      </c>
    </row>
    <row r="4624" spans="3:7">
      <c r="C4624">
        <f ca="1"/>
        <v>-0.11318088749328065</v>
      </c>
      <c r="D4624">
        <f ca="1"/>
        <v>0.28294375019996154</v>
      </c>
      <c r="E4624">
        <f ca="1"/>
        <v>-2.6493522811600671E-2</v>
      </c>
      <c r="G4624">
        <f ca="1"/>
        <v>9.3568985821953693E-2</v>
      </c>
    </row>
    <row r="4625" spans="3:7">
      <c r="C4625">
        <f ca="1"/>
        <v>2.4854615723793629</v>
      </c>
      <c r="D4625">
        <f ca="1"/>
        <v>1.648451689558575</v>
      </c>
      <c r="E4625">
        <f ca="1"/>
        <v>-0.30397743880602757</v>
      </c>
      <c r="G4625">
        <f ca="1"/>
        <v>8.9873144838860881</v>
      </c>
    </row>
    <row r="4626" spans="3:7">
      <c r="C4626">
        <f ca="1"/>
        <v>0.92162558879930212</v>
      </c>
      <c r="D4626">
        <f ca="1"/>
        <v>-9.8739578458700378E-2</v>
      </c>
      <c r="E4626">
        <f ca="1"/>
        <v>-1.0554046126189007</v>
      </c>
      <c r="G4626">
        <f ca="1"/>
        <v>1.9730221266211141</v>
      </c>
    </row>
    <row r="4627" spans="3:7">
      <c r="C4627">
        <f ca="1"/>
        <v>-0.57490996909383396</v>
      </c>
      <c r="D4627">
        <f ca="1"/>
        <v>-0.60745518172987734</v>
      </c>
      <c r="E4627">
        <f ca="1"/>
        <v>-0.94125705221224487</v>
      </c>
      <c r="G4627">
        <f ca="1"/>
        <v>1.585488108713236</v>
      </c>
    </row>
    <row r="4628" spans="3:7">
      <c r="C4628">
        <f ca="1"/>
        <v>-0.51757698636830407</v>
      </c>
      <c r="D4628">
        <f ca="1"/>
        <v>-0.60986513252982488</v>
      </c>
      <c r="E4628">
        <f ca="1"/>
        <v>1.3599373764482054</v>
      </c>
      <c r="G4628">
        <f ca="1"/>
        <v>2.4892510845545446</v>
      </c>
    </row>
    <row r="4629" spans="3:7">
      <c r="C4629">
        <f ca="1"/>
        <v>0.43993171830282479</v>
      </c>
      <c r="D4629">
        <f ca="1"/>
        <v>-0.61888169727212061</v>
      </c>
      <c r="E4629">
        <f ca="1"/>
        <v>-0.43165709079580245</v>
      </c>
      <c r="G4629">
        <f ca="1"/>
        <v>0.76288231602159251</v>
      </c>
    </row>
    <row r="4630" spans="3:7">
      <c r="C4630">
        <f ca="1"/>
        <v>0.76308894166006935</v>
      </c>
      <c r="D4630">
        <f ca="1"/>
        <v>-0.96432371076676771</v>
      </c>
      <c r="E4630">
        <f ca="1"/>
        <v>-2.378677009301567E-2</v>
      </c>
      <c r="G4630">
        <f ca="1"/>
        <v>1.5127907624623316</v>
      </c>
    </row>
    <row r="4631" spans="3:7">
      <c r="C4631">
        <f ca="1"/>
        <v>-0.35098138440293214</v>
      </c>
      <c r="D4631">
        <f ca="1"/>
        <v>1.230300092794832</v>
      </c>
      <c r="E4631">
        <f ca="1"/>
        <v>-0.87907744629197504</v>
      </c>
      <c r="G4631">
        <f ca="1"/>
        <v>2.4096034071075914</v>
      </c>
    </row>
    <row r="4632" spans="3:7">
      <c r="C4632">
        <f ca="1"/>
        <v>-0.22684621236031013</v>
      </c>
      <c r="D4632">
        <f ca="1"/>
        <v>-0.97964810637829181</v>
      </c>
      <c r="E4632">
        <f ca="1"/>
        <v>0.45743962100052638</v>
      </c>
      <c r="G4632">
        <f ca="1"/>
        <v>1.2204206232538972</v>
      </c>
    </row>
    <row r="4633" spans="3:7">
      <c r="C4633">
        <f ca="1"/>
        <v>-6.9579955490237108E-3</v>
      </c>
      <c r="D4633">
        <f ca="1"/>
        <v>-0.51207784111257537</v>
      </c>
      <c r="E4633">
        <f ca="1"/>
        <v>0.67548527124435487</v>
      </c>
      <c r="G4633">
        <f ca="1"/>
        <v>0.71855248072863587</v>
      </c>
    </row>
    <row r="4634" spans="3:7">
      <c r="C4634">
        <f ca="1"/>
        <v>-1.4800731517525461</v>
      </c>
      <c r="D4634">
        <f ca="1"/>
        <v>0.67820021217092363</v>
      </c>
      <c r="E4634">
        <f ca="1"/>
        <v>1.1315387777492631</v>
      </c>
      <c r="G4634">
        <f ca="1"/>
        <v>3.9309520678776977</v>
      </c>
    </row>
    <row r="4635" spans="3:7">
      <c r="C4635">
        <f ca="1"/>
        <v>-0.29120740973263698</v>
      </c>
      <c r="D4635">
        <f ca="1"/>
        <v>-0.38653629424855129</v>
      </c>
      <c r="E4635">
        <f ca="1"/>
        <v>0.88915562966832828</v>
      </c>
      <c r="G4635">
        <f ca="1"/>
        <v>1.0248097960254758</v>
      </c>
    </row>
    <row r="4636" spans="3:7">
      <c r="C4636">
        <f ca="1"/>
        <v>0.22995400383910905</v>
      </c>
      <c r="D4636">
        <f ca="1"/>
        <v>0.34373249317939747</v>
      </c>
      <c r="E4636">
        <f ca="1"/>
        <v>-0.32607605173729692</v>
      </c>
      <c r="G4636">
        <f ca="1"/>
        <v>0.27735646226554583</v>
      </c>
    </row>
    <row r="4637" spans="3:7">
      <c r="C4637">
        <f ca="1"/>
        <v>-0.72824997684676696</v>
      </c>
      <c r="D4637">
        <f ca="1"/>
        <v>0.68414681161527391</v>
      </c>
      <c r="E4637">
        <f ca="1"/>
        <v>2.1623046454980468</v>
      </c>
      <c r="G4637">
        <f ca="1"/>
        <v>5.6739662685630954</v>
      </c>
    </row>
    <row r="4638" spans="3:7">
      <c r="C4638">
        <f ca="1"/>
        <v>0.48679310216397093</v>
      </c>
      <c r="D4638">
        <f ca="1"/>
        <v>-5.0464783960492039E-2</v>
      </c>
      <c r="E4638">
        <f ca="1"/>
        <v>1.5406097628352204</v>
      </c>
      <c r="G4638">
        <f ca="1"/>
        <v>2.6129926600777953</v>
      </c>
    </row>
    <row r="4639" spans="3:7">
      <c r="C4639">
        <f ca="1"/>
        <v>-9.420221159136577E-2</v>
      </c>
      <c r="D4639">
        <f ca="1"/>
        <v>-1.4782611860844785</v>
      </c>
      <c r="E4639">
        <f ca="1"/>
        <v>-1.6324338780383205</v>
      </c>
      <c r="G4639">
        <f ca="1"/>
        <v>4.8589705571198234</v>
      </c>
    </row>
    <row r="4640" spans="3:7">
      <c r="C4640">
        <f ca="1"/>
        <v>6.7923481478661854E-2</v>
      </c>
      <c r="D4640">
        <f ca="1"/>
        <v>0.25578729140073025</v>
      </c>
      <c r="E4640">
        <f ca="1"/>
        <v>-0.78938569100466338</v>
      </c>
      <c r="G4640">
        <f ca="1"/>
        <v>0.69317050694121407</v>
      </c>
    </row>
    <row r="4641" spans="3:7">
      <c r="C4641">
        <f ca="1"/>
        <v>2.4158486950121939E-2</v>
      </c>
      <c r="D4641">
        <f ca="1"/>
        <v>-0.38775640943170331</v>
      </c>
      <c r="E4641">
        <f ca="1"/>
        <v>-0.17542259779118682</v>
      </c>
      <c r="G4641">
        <f ca="1"/>
        <v>0.18171175336289447</v>
      </c>
    </row>
    <row r="4642" spans="3:7">
      <c r="C4642">
        <f ca="1"/>
        <v>-0.51931336774514203</v>
      </c>
      <c r="D4642">
        <f ca="1"/>
        <v>-0.44234956957134347</v>
      </c>
      <c r="E4642">
        <f ca="1"/>
        <v>-0.69820236575592354</v>
      </c>
      <c r="G4642">
        <f ca="1"/>
        <v>0.95284605916592247</v>
      </c>
    </row>
    <row r="4643" spans="3:7">
      <c r="C4643">
        <f ca="1"/>
        <v>-1.4358157634089161</v>
      </c>
      <c r="D4643">
        <f ca="1"/>
        <v>0.187281401858687</v>
      </c>
      <c r="E4643">
        <f ca="1"/>
        <v>-1.4263112844271879</v>
      </c>
      <c r="G4643">
        <f ca="1"/>
        <v>4.131005110020018</v>
      </c>
    </row>
    <row r="4644" spans="3:7">
      <c r="C4644">
        <f ca="1"/>
        <v>1.2328068729856632</v>
      </c>
      <c r="D4644">
        <f ca="1"/>
        <v>-0.33717943470692513</v>
      </c>
      <c r="E4644">
        <f ca="1"/>
        <v>-2.1502229975366567</v>
      </c>
      <c r="G4644">
        <f ca="1"/>
        <v>6.2569616964054955</v>
      </c>
    </row>
    <row r="4645" spans="3:7">
      <c r="C4645">
        <f ca="1"/>
        <v>-0.89265671222519249</v>
      </c>
      <c r="D4645">
        <f ca="1"/>
        <v>9.05725235041724E-2</v>
      </c>
      <c r="E4645">
        <f ca="1"/>
        <v>-0.4192905810989922</v>
      </c>
      <c r="G4645">
        <f ca="1"/>
        <v>0.98084397929293465</v>
      </c>
    </row>
    <row r="4646" spans="3:7">
      <c r="C4646">
        <f ca="1"/>
        <v>-1.0682830094921523</v>
      </c>
      <c r="D4646">
        <f ca="1"/>
        <v>-0.10634641030135308</v>
      </c>
      <c r="E4646">
        <f ca="1"/>
        <v>-0.47696877341620314</v>
      </c>
      <c r="G4646">
        <f ca="1"/>
        <v>1.380037358167751</v>
      </c>
    </row>
    <row r="4647" spans="3:7">
      <c r="C4647">
        <f ca="1"/>
        <v>-1.020055635008146</v>
      </c>
      <c r="D4647">
        <f ca="1"/>
        <v>0.73346597186420848</v>
      </c>
      <c r="E4647">
        <f ca="1"/>
        <v>0.19870143686829234</v>
      </c>
      <c r="G4647">
        <f ca="1"/>
        <v>1.6179680914081038</v>
      </c>
    </row>
    <row r="4648" spans="3:7">
      <c r="C4648">
        <f ca="1"/>
        <v>0.49232504846443415</v>
      </c>
      <c r="D4648">
        <f ca="1"/>
        <v>-1.4720196635652358</v>
      </c>
      <c r="E4648">
        <f ca="1"/>
        <v>-2.5614461901762427E-2</v>
      </c>
      <c r="G4648">
        <f ca="1"/>
        <v>2.409881943926734</v>
      </c>
    </row>
    <row r="4649" spans="3:7">
      <c r="C4649">
        <f ca="1"/>
        <v>2.3148939502545853</v>
      </c>
      <c r="D4649">
        <f ca="1"/>
        <v>-0.69677770022579377</v>
      </c>
      <c r="E4649">
        <f ca="1"/>
        <v>1.7602417073965699</v>
      </c>
      <c r="G4649">
        <f ca="1"/>
        <v>8.9426840329156168</v>
      </c>
    </row>
    <row r="4650" spans="3:7">
      <c r="C4650">
        <f ca="1"/>
        <v>1.3011041273621156</v>
      </c>
      <c r="D4650">
        <f ca="1"/>
        <v>0.15534255072223421</v>
      </c>
      <c r="E4650">
        <f ca="1"/>
        <v>-1.4457467206276666</v>
      </c>
      <c r="G4650">
        <f ca="1"/>
        <v>3.8071868385092746</v>
      </c>
    </row>
    <row r="4651" spans="3:7">
      <c r="C4651">
        <f ca="1"/>
        <v>-1.1199239420974221</v>
      </c>
      <c r="D4651">
        <f ca="1"/>
        <v>0.19648454271718779</v>
      </c>
      <c r="E4651">
        <f ca="1"/>
        <v>0.21703535098776314</v>
      </c>
      <c r="G4651">
        <f ca="1"/>
        <v>1.339940155188194</v>
      </c>
    </row>
    <row r="4652" spans="3:7">
      <c r="C4652">
        <f ca="1"/>
        <v>-1.6934603164024546</v>
      </c>
      <c r="D4652">
        <f ca="1"/>
        <v>7.4538349290283926E-2</v>
      </c>
      <c r="E4652">
        <f ca="1"/>
        <v>0.2445108551909263</v>
      </c>
      <c r="G4652">
        <f ca="1"/>
        <v>2.93314936705102</v>
      </c>
    </row>
    <row r="4653" spans="3:7">
      <c r="C4653">
        <f ca="1"/>
        <v>0.11486865659546017</v>
      </c>
      <c r="D4653">
        <f ca="1"/>
        <v>1.8927731460294954</v>
      </c>
      <c r="E4653">
        <f ca="1"/>
        <v>1.2615583699850481</v>
      </c>
      <c r="G4653">
        <f ca="1"/>
        <v>5.187314511477771</v>
      </c>
    </row>
    <row r="4654" spans="3:7">
      <c r="C4654">
        <f ca="1"/>
        <v>1.5107062409994516</v>
      </c>
      <c r="D4654">
        <f ca="1"/>
        <v>-1.3629035758837564</v>
      </c>
      <c r="E4654">
        <f ca="1"/>
        <v>-1.8790260445497327</v>
      </c>
      <c r="G4654">
        <f ca="1"/>
        <v>7.670478379847637</v>
      </c>
    </row>
    <row r="4655" spans="3:7">
      <c r="C4655">
        <f ca="1"/>
        <v>-0.10854634383388419</v>
      </c>
      <c r="D4655">
        <f ca="1"/>
        <v>1.0105294962936195</v>
      </c>
      <c r="E4655">
        <f ca="1"/>
        <v>-0.29888732077229102</v>
      </c>
      <c r="G4655">
        <f ca="1"/>
        <v>1.1222858021575786</v>
      </c>
    </row>
    <row r="4656" spans="3:7">
      <c r="C4656">
        <f ca="1"/>
        <v>2.282561163759242</v>
      </c>
      <c r="D4656">
        <f ca="1"/>
        <v>0.5498419191768672</v>
      </c>
      <c r="E4656">
        <f ca="1"/>
        <v>0.25046508325556588</v>
      </c>
      <c r="G4656">
        <f ca="1"/>
        <v>5.5751443603162629</v>
      </c>
    </row>
    <row r="4657" spans="3:7">
      <c r="C4657">
        <f ca="1"/>
        <v>0.21087028333692648</v>
      </c>
      <c r="D4657">
        <f ca="1"/>
        <v>0.36005532431182197</v>
      </c>
      <c r="E4657">
        <f ca="1"/>
        <v>-2.5498569456285245</v>
      </c>
      <c r="G4657">
        <f ca="1"/>
        <v>6.6758765561299152</v>
      </c>
    </row>
    <row r="4658" spans="3:7">
      <c r="C4658">
        <f ca="1"/>
        <v>0.69546104404635134</v>
      </c>
      <c r="D4658">
        <f ca="1"/>
        <v>-0.61526099345548968</v>
      </c>
      <c r="E4658">
        <f ca="1"/>
        <v>-0.71028599437603313</v>
      </c>
      <c r="G4658">
        <f ca="1"/>
        <v>1.3667183476606275</v>
      </c>
    </row>
    <row r="4659" spans="3:7">
      <c r="C4659">
        <f ca="1"/>
        <v>-0.19450152329238996</v>
      </c>
      <c r="D4659">
        <f ca="1"/>
        <v>-0.64465004237487189</v>
      </c>
      <c r="E4659">
        <f ca="1"/>
        <v>-2.1927739586097643</v>
      </c>
      <c r="G4659">
        <f ca="1"/>
        <v>5.2616621532541208</v>
      </c>
    </row>
    <row r="4660" spans="3:7">
      <c r="C4660">
        <f ca="1"/>
        <v>-0.4943363682151774</v>
      </c>
      <c r="D4660">
        <f ca="1"/>
        <v>1.2039142704629926</v>
      </c>
      <c r="E4660">
        <f ca="1"/>
        <v>0.8227724780523642</v>
      </c>
      <c r="G4660">
        <f ca="1"/>
        <v>2.3707325662050391</v>
      </c>
    </row>
    <row r="4661" spans="3:7">
      <c r="C4661">
        <f ca="1"/>
        <v>0.3894396007038684</v>
      </c>
      <c r="D4661">
        <f ca="1"/>
        <v>0.39265279876810233</v>
      </c>
      <c r="E4661">
        <f ca="1"/>
        <v>-0.80715983417853321</v>
      </c>
      <c r="G4661">
        <f ca="1"/>
        <v>0.95734642088792954</v>
      </c>
    </row>
    <row r="4662" spans="3:7">
      <c r="C4662">
        <f ca="1"/>
        <v>6.1225738513296928E-2</v>
      </c>
      <c r="D4662">
        <f ca="1"/>
        <v>-0.51949923884500326</v>
      </c>
      <c r="E4662">
        <f ca="1"/>
        <v>0.68762853780366973</v>
      </c>
      <c r="G4662">
        <f ca="1"/>
        <v>0.74646105621904923</v>
      </c>
    </row>
    <row r="4663" spans="3:7">
      <c r="C4663">
        <f ca="1"/>
        <v>1.7601825951194434</v>
      </c>
      <c r="D4663">
        <f ca="1"/>
        <v>6.0073042794911942E-2</v>
      </c>
      <c r="E4663">
        <f ca="1"/>
        <v>-8.5365581871192198E-2</v>
      </c>
      <c r="G4663">
        <f ca="1"/>
        <v>3.1091388212002649</v>
      </c>
    </row>
    <row r="4664" spans="3:7">
      <c r="C4664">
        <f ca="1"/>
        <v>0.69495379490357734</v>
      </c>
      <c r="D4664">
        <f ca="1"/>
        <v>0.90181889663959658</v>
      </c>
      <c r="E4664">
        <f ca="1"/>
        <v>0.40623760099082495</v>
      </c>
      <c r="G4664">
        <f ca="1"/>
        <v>1.4612670878459235</v>
      </c>
    </row>
    <row r="4665" spans="3:7">
      <c r="C4665">
        <f ca="1"/>
        <v>0.35802440934265028</v>
      </c>
      <c r="D4665">
        <f ca="1"/>
        <v>6.9548954106752617E-2</v>
      </c>
      <c r="E4665">
        <f ca="1"/>
        <v>1.3934579090013046</v>
      </c>
      <c r="G4665">
        <f ca="1"/>
        <v>2.074743478860785</v>
      </c>
    </row>
    <row r="4666" spans="3:7">
      <c r="C4666">
        <f ca="1"/>
        <v>-0.16703540818539819</v>
      </c>
      <c r="D4666">
        <f ca="1"/>
        <v>1.1307887674410062</v>
      </c>
      <c r="E4666">
        <f ca="1"/>
        <v>0.12038946329957803</v>
      </c>
      <c r="G4666">
        <f ca="1"/>
        <v>1.3210776870319731</v>
      </c>
    </row>
    <row r="4667" spans="3:7">
      <c r="C4667">
        <f ca="1"/>
        <v>0.75489213738459726</v>
      </c>
      <c r="D4667">
        <f ca="1"/>
        <v>1.541602238190829</v>
      </c>
      <c r="E4667">
        <f ca="1"/>
        <v>0.5682936372480506</v>
      </c>
      <c r="G4667">
        <f ca="1"/>
        <v>3.2693572580166776</v>
      </c>
    </row>
    <row r="4668" spans="3:7">
      <c r="C4668">
        <f ca="1"/>
        <v>-9.4654885504161221E-2</v>
      </c>
      <c r="D4668">
        <f ca="1"/>
        <v>-1.3799718113515327</v>
      </c>
      <c r="E4668">
        <f ca="1"/>
        <v>-7.7986866077925385E-3</v>
      </c>
      <c r="G4668">
        <f ca="1"/>
        <v>1.9133425669874424</v>
      </c>
    </row>
    <row r="4669" spans="3:7">
      <c r="C4669">
        <f ca="1"/>
        <v>-0.50784600053377571</v>
      </c>
      <c r="D4669">
        <f ca="1"/>
        <v>1.9449935669342031</v>
      </c>
      <c r="E4669">
        <f ca="1"/>
        <v>-0.18796974071209094</v>
      </c>
      <c r="G4669">
        <f ca="1"/>
        <v>4.0762401590969572</v>
      </c>
    </row>
    <row r="4670" spans="3:7">
      <c r="C4670">
        <f ca="1"/>
        <v>0.49603679939496015</v>
      </c>
      <c r="D4670">
        <f ca="1"/>
        <v>-0.86545065728569048</v>
      </c>
      <c r="E4670">
        <f ca="1"/>
        <v>0.38012131144735706</v>
      </c>
      <c r="G4670">
        <f ca="1"/>
        <v>1.1395495579666883</v>
      </c>
    </row>
    <row r="4671" spans="3:7">
      <c r="C4671">
        <f ca="1"/>
        <v>-1.5647452946633686</v>
      </c>
      <c r="D4671">
        <f ca="1"/>
        <v>-0.92718876725149013</v>
      </c>
      <c r="E4671">
        <f ca="1"/>
        <v>1.393934612773271</v>
      </c>
      <c r="G4671">
        <f ca="1"/>
        <v>5.2511605519758593</v>
      </c>
    </row>
    <row r="4672" spans="3:7">
      <c r="C4672">
        <f ca="1"/>
        <v>-0.36321093599218013</v>
      </c>
      <c r="D4672">
        <f ca="1"/>
        <v>0.27261056074145285</v>
      </c>
      <c r="E4672">
        <f ca="1"/>
        <v>-0.16656523892781513</v>
      </c>
      <c r="G4672">
        <f ca="1"/>
        <v>0.23398268067116507</v>
      </c>
    </row>
    <row r="4673" spans="3:7">
      <c r="C4673">
        <f ca="1"/>
        <v>-0.20681901052238288</v>
      </c>
      <c r="D4673">
        <f ca="1"/>
        <v>-0.37677326749506324</v>
      </c>
      <c r="E4673">
        <f ca="1"/>
        <v>1.4407696164972843</v>
      </c>
      <c r="G4673">
        <f ca="1"/>
        <v>2.2605492860340957</v>
      </c>
    </row>
    <row r="4674" spans="3:7">
      <c r="C4674">
        <f ca="1"/>
        <v>1.2403756876325041</v>
      </c>
      <c r="D4674">
        <f ca="1"/>
        <v>0.165758424056866</v>
      </c>
      <c r="E4674">
        <f ca="1"/>
        <v>6.0988866954651229E-2</v>
      </c>
      <c r="G4674">
        <f ca="1"/>
        <v>1.5697273435080352</v>
      </c>
    </row>
    <row r="4675" spans="3:7">
      <c r="C4675">
        <f ca="1"/>
        <v>-1.9160253564206273</v>
      </c>
      <c r="D4675">
        <f ca="1"/>
        <v>1.475909614315557</v>
      </c>
      <c r="E4675">
        <f ca="1"/>
        <v>-8.7038697416996047E-2</v>
      </c>
      <c r="G4675">
        <f ca="1"/>
        <v>5.8570380909239352</v>
      </c>
    </row>
    <row r="4676" spans="3:7">
      <c r="C4676">
        <f ca="1"/>
        <v>-0.70786986699947108</v>
      </c>
      <c r="D4676">
        <f ca="1"/>
        <v>2.2483253944416228</v>
      </c>
      <c r="E4676">
        <f ca="1"/>
        <v>0.70262249771496388</v>
      </c>
      <c r="G4676">
        <f ca="1"/>
        <v>6.0497252021921426</v>
      </c>
    </row>
    <row r="4677" spans="3:7">
      <c r="C4677">
        <f ca="1"/>
        <v>-0.75021147838624769</v>
      </c>
      <c r="D4677">
        <f ca="1"/>
        <v>-1.0797560620304554</v>
      </c>
      <c r="E4677">
        <f ca="1"/>
        <v>-1.0808447371533325</v>
      </c>
      <c r="G4677">
        <f ca="1"/>
        <v>2.8969157616260524</v>
      </c>
    </row>
    <row r="4678" spans="3:7">
      <c r="C4678">
        <f ca="1"/>
        <v>1.9529317085249367</v>
      </c>
      <c r="D4678">
        <f ca="1"/>
        <v>-1.1884702842376387</v>
      </c>
      <c r="E4678">
        <f ca="1"/>
        <v>0.1096375008768171</v>
      </c>
      <c r="G4678">
        <f ca="1"/>
        <v>5.2384242562765362</v>
      </c>
    </row>
    <row r="4679" spans="3:7">
      <c r="C4679">
        <f ca="1"/>
        <v>0.45641215617380521</v>
      </c>
      <c r="D4679">
        <f ca="1"/>
        <v>-0.14492154622697087</v>
      </c>
      <c r="E4679">
        <f ca="1"/>
        <v>0.68662207491308003</v>
      </c>
      <c r="G4679">
        <f ca="1"/>
        <v>0.70076418462198131</v>
      </c>
    </row>
    <row r="4680" spans="3:7">
      <c r="C4680">
        <f ca="1"/>
        <v>0.50914862840873742</v>
      </c>
      <c r="D4680">
        <f ca="1"/>
        <v>1.8565039773161145</v>
      </c>
      <c r="E4680">
        <f ca="1"/>
        <v>-0.76308760146697141</v>
      </c>
      <c r="G4680">
        <f ca="1"/>
        <v>4.288142031113666</v>
      </c>
    </row>
    <row r="4681" spans="3:7">
      <c r="C4681">
        <f ca="1"/>
        <v>-1.3365835051822317</v>
      </c>
      <c r="D4681">
        <f ca="1"/>
        <v>-0.5180377960759851</v>
      </c>
      <c r="E4681">
        <f ca="1"/>
        <v>-0.34065466267050948</v>
      </c>
      <c r="G4681">
        <f ca="1"/>
        <v>2.1708642236876434</v>
      </c>
    </row>
    <row r="4682" spans="3:7">
      <c r="C4682">
        <f ca="1"/>
        <v>-0.58135906929680903</v>
      </c>
      <c r="D4682">
        <f ca="1"/>
        <v>-0.64181599723875382</v>
      </c>
      <c r="E4682">
        <f ca="1"/>
        <v>-0.87272293676986523</v>
      </c>
      <c r="G4682">
        <f ca="1"/>
        <v>1.5115514661294462</v>
      </c>
    </row>
    <row r="4683" spans="3:7">
      <c r="C4683">
        <f ca="1"/>
        <v>0.77217146225683486</v>
      </c>
      <c r="D4683">
        <f ca="1"/>
        <v>-0.42420411699280525</v>
      </c>
      <c r="E4683">
        <f ca="1"/>
        <v>1.9599648195226662</v>
      </c>
      <c r="G4683">
        <f ca="1"/>
        <v>4.6176599937640219</v>
      </c>
    </row>
    <row r="4684" spans="3:7">
      <c r="C4684">
        <f ca="1"/>
        <v>4.4354340456376526E-2</v>
      </c>
      <c r="D4684">
        <f ca="1"/>
        <v>-0.35244649909202341</v>
      </c>
      <c r="E4684">
        <f ca="1"/>
        <v>0.76770833682920081</v>
      </c>
      <c r="G4684">
        <f ca="1"/>
        <v>0.7155619326766014</v>
      </c>
    </row>
    <row r="4685" spans="3:7">
      <c r="C4685">
        <f ca="1"/>
        <v>-1.913639958015056</v>
      </c>
      <c r="D4685">
        <f ca="1"/>
        <v>-0.41473750533744669</v>
      </c>
      <c r="E4685">
        <f ca="1"/>
        <v>-0.83925796207320369</v>
      </c>
      <c r="G4685">
        <f ca="1"/>
        <v>4.5383790141486609</v>
      </c>
    </row>
    <row r="4686" spans="3:7">
      <c r="C4686">
        <f ca="1"/>
        <v>0.677771784976687</v>
      </c>
      <c r="D4686">
        <f ca="1"/>
        <v>-0.45996919338793318</v>
      </c>
      <c r="E4686">
        <f ca="1"/>
        <v>-0.14650845457076769</v>
      </c>
      <c r="G4686">
        <f ca="1"/>
        <v>0.69241097863714507</v>
      </c>
    </row>
    <row r="4687" spans="3:7">
      <c r="C4687">
        <f ca="1"/>
        <v>-0.5719983836413961</v>
      </c>
      <c r="D4687">
        <f ca="1"/>
        <v>1.3552715145359961</v>
      </c>
      <c r="E4687">
        <f ca="1"/>
        <v>0.19920536447921863</v>
      </c>
      <c r="G4687">
        <f ca="1"/>
        <v>2.2036258062383611</v>
      </c>
    </row>
    <row r="4688" spans="3:7">
      <c r="C4688">
        <f ca="1"/>
        <v>0.42010020390675018</v>
      </c>
      <c r="D4688">
        <f ca="1"/>
        <v>-0.50078297550765405</v>
      </c>
      <c r="E4688">
        <f ca="1"/>
        <v>-0.62201667470197597</v>
      </c>
      <c r="G4688">
        <f ca="1"/>
        <v>0.81417251348809661</v>
      </c>
    </row>
    <row r="4689" spans="3:7">
      <c r="C4689">
        <f ca="1"/>
        <v>0.46616999482092664</v>
      </c>
      <c r="D4689">
        <f ca="1"/>
        <v>-0.62802430757799932</v>
      </c>
      <c r="E4689">
        <f ca="1"/>
        <v>0.10090687940998536</v>
      </c>
      <c r="G4689">
        <f ca="1"/>
        <v>0.62191119329242961</v>
      </c>
    </row>
    <row r="4690" spans="3:7">
      <c r="C4690">
        <f ca="1"/>
        <v>-0.58152057812373492</v>
      </c>
      <c r="D4690">
        <f ca="1"/>
        <v>0.49919002291530873</v>
      </c>
      <c r="E4690">
        <f ca="1"/>
        <v>-1.4927599695340634</v>
      </c>
      <c r="G4690">
        <f ca="1"/>
        <v>2.8156891884028874</v>
      </c>
    </row>
    <row r="4691" spans="3:7">
      <c r="C4691">
        <f ca="1"/>
        <v>0.16437070679407959</v>
      </c>
      <c r="D4691">
        <f ca="1"/>
        <v>0.46430149203180671</v>
      </c>
      <c r="E4691">
        <f ca="1"/>
        <v>0.42553772886514363</v>
      </c>
      <c r="G4691">
        <f ca="1"/>
        <v>0.42367596344265168</v>
      </c>
    </row>
    <row r="4692" spans="3:7">
      <c r="C4692">
        <f ca="1"/>
        <v>-0.95595413803409868</v>
      </c>
      <c r="D4692">
        <f ca="1"/>
        <v>-0.46055929958618969</v>
      </c>
      <c r="E4692">
        <f ca="1"/>
        <v>-0.59160574124253218</v>
      </c>
      <c r="G4692">
        <f ca="1"/>
        <v>1.4759605355309642</v>
      </c>
    </row>
    <row r="4693" spans="3:7">
      <c r="C4693">
        <f ca="1"/>
        <v>0.13111429578167802</v>
      </c>
      <c r="D4693">
        <f ca="1"/>
        <v>0.20363199894849623</v>
      </c>
      <c r="E4693">
        <f ca="1"/>
        <v>-0.28528196976504483</v>
      </c>
      <c r="G4693">
        <f ca="1"/>
        <v>0.14004275182710968</v>
      </c>
    </row>
    <row r="4694" spans="3:7">
      <c r="C4694">
        <f ca="1"/>
        <v>-0.28169748619333518</v>
      </c>
      <c r="D4694">
        <f ca="1"/>
        <v>2.2403275335602184</v>
      </c>
      <c r="E4694">
        <f ca="1"/>
        <v>-1.1845633794875998</v>
      </c>
      <c r="G4694">
        <f ca="1"/>
        <v>6.5016113313787391</v>
      </c>
    </row>
    <row r="4695" spans="3:7">
      <c r="C4695">
        <f ca="1"/>
        <v>0.54595436465393354</v>
      </c>
      <c r="D4695">
        <f ca="1"/>
        <v>-1.1711750983243943</v>
      </c>
      <c r="E4695">
        <f ca="1"/>
        <v>1.2999398940716522</v>
      </c>
      <c r="G4695">
        <f ca="1"/>
        <v>3.3595610074188533</v>
      </c>
    </row>
    <row r="4696" spans="3:7">
      <c r="C4696">
        <f ca="1"/>
        <v>1.2111476020652738</v>
      </c>
      <c r="D4696">
        <f ca="1"/>
        <v>1.4983779611903885</v>
      </c>
      <c r="E4696">
        <f ca="1"/>
        <v>-0.40991358488500629</v>
      </c>
      <c r="G4696">
        <f ca="1"/>
        <v>3.8800441756428055</v>
      </c>
    </row>
    <row r="4697" spans="3:7">
      <c r="C4697">
        <f ca="1"/>
        <v>2.2886066968305445</v>
      </c>
      <c r="D4697">
        <f ca="1"/>
        <v>-0.44950544333966674</v>
      </c>
      <c r="E4697">
        <f ca="1"/>
        <v>-3.741330442094358E-2</v>
      </c>
      <c r="G4697">
        <f ca="1"/>
        <v>5.4411755117173</v>
      </c>
    </row>
    <row r="4698" spans="3:7">
      <c r="C4698">
        <f ca="1"/>
        <v>-0.1258385577563258</v>
      </c>
      <c r="D4698">
        <f ca="1"/>
        <v>0.39443412162813701</v>
      </c>
      <c r="E4698">
        <f ca="1"/>
        <v>-1.0451045049923766</v>
      </c>
      <c r="G4698">
        <f ca="1"/>
        <v>1.2636570452781128</v>
      </c>
    </row>
    <row r="4699" spans="3:7">
      <c r="C4699">
        <f ca="1"/>
        <v>-2.0223422720711044</v>
      </c>
      <c r="D4699">
        <f ca="1"/>
        <v>-0.210459178254047</v>
      </c>
      <c r="E4699">
        <f ca="1"/>
        <v>-0.57029178749454679</v>
      </c>
      <c r="G4699">
        <f ca="1"/>
        <v>4.4593940540008106</v>
      </c>
    </row>
    <row r="4700" spans="3:7">
      <c r="C4700">
        <f ca="1"/>
        <v>1.3840625937768865</v>
      </c>
      <c r="D4700">
        <f ca="1"/>
        <v>2.2509062366332513</v>
      </c>
      <c r="E4700">
        <f ca="1"/>
        <v>-1.522936971879054</v>
      </c>
      <c r="G4700">
        <f ca="1"/>
        <v>9.3015451699230116</v>
      </c>
    </row>
    <row r="4701" spans="3:7">
      <c r="C4701">
        <f ca="1"/>
        <v>0.81463677760908981</v>
      </c>
      <c r="D4701">
        <f ca="1"/>
        <v>0.71587538260047745</v>
      </c>
      <c r="E4701">
        <f ca="1"/>
        <v>1.2332649234737552</v>
      </c>
      <c r="G4701">
        <f ca="1"/>
        <v>2.6970530143174285</v>
      </c>
    </row>
    <row r="4702" spans="3:7">
      <c r="C4702">
        <f ca="1"/>
        <v>-0.88641869286406405</v>
      </c>
      <c r="D4702">
        <f ca="1"/>
        <v>-1.0426547368977543</v>
      </c>
      <c r="E4702">
        <f ca="1"/>
        <v>1.3948439899730671</v>
      </c>
      <c r="G4702">
        <f ca="1"/>
        <v>3.818456755798147</v>
      </c>
    </row>
    <row r="4703" spans="3:7">
      <c r="C4703">
        <f ca="1"/>
        <v>-0.33411640637407791</v>
      </c>
      <c r="D4703">
        <f ca="1"/>
        <v>-0.45328787380031266</v>
      </c>
      <c r="E4703">
        <f ca="1"/>
        <v>8.5853189666445506E-2</v>
      </c>
      <c r="G4703">
        <f ca="1"/>
        <v>0.32447443971863882</v>
      </c>
    </row>
    <row r="4704" spans="3:7">
      <c r="C4704">
        <f ca="1"/>
        <v>-2.0124201651058176</v>
      </c>
      <c r="D4704">
        <f ca="1"/>
        <v>-0.25600277831160584</v>
      </c>
      <c r="E4704">
        <f ca="1"/>
        <v>-0.84708985365662059</v>
      </c>
      <c r="G4704">
        <f ca="1"/>
        <v>4.8329335635957813</v>
      </c>
    </row>
    <row r="4705" spans="3:7">
      <c r="C4705">
        <f ca="1"/>
        <v>-0.7768809884767105</v>
      </c>
      <c r="D4705">
        <f ca="1"/>
        <v>-7.7302917476468572E-2</v>
      </c>
      <c r="E4705">
        <f ca="1"/>
        <v>-0.57567782638921072</v>
      </c>
      <c r="G4705">
        <f ca="1"/>
        <v>0.94092477110313077</v>
      </c>
    </row>
    <row r="4706" spans="3:7">
      <c r="C4706">
        <f ca="1"/>
        <v>3.4618185290314359E-2</v>
      </c>
      <c r="D4706">
        <f ca="1"/>
        <v>0.62508980194861252</v>
      </c>
      <c r="E4706">
        <f ca="1"/>
        <v>-0.65391573097252043</v>
      </c>
      <c r="G4706">
        <f ca="1"/>
        <v>0.81954146246627579</v>
      </c>
    </row>
    <row r="4707" spans="3:7">
      <c r="C4707">
        <f ca="1"/>
        <v>-0.37180049500409529</v>
      </c>
      <c r="D4707">
        <f ca="1"/>
        <v>0.40586021875131062</v>
      </c>
      <c r="E4707">
        <f ca="1"/>
        <v>1.0815021218351277</v>
      </c>
      <c r="G4707">
        <f ca="1"/>
        <v>1.4726049647840354</v>
      </c>
    </row>
    <row r="4708" spans="3:7">
      <c r="C4708">
        <f ca="1"/>
        <v>0.41393037306718056</v>
      </c>
      <c r="D4708">
        <f ca="1"/>
        <v>-1.8482057160377521</v>
      </c>
      <c r="E4708">
        <f ca="1"/>
        <v>-0.49466303511894039</v>
      </c>
      <c r="G4708">
        <f ca="1"/>
        <v>3.8318942408552372</v>
      </c>
    </row>
    <row r="4709" spans="3:7">
      <c r="C4709">
        <f ca="1"/>
        <v>-0.18814706782383489</v>
      </c>
      <c r="D4709">
        <f ca="1"/>
        <v>0.42551116661861887</v>
      </c>
      <c r="E4709">
        <f ca="1"/>
        <v>-2.314660830953565</v>
      </c>
      <c r="G4709">
        <f ca="1"/>
        <v>5.5741138343984922</v>
      </c>
    </row>
    <row r="4710" spans="3:7">
      <c r="C4710">
        <f ca="1"/>
        <v>-0.42948751165950116</v>
      </c>
      <c r="D4710">
        <f ca="1"/>
        <v>0.33716128970023046</v>
      </c>
      <c r="E4710">
        <f ca="1"/>
        <v>0.10770295593440234</v>
      </c>
      <c r="G4710">
        <f ca="1"/>
        <v>0.30973718466080069</v>
      </c>
    </row>
    <row r="4711" spans="3:7">
      <c r="C4711">
        <f ca="1"/>
        <v>0.84743088039672332</v>
      </c>
      <c r="D4711">
        <f ca="1"/>
        <v>6.8670499816564215E-2</v>
      </c>
      <c r="E4711">
        <f ca="1"/>
        <v>2.1439037955705218</v>
      </c>
      <c r="G4711">
        <f ca="1"/>
        <v>5.3191782192567114</v>
      </c>
    </row>
    <row r="4712" spans="3:7">
      <c r="C4712">
        <f ca="1"/>
        <v>7.5493317250108175E-2</v>
      </c>
      <c r="D4712">
        <f ca="1"/>
        <v>0.34968175556937819</v>
      </c>
      <c r="E4712">
        <f ca="1"/>
        <v>0.3412557506377199</v>
      </c>
      <c r="G4712">
        <f ca="1"/>
        <v>0.2444320584708215</v>
      </c>
    </row>
    <row r="4713" spans="3:7">
      <c r="C4713">
        <f ca="1"/>
        <v>-3.8513068444226355E-2</v>
      </c>
      <c r="D4713">
        <f ca="1"/>
        <v>-0.56369895136550463</v>
      </c>
      <c r="E4713">
        <f ca="1"/>
        <v>-1.0057135548344993</v>
      </c>
      <c r="G4713">
        <f ca="1"/>
        <v>1.3306995185894046</v>
      </c>
    </row>
    <row r="4714" spans="3:7">
      <c r="C4714">
        <f ca="1"/>
        <v>1.145115873869214</v>
      </c>
      <c r="D4714">
        <f ca="1"/>
        <v>0.26750214784465814</v>
      </c>
      <c r="E4714">
        <f ca="1"/>
        <v>0.88219090160689462</v>
      </c>
      <c r="G4714">
        <f ca="1"/>
        <v>2.1611085505667447</v>
      </c>
    </row>
    <row r="4715" spans="3:7">
      <c r="C4715">
        <f ca="1"/>
        <v>0.33546379109115321</v>
      </c>
      <c r="D4715">
        <f ca="1"/>
        <v>0.18535385317285308</v>
      </c>
      <c r="E4715">
        <f ca="1"/>
        <v>0.83735024715432149</v>
      </c>
      <c r="G4715">
        <f ca="1"/>
        <v>0.84804744242867569</v>
      </c>
    </row>
    <row r="4716" spans="3:7">
      <c r="C4716">
        <f ca="1"/>
        <v>0.8770485058268509</v>
      </c>
      <c r="D4716">
        <f ca="1"/>
        <v>-1.5246178120878806</v>
      </c>
      <c r="E4716">
        <f ca="1"/>
        <v>-0.91076806058995163</v>
      </c>
      <c r="G4716">
        <f ca="1"/>
        <v>3.9231720146995297</v>
      </c>
    </row>
    <row r="4717" spans="3:7">
      <c r="C4717">
        <f ca="1"/>
        <v>-0.97821380175493255</v>
      </c>
      <c r="D4717">
        <f ca="1"/>
        <v>-1.2378214814277031</v>
      </c>
      <c r="E4717">
        <f ca="1"/>
        <v>0.84676946229303296</v>
      </c>
      <c r="G4717">
        <f ca="1"/>
        <v>3.2061227840997439</v>
      </c>
    </row>
    <row r="4718" spans="3:7">
      <c r="C4718">
        <f ca="1"/>
        <v>0.94597894441593466</v>
      </c>
      <c r="D4718">
        <f ca="1"/>
        <v>-1.0444319692108506</v>
      </c>
      <c r="E4718">
        <f ca="1"/>
        <v>-0.54966800614909839</v>
      </c>
      <c r="G4718">
        <f ca="1"/>
        <v>2.2878492185718664</v>
      </c>
    </row>
    <row r="4719" spans="3:7">
      <c r="C4719">
        <f ca="1"/>
        <v>0.789177323263762</v>
      </c>
      <c r="D4719">
        <f ca="1"/>
        <v>-1.4508265722532436</v>
      </c>
      <c r="E4719">
        <f ca="1"/>
        <v>-2.3173522980785868</v>
      </c>
      <c r="G4719">
        <f ca="1"/>
        <v>8.0978202637199601</v>
      </c>
    </row>
    <row r="4720" spans="3:7">
      <c r="C4720">
        <f ca="1"/>
        <v>0.22096169372794661</v>
      </c>
      <c r="D4720">
        <f ca="1"/>
        <v>-0.13156604171452749</v>
      </c>
      <c r="E4720">
        <f ca="1"/>
        <v>1.235331269356573</v>
      </c>
      <c r="G4720">
        <f ca="1"/>
        <v>1.5921770384776734</v>
      </c>
    </row>
    <row r="4721" spans="3:7">
      <c r="C4721">
        <f ca="1"/>
        <v>0.29824830180391709</v>
      </c>
      <c r="D4721">
        <f ca="1"/>
        <v>-1.4101075006661338E-2</v>
      </c>
      <c r="E4721">
        <f ca="1"/>
        <v>-1.1064218232537721</v>
      </c>
      <c r="G4721">
        <f ca="1"/>
        <v>1.3133201408174653</v>
      </c>
    </row>
    <row r="4722" spans="3:7">
      <c r="C4722">
        <f ca="1"/>
        <v>-1.7526119812286138</v>
      </c>
      <c r="D4722">
        <f ca="1"/>
        <v>0.73211775443319149</v>
      </c>
      <c r="E4722">
        <f ca="1"/>
        <v>-1.2024849477876627</v>
      </c>
      <c r="G4722">
        <f ca="1"/>
        <v>5.0536152127582836</v>
      </c>
    </row>
    <row r="4723" spans="3:7">
      <c r="C4723">
        <f ca="1"/>
        <v>-1.2566137000650539</v>
      </c>
      <c r="D4723">
        <f ca="1"/>
        <v>0.29820944367164193</v>
      </c>
      <c r="E4723">
        <f ca="1"/>
        <v>0.55568535755430448</v>
      </c>
      <c r="G4723">
        <f ca="1"/>
        <v>1.9767930800863907</v>
      </c>
    </row>
    <row r="4724" spans="3:7">
      <c r="C4724">
        <f ca="1"/>
        <v>-1.4336636901952866</v>
      </c>
      <c r="D4724">
        <f ca="1"/>
        <v>0.6974706719920104</v>
      </c>
      <c r="E4724">
        <f ca="1"/>
        <v>1.4979930319898649</v>
      </c>
      <c r="G4724">
        <f ca="1"/>
        <v>4.785840038763542</v>
      </c>
    </row>
    <row r="4725" spans="3:7">
      <c r="C4725">
        <f ca="1"/>
        <v>1.2840704340985467</v>
      </c>
      <c r="D4725">
        <f ca="1"/>
        <v>-0.99967610075268665</v>
      </c>
      <c r="E4725">
        <f ca="1"/>
        <v>-0.18942294901076548</v>
      </c>
      <c r="G4725">
        <f ca="1"/>
        <v>2.6840702397540612</v>
      </c>
    </row>
    <row r="4726" spans="3:7">
      <c r="C4726">
        <f ca="1"/>
        <v>2.000574775338134</v>
      </c>
      <c r="D4726">
        <f ca="1"/>
        <v>0.46133676359343956</v>
      </c>
      <c r="E4726">
        <f ca="1"/>
        <v>-0.31899082149452057</v>
      </c>
      <c r="G4726">
        <f ca="1"/>
        <v>4.3168861853598433</v>
      </c>
    </row>
    <row r="4727" spans="3:7">
      <c r="C4727">
        <f ca="1"/>
        <v>-0.1317280446993784</v>
      </c>
      <c r="D4727">
        <f ca="1"/>
        <v>-0.44536892452111204</v>
      </c>
      <c r="E4727">
        <f ca="1"/>
        <v>-0.90872099705721809</v>
      </c>
      <c r="G4727">
        <f ca="1"/>
        <v>1.041479607182078</v>
      </c>
    </row>
    <row r="4728" spans="3:7">
      <c r="C4728">
        <f ca="1"/>
        <v>0.41992256574331988</v>
      </c>
      <c r="D4728">
        <f ca="1"/>
        <v>-0.92591576500382444</v>
      </c>
      <c r="E4728">
        <f ca="1"/>
        <v>0.99548379049259039</v>
      </c>
      <c r="G4728">
        <f ca="1"/>
        <v>2.0246429422365657</v>
      </c>
    </row>
    <row r="4729" spans="3:7">
      <c r="C4729">
        <f ca="1"/>
        <v>0.50263068182762483</v>
      </c>
      <c r="D4729">
        <f ca="1"/>
        <v>0.80564931676152551</v>
      </c>
      <c r="E4729">
        <f ca="1"/>
        <v>-0.93813845360716486</v>
      </c>
      <c r="G4729">
        <f ca="1"/>
        <v>1.7818121820492585</v>
      </c>
    </row>
    <row r="4730" spans="3:7">
      <c r="C4730">
        <f ca="1"/>
        <v>0.9945286406163325</v>
      </c>
      <c r="D4730">
        <f ca="1"/>
        <v>0.78107800870599353</v>
      </c>
      <c r="E4730">
        <f ca="1"/>
        <v>-0.65345186094861885</v>
      </c>
      <c r="G4730">
        <f ca="1"/>
        <v>2.0261694072675036</v>
      </c>
    </row>
    <row r="4731" spans="3:7">
      <c r="C4731">
        <f ca="1"/>
        <v>0.75353415264027268</v>
      </c>
      <c r="D4731">
        <f ca="1"/>
        <v>-0.11242985366503948</v>
      </c>
      <c r="E4731">
        <f ca="1"/>
        <v>-1.4534197689433315</v>
      </c>
      <c r="G4731">
        <f ca="1"/>
        <v>2.6928832159457228</v>
      </c>
    </row>
    <row r="4732" spans="3:7">
      <c r="C4732">
        <f ca="1"/>
        <v>1.7173241257106675</v>
      </c>
      <c r="D4732">
        <f ca="1"/>
        <v>9.0339343961728991E-2</v>
      </c>
      <c r="E4732">
        <f ca="1"/>
        <v>-0.43758594938604622</v>
      </c>
      <c r="G4732">
        <f ca="1"/>
        <v>3.1488448129154314</v>
      </c>
    </row>
    <row r="4733" spans="3:7">
      <c r="C4733">
        <f ca="1"/>
        <v>-1.429420220418941</v>
      </c>
      <c r="D4733">
        <f ca="1"/>
        <v>0.12470250764701019</v>
      </c>
      <c r="E4733">
        <f ca="1"/>
        <v>0.27104778427389908</v>
      </c>
      <c r="G4733">
        <f ca="1"/>
        <v>2.1322597833157766</v>
      </c>
    </row>
    <row r="4734" spans="3:7">
      <c r="C4734">
        <f ca="1"/>
        <v>-0.59273209018077921</v>
      </c>
      <c r="D4734">
        <f ca="1"/>
        <v>-2.0546328406227765</v>
      </c>
      <c r="E4734">
        <f ca="1"/>
        <v>-0.25973982704197224</v>
      </c>
      <c r="G4734">
        <f ca="1"/>
        <v>4.6403122182474892</v>
      </c>
    </row>
    <row r="4735" spans="3:7">
      <c r="C4735">
        <f ca="1"/>
        <v>-1.8918525852994499</v>
      </c>
      <c r="D4735">
        <f ca="1"/>
        <v>1.173708311785373</v>
      </c>
      <c r="E4735">
        <f ca="1"/>
        <v>-0.90894280656671556</v>
      </c>
      <c r="G4735">
        <f ca="1"/>
        <v>5.7828744312676594</v>
      </c>
    </row>
    <row r="4736" spans="3:7">
      <c r="C4736">
        <f ca="1"/>
        <v>-1.5593013694358442</v>
      </c>
      <c r="D4736">
        <f ca="1"/>
        <v>0.67186652989736972</v>
      </c>
      <c r="E4736">
        <f ca="1"/>
        <v>-2.3589836619138618E-2</v>
      </c>
      <c r="G4736">
        <f ca="1"/>
        <v>2.88338187511255</v>
      </c>
    </row>
    <row r="4737" spans="3:7">
      <c r="C4737">
        <f ca="1"/>
        <v>0.13442558363736451</v>
      </c>
      <c r="D4737">
        <f ca="1"/>
        <v>-1.3935123997466785</v>
      </c>
      <c r="E4737">
        <f ca="1"/>
        <v>4.496847471073008E-2</v>
      </c>
      <c r="G4737">
        <f ca="1"/>
        <v>1.9619692095018022</v>
      </c>
    </row>
    <row r="4738" spans="3:7">
      <c r="C4738">
        <f ca="1"/>
        <v>-2.7857869953983205</v>
      </c>
      <c r="D4738">
        <f ca="1"/>
        <v>0.49738162660464819</v>
      </c>
      <c r="E4738">
        <f ca="1"/>
        <v>8.0811708354033451E-2</v>
      </c>
      <c r="G4738">
        <f ca="1"/>
        <v>8.0145281984213845</v>
      </c>
    </row>
    <row r="4739" spans="3:7">
      <c r="C4739">
        <f ca="1"/>
        <v>-2.9986252810051173E-2</v>
      </c>
      <c r="D4739">
        <f ca="1"/>
        <v>-0.54726084706113431</v>
      </c>
      <c r="E4739">
        <f ca="1"/>
        <v>-0.11600922353000639</v>
      </c>
      <c r="G4739">
        <f ca="1"/>
        <v>0.31385175002769355</v>
      </c>
    </row>
    <row r="4740" spans="3:7">
      <c r="C4740">
        <f ca="1"/>
        <v>0.6895988102917493</v>
      </c>
      <c r="D4740">
        <f ca="1"/>
        <v>0.15367495557099239</v>
      </c>
      <c r="E4740">
        <f ca="1"/>
        <v>-4.331556046918273E-2</v>
      </c>
      <c r="G4740">
        <f ca="1"/>
        <v>0.501038748904302</v>
      </c>
    </row>
    <row r="4741" spans="3:7">
      <c r="C4741">
        <f ca="1"/>
        <v>-0.86324986231499812</v>
      </c>
      <c r="D4741">
        <f ca="1"/>
        <v>-0.98119295904210713</v>
      </c>
      <c r="E4741">
        <f ca="1"/>
        <v>1.9999415597608616</v>
      </c>
      <c r="G4741">
        <f ca="1"/>
        <v>5.7077061901193771</v>
      </c>
    </row>
    <row r="4742" spans="3:7">
      <c r="C4742">
        <f ca="1"/>
        <v>1.030728943140385</v>
      </c>
      <c r="D4742">
        <f ca="1"/>
        <v>-1.8651527830240417</v>
      </c>
      <c r="E4742">
        <f ca="1"/>
        <v>-0.61106864685314344</v>
      </c>
      <c r="G4742">
        <f ca="1"/>
        <v>4.9146019494165554</v>
      </c>
    </row>
    <row r="4743" spans="3:7">
      <c r="C4743">
        <f ca="1"/>
        <v>0.2099427690912867</v>
      </c>
      <c r="D4743">
        <f ca="1"/>
        <v>0.32920462125825006</v>
      </c>
      <c r="E4743">
        <f ca="1"/>
        <v>-0.56284858075574806</v>
      </c>
      <c r="G4743">
        <f ca="1"/>
        <v>0.46925017381026507</v>
      </c>
    </row>
    <row r="4744" spans="3:7">
      <c r="C4744">
        <f ca="1"/>
        <v>-1.8716420376664732E-2</v>
      </c>
      <c r="D4744">
        <f ca="1"/>
        <v>-0.93670729723211132</v>
      </c>
      <c r="E4744">
        <f ca="1"/>
        <v>-0.82469282923313936</v>
      </c>
      <c r="G4744">
        <f ca="1"/>
        <v>1.557889127668163</v>
      </c>
    </row>
    <row r="4745" spans="3:7">
      <c r="C4745">
        <f ca="1"/>
        <v>2.6789404412174522</v>
      </c>
      <c r="D4745">
        <f ca="1"/>
        <v>0.52783992543487368</v>
      </c>
      <c r="E4745">
        <f ca="1"/>
        <v>0.26381762198129777</v>
      </c>
      <c r="G4745">
        <f ca="1"/>
        <v>7.5249366121413166</v>
      </c>
    </row>
    <row r="4746" spans="3:7">
      <c r="C4746">
        <f ca="1"/>
        <v>1.0674532306444444</v>
      </c>
      <c r="D4746">
        <f ca="1"/>
        <v>-0.40922514929134063</v>
      </c>
      <c r="E4746">
        <f ca="1"/>
        <v>1.3240351597968285</v>
      </c>
      <c r="G4746">
        <f ca="1"/>
        <v>3.0599907268039948</v>
      </c>
    </row>
    <row r="4747" spans="3:7">
      <c r="C4747">
        <f ca="1"/>
        <v>-1.7022913294613515</v>
      </c>
      <c r="D4747">
        <f ca="1"/>
        <v>0.87091859390807658</v>
      </c>
      <c r="E4747">
        <f ca="1"/>
        <v>-0.72390024903430261</v>
      </c>
      <c r="G4747">
        <f ca="1"/>
        <v>4.1803265381260424</v>
      </c>
    </row>
    <row r="4748" spans="3:7">
      <c r="C4748">
        <f ca="1"/>
        <v>-1.6609020326601245</v>
      </c>
      <c r="D4748">
        <f ca="1"/>
        <v>1.302413768204252</v>
      </c>
      <c r="E4748">
        <f ca="1"/>
        <v>0.22020665251024035</v>
      </c>
      <c r="G4748">
        <f ca="1"/>
        <v>4.5033681555122982</v>
      </c>
    </row>
    <row r="4749" spans="3:7">
      <c r="C4749">
        <f ca="1"/>
        <v>-0.14114748107591474</v>
      </c>
      <c r="D4749">
        <f ca="1"/>
        <v>-1.0420746256452964</v>
      </c>
      <c r="E4749">
        <f ca="1"/>
        <v>-0.68326245927170481</v>
      </c>
      <c r="G4749">
        <f ca="1"/>
        <v>1.5726897250778784</v>
      </c>
    </row>
    <row r="4750" spans="3:7">
      <c r="C4750">
        <f ca="1"/>
        <v>0.91984431891727769</v>
      </c>
      <c r="D4750">
        <f ca="1"/>
        <v>0.4280927308762571</v>
      </c>
      <c r="E4750">
        <f ca="1"/>
        <v>-0.71639943453657584</v>
      </c>
      <c r="G4750">
        <f ca="1"/>
        <v>1.5426051070778075</v>
      </c>
    </row>
    <row r="4751" spans="3:7">
      <c r="C4751">
        <f ca="1"/>
        <v>1.0209126280980214</v>
      </c>
      <c r="D4751">
        <f ca="1"/>
        <v>0.18492010691449481</v>
      </c>
      <c r="E4751">
        <f ca="1"/>
        <v>1.2451154160238311</v>
      </c>
      <c r="G4751">
        <f ca="1"/>
        <v>2.6267704393714753</v>
      </c>
    </row>
    <row r="4752" spans="3:7">
      <c r="C4752">
        <f ca="1"/>
        <v>-1.2075489078375483</v>
      </c>
      <c r="D4752">
        <f ca="1"/>
        <v>-0.83519575493939346</v>
      </c>
      <c r="E4752">
        <f ca="1"/>
        <v>-1.2014642307999006</v>
      </c>
      <c r="G4752">
        <f ca="1"/>
        <v>3.5992426117800358</v>
      </c>
    </row>
    <row r="4753" spans="3:7">
      <c r="C4753">
        <f ca="1"/>
        <v>0.32481749291849304</v>
      </c>
      <c r="D4753">
        <f ca="1"/>
        <v>0.36546662006592656</v>
      </c>
      <c r="E4753">
        <f ca="1"/>
        <v>1.554857304681556E-2</v>
      </c>
      <c r="G4753">
        <f ca="1"/>
        <v>0.23931401221205975</v>
      </c>
    </row>
    <row r="4754" spans="3:7">
      <c r="C4754">
        <f ca="1"/>
        <v>0.8745797152240633</v>
      </c>
      <c r="D4754">
        <f ca="1"/>
        <v>-0.65586875267544864</v>
      </c>
      <c r="E4754">
        <f ca="1"/>
        <v>-0.77601357552707173</v>
      </c>
      <c r="G4754">
        <f ca="1"/>
        <v>1.7972505684197626</v>
      </c>
    </row>
    <row r="4755" spans="3:7">
      <c r="C4755">
        <f ca="1"/>
        <v>-1.2564060004493913</v>
      </c>
      <c r="D4755">
        <f ca="1"/>
        <v>-1.2418293461038223</v>
      </c>
      <c r="E4755">
        <f ca="1"/>
        <v>0.50514772033151656</v>
      </c>
      <c r="G4755">
        <f ca="1"/>
        <v>3.3758703821660108</v>
      </c>
    </row>
    <row r="4756" spans="3:7">
      <c r="C4756">
        <f ca="1"/>
        <v>-0.31494217826399623</v>
      </c>
      <c r="D4756">
        <f ca="1"/>
        <v>-0.64342736886113938</v>
      </c>
      <c r="E4756">
        <f ca="1"/>
        <v>0.37296882713946483</v>
      </c>
      <c r="G4756">
        <f ca="1"/>
        <v>0.6522931006670275</v>
      </c>
    </row>
    <row r="4757" spans="3:7">
      <c r="C4757">
        <f ca="1"/>
        <v>0.7993313664198658</v>
      </c>
      <c r="D4757">
        <f ca="1"/>
        <v>-1.7778180606372529</v>
      </c>
      <c r="E4757">
        <f ca="1"/>
        <v>0.73447039340178033</v>
      </c>
      <c r="G4757">
        <f ca="1"/>
        <v>4.3390144488544191</v>
      </c>
    </row>
    <row r="4758" spans="3:7">
      <c r="C4758">
        <f ca="1"/>
        <v>1.0821527813749123</v>
      </c>
      <c r="D4758">
        <f ca="1"/>
        <v>1.7858875740065054</v>
      </c>
      <c r="E4758">
        <f ca="1"/>
        <v>-0.23468026120167046</v>
      </c>
      <c r="G4758">
        <f ca="1"/>
        <v>4.4155238942259851</v>
      </c>
    </row>
    <row r="4759" spans="3:7">
      <c r="C4759">
        <f ca="1"/>
        <v>-6.2500574476111931E-2</v>
      </c>
      <c r="D4759">
        <f ca="1"/>
        <v>-1.6337704044545491</v>
      </c>
      <c r="E4759">
        <f ca="1"/>
        <v>0.48113760108005821</v>
      </c>
      <c r="G4759">
        <f ca="1"/>
        <v>2.9046054474544984</v>
      </c>
    </row>
    <row r="4760" spans="3:7">
      <c r="C4760">
        <f ca="1"/>
        <v>6.7383515577137789E-3</v>
      </c>
      <c r="D4760">
        <f ca="1"/>
        <v>-8.0089340137658852E-2</v>
      </c>
      <c r="E4760">
        <f ca="1"/>
        <v>-1.8153045907427121</v>
      </c>
      <c r="G4760">
        <f ca="1"/>
        <v>3.3017904649569663</v>
      </c>
    </row>
    <row r="4761" spans="3:7">
      <c r="C4761">
        <f ca="1"/>
        <v>1.4964167980809586</v>
      </c>
      <c r="D4761">
        <f ca="1"/>
        <v>-0.58290923865174205</v>
      </c>
      <c r="E4761">
        <f ca="1"/>
        <v>0.39193333021144733</v>
      </c>
      <c r="G4761">
        <f ca="1"/>
        <v>2.732658149415057</v>
      </c>
    </row>
    <row r="4762" spans="3:7">
      <c r="C4762">
        <f ca="1"/>
        <v>-0.35559455156167263</v>
      </c>
      <c r="D4762">
        <f ca="1"/>
        <v>-0.27725535065993057</v>
      </c>
      <c r="E4762">
        <f ca="1"/>
        <v>-0.45640412306314132</v>
      </c>
      <c r="G4762">
        <f ca="1"/>
        <v>0.41162273811894312</v>
      </c>
    </row>
    <row r="4763" spans="3:7">
      <c r="C4763">
        <f ca="1"/>
        <v>0.45030121232967313</v>
      </c>
      <c r="D4763">
        <f ca="1"/>
        <v>-1.6048173440708837</v>
      </c>
      <c r="E4763">
        <f ca="1"/>
        <v>-0.18292126172616863</v>
      </c>
      <c r="G4763">
        <f ca="1"/>
        <v>2.8116700776477921</v>
      </c>
    </row>
    <row r="4764" spans="3:7">
      <c r="C4764">
        <f ca="1"/>
        <v>1.1941284985916354</v>
      </c>
      <c r="D4764">
        <f ca="1"/>
        <v>0.64523353768044711</v>
      </c>
      <c r="E4764">
        <f ca="1"/>
        <v>-0.99427302127068717</v>
      </c>
      <c r="G4764">
        <f ca="1"/>
        <v>2.8308480301230787</v>
      </c>
    </row>
    <row r="4765" spans="3:7">
      <c r="C4765">
        <f ca="1"/>
        <v>-0.86694468154846638</v>
      </c>
      <c r="D4765">
        <f ca="1"/>
        <v>-1.6237538140328733</v>
      </c>
      <c r="E4765">
        <f ca="1"/>
        <v>0.43227118349905097</v>
      </c>
      <c r="G4765">
        <f ca="1"/>
        <v>3.575027905535145</v>
      </c>
    </row>
    <row r="4766" spans="3:7">
      <c r="C4766">
        <f ca="1"/>
        <v>-0.59137311617131727</v>
      </c>
      <c r="D4766">
        <f ca="1"/>
        <v>-0.27467217018328094</v>
      </c>
      <c r="E4766">
        <f ca="1"/>
        <v>-0.15636343356778601</v>
      </c>
      <c r="G4766">
        <f ca="1"/>
        <v>0.44961648696047496</v>
      </c>
    </row>
    <row r="4767" spans="3:7">
      <c r="C4767">
        <f ca="1"/>
        <v>-0.47862718869482124</v>
      </c>
      <c r="D4767">
        <f ca="1"/>
        <v>0.3115033922937383</v>
      </c>
      <c r="E4767">
        <f ca="1"/>
        <v>1.5641237595410844</v>
      </c>
      <c r="G4767">
        <f ca="1"/>
        <v>2.7726014843293507</v>
      </c>
    </row>
    <row r="4768" spans="3:7">
      <c r="C4768">
        <f ca="1"/>
        <v>1.8056029250304744</v>
      </c>
      <c r="D4768">
        <f ca="1"/>
        <v>1.2175600845533878</v>
      </c>
      <c r="E4768">
        <f ca="1"/>
        <v>3.116625107930953</v>
      </c>
      <c r="G4768">
        <f ca="1"/>
        <v>14.456006545761882</v>
      </c>
    </row>
    <row r="4769" spans="3:7">
      <c r="C4769">
        <f ca="1"/>
        <v>-0.48518405178604435</v>
      </c>
      <c r="D4769">
        <f ca="1"/>
        <v>0.2130231524726571</v>
      </c>
      <c r="E4769">
        <f ca="1"/>
        <v>0.63086518954409387</v>
      </c>
      <c r="G4769">
        <f ca="1"/>
        <v>0.67877331497541737</v>
      </c>
    </row>
    <row r="4770" spans="3:7">
      <c r="C4770">
        <f ca="1"/>
        <v>1.1389928577558777</v>
      </c>
      <c r="D4770">
        <f ca="1"/>
        <v>0.29519065558123736</v>
      </c>
      <c r="E4770">
        <f ca="1"/>
        <v>-0.63058187046311576</v>
      </c>
      <c r="G4770">
        <f ca="1"/>
        <v>1.7820757485181433</v>
      </c>
    </row>
    <row r="4771" spans="3:7">
      <c r="C4771">
        <f ca="1"/>
        <v>0.23973741402780577</v>
      </c>
      <c r="D4771">
        <f ca="1"/>
        <v>2.0124788490179721</v>
      </c>
      <c r="E4771">
        <f ca="1"/>
        <v>2.1994279602155626</v>
      </c>
      <c r="G4771">
        <f ca="1"/>
        <v>8.9450284976074315</v>
      </c>
    </row>
    <row r="4772" spans="3:7">
      <c r="C4772">
        <f ca="1"/>
        <v>0.11065639960165836</v>
      </c>
      <c r="D4772">
        <f ca="1"/>
        <v>0.39352458306497107</v>
      </c>
      <c r="E4772">
        <f ca="1"/>
        <v>1.6771580536691091</v>
      </c>
      <c r="G4772">
        <f ca="1"/>
        <v>2.9799655732364152</v>
      </c>
    </row>
    <row r="4773" spans="3:7">
      <c r="C4773">
        <f ca="1"/>
        <v>0.25453363978581006</v>
      </c>
      <c r="D4773">
        <f ca="1"/>
        <v>-0.92265159204399894</v>
      </c>
      <c r="E4773">
        <f ca="1"/>
        <v>-1.0989634052560942</v>
      </c>
      <c r="G4773">
        <f ca="1"/>
        <v>2.1237939001760084</v>
      </c>
    </row>
    <row r="4774" spans="3:7">
      <c r="C4774">
        <f ca="1"/>
        <v>-0.68012666909589559</v>
      </c>
      <c r="D4774">
        <f ca="1"/>
        <v>-0.64023836330288642</v>
      </c>
      <c r="E4774">
        <f ca="1"/>
        <v>-1.5400217429681768</v>
      </c>
      <c r="G4774">
        <f ca="1"/>
        <v>3.2441444166749775</v>
      </c>
    </row>
    <row r="4775" spans="3:7">
      <c r="C4775">
        <f ca="1"/>
        <v>1.2891603221930867</v>
      </c>
      <c r="D4775">
        <f ca="1"/>
        <v>-0.66859949007775454</v>
      </c>
      <c r="E4775">
        <f ca="1"/>
        <v>0.15548986373558726</v>
      </c>
      <c r="G4775">
        <f ca="1"/>
        <v>2.1331367121737279</v>
      </c>
    </row>
    <row r="4776" spans="3:7">
      <c r="C4776">
        <f ca="1"/>
        <v>0.18592031753023022</v>
      </c>
      <c r="D4776">
        <f ca="1"/>
        <v>0.1896863214265484</v>
      </c>
      <c r="E4776">
        <f ca="1"/>
        <v>0.2414157538607006</v>
      </c>
      <c r="G4776">
        <f ca="1"/>
        <v>0.12882883121900784</v>
      </c>
    </row>
    <row r="4777" spans="3:7">
      <c r="C4777">
        <f ca="1"/>
        <v>1.7942614733866702</v>
      </c>
      <c r="D4777">
        <f ca="1"/>
        <v>0.38265973438341067</v>
      </c>
      <c r="E4777">
        <f ca="1"/>
        <v>-0.98605581587076618</v>
      </c>
      <c r="G4777">
        <f ca="1"/>
        <v>4.3381087792106499</v>
      </c>
    </row>
    <row r="4778" spans="3:7">
      <c r="C4778">
        <f ca="1"/>
        <v>-0.73571393940674468</v>
      </c>
      <c r="D4778">
        <f ca="1"/>
        <v>-5.8146578793660558E-2</v>
      </c>
      <c r="E4778">
        <f ca="1"/>
        <v>0.85013517007201034</v>
      </c>
      <c r="G4778">
        <f ca="1"/>
        <v>1.2673858326561644</v>
      </c>
    </row>
    <row r="4779" spans="3:7">
      <c r="C4779">
        <f ca="1"/>
        <v>-0.99770036787943328</v>
      </c>
      <c r="D4779">
        <f ca="1"/>
        <v>-1.1470769817462605</v>
      </c>
      <c r="E4779">
        <f ca="1"/>
        <v>-1.2145738190436088</v>
      </c>
      <c r="G4779">
        <f ca="1"/>
        <v>3.7863811880250444</v>
      </c>
    </row>
    <row r="4780" spans="3:7">
      <c r="C4780">
        <f ca="1"/>
        <v>-0.5487811809075569</v>
      </c>
      <c r="D4780">
        <f ca="1"/>
        <v>-1.2940585095001087</v>
      </c>
      <c r="E4780">
        <f ca="1"/>
        <v>8.0068077321801642E-2</v>
      </c>
      <c r="G4780">
        <f ca="1"/>
        <v>1.9821591075339455</v>
      </c>
    </row>
    <row r="4781" spans="3:7">
      <c r="C4781">
        <f ca="1"/>
        <v>-4.8192865050221637E-3</v>
      </c>
      <c r="D4781">
        <f ca="1"/>
        <v>-1.4247212873706214</v>
      </c>
      <c r="E4781">
        <f ca="1"/>
        <v>-0.39346912855424837</v>
      </c>
      <c r="G4781">
        <f ca="1"/>
        <v>2.1846719273346578</v>
      </c>
    </row>
    <row r="4782" spans="3:7">
      <c r="C4782">
        <f ca="1"/>
        <v>-1.467624840905245</v>
      </c>
      <c r="D4782">
        <f ca="1"/>
        <v>-0.3613893443605849</v>
      </c>
      <c r="E4782">
        <f ca="1"/>
        <v>-0.23425109444456083</v>
      </c>
      <c r="G4782">
        <f ca="1"/>
        <v>2.3393985071079935</v>
      </c>
    </row>
    <row r="4783" spans="3:7">
      <c r="C4783">
        <f ca="1"/>
        <v>-1.9891404005819924</v>
      </c>
      <c r="D4783">
        <f ca="1"/>
        <v>-2.461046699238747</v>
      </c>
      <c r="E4783">
        <f ca="1"/>
        <v>0.83025550633464773</v>
      </c>
      <c r="G4783">
        <f ca="1"/>
        <v>10.702754594860423</v>
      </c>
    </row>
    <row r="4784" spans="3:7">
      <c r="C4784">
        <f ca="1"/>
        <v>0.89448842886950553</v>
      </c>
      <c r="D4784">
        <f ca="1"/>
        <v>-0.75917356557283033</v>
      </c>
      <c r="E4784">
        <f ca="1"/>
        <v>-0.96443580437771204</v>
      </c>
      <c r="G4784">
        <f ca="1"/>
        <v>2.3065904728116853</v>
      </c>
    </row>
    <row r="4785" spans="3:7">
      <c r="C4785">
        <f ca="1"/>
        <v>0.49072644636550528</v>
      </c>
      <c r="D4785">
        <f ca="1"/>
        <v>-1.0388858984422376</v>
      </c>
      <c r="E4785">
        <f ca="1"/>
        <v>1.17726484245481</v>
      </c>
      <c r="G4785">
        <f ca="1"/>
        <v>2.7060488644248011</v>
      </c>
    </row>
    <row r="4786" spans="3:7">
      <c r="C4786">
        <f ca="1"/>
        <v>0.21667719385817258</v>
      </c>
      <c r="D4786">
        <f ca="1"/>
        <v>-0.63580129746576786</v>
      </c>
      <c r="E4786">
        <f ca="1"/>
        <v>-2.0081075599798823</v>
      </c>
      <c r="G4786">
        <f ca="1"/>
        <v>4.4836882686457624</v>
      </c>
    </row>
    <row r="4787" spans="3:7">
      <c r="C4787">
        <f ca="1"/>
        <v>0.77544952630572872</v>
      </c>
      <c r="D4787">
        <f ca="1"/>
        <v>0.50365799960416058</v>
      </c>
      <c r="E4787">
        <f ca="1"/>
        <v>0.2548038524203069</v>
      </c>
      <c r="G4787">
        <f ca="1"/>
        <v>0.91991835162127322</v>
      </c>
    </row>
    <row r="4788" spans="3:7">
      <c r="C4788">
        <f ca="1"/>
        <v>1.1156610526953137</v>
      </c>
      <c r="D4788">
        <f ca="1"/>
        <v>-0.82339511111504604</v>
      </c>
      <c r="E4788">
        <f ca="1"/>
        <v>0.35569120089769596</v>
      </c>
      <c r="G4788">
        <f ca="1"/>
        <v>2.0491953239054195</v>
      </c>
    </row>
    <row r="4789" spans="3:7">
      <c r="C4789">
        <f ca="1"/>
        <v>0.28737759295484522</v>
      </c>
      <c r="D4789">
        <f ca="1"/>
        <v>-0.86815421401967185</v>
      </c>
      <c r="E4789">
        <f ca="1"/>
        <v>-0.43631160025653087</v>
      </c>
      <c r="G4789">
        <f ca="1"/>
        <v>1.0266454327710497</v>
      </c>
    </row>
    <row r="4790" spans="3:7">
      <c r="C4790">
        <f ca="1"/>
        <v>1.8834680019011039</v>
      </c>
      <c r="D4790">
        <f ca="1"/>
        <v>-0.11643208570103027</v>
      </c>
      <c r="E4790">
        <f ca="1"/>
        <v>-0.71597133796241141</v>
      </c>
      <c r="G4790">
        <f ca="1"/>
        <v>4.073623101549714</v>
      </c>
    </row>
    <row r="4791" spans="3:7">
      <c r="C4791">
        <f ca="1"/>
        <v>2.4578500341139518</v>
      </c>
      <c r="D4791">
        <f ca="1"/>
        <v>-2.70474811248353</v>
      </c>
      <c r="E4791">
        <f ca="1"/>
        <v>1.34769051620096</v>
      </c>
      <c r="G4791">
        <f ca="1"/>
        <v>15.172958869635181</v>
      </c>
    </row>
    <row r="4792" spans="3:7">
      <c r="C4792">
        <f ca="1"/>
        <v>-0.43559186277144119</v>
      </c>
      <c r="D4792">
        <f ca="1"/>
        <v>0.89136658166690008</v>
      </c>
      <c r="E4792">
        <f ca="1"/>
        <v>-6.7468102689957926E-2</v>
      </c>
      <c r="G4792">
        <f ca="1"/>
        <v>0.98882659870581124</v>
      </c>
    </row>
    <row r="4793" spans="3:7">
      <c r="C4793">
        <f ca="1"/>
        <v>1.5588408661247701</v>
      </c>
      <c r="D4793">
        <f ca="1"/>
        <v>-0.67050133604103435</v>
      </c>
      <c r="E4793">
        <f ca="1"/>
        <v>0.7472507140475293</v>
      </c>
      <c r="G4793">
        <f ca="1"/>
        <v>3.437940517177978</v>
      </c>
    </row>
    <row r="4794" spans="3:7">
      <c r="C4794">
        <f ca="1"/>
        <v>0.16139568581066946</v>
      </c>
      <c r="D4794">
        <f ca="1"/>
        <v>-3.8268064444537127E-2</v>
      </c>
      <c r="E4794">
        <f ca="1"/>
        <v>-0.23321371912214994</v>
      </c>
      <c r="G4794">
        <f ca="1"/>
        <v>8.1901650941412621E-2</v>
      </c>
    </row>
    <row r="4795" spans="3:7">
      <c r="C4795">
        <f ca="1"/>
        <v>-1.5639617845503473</v>
      </c>
      <c r="D4795">
        <f ca="1"/>
        <v>-1.5436128745812694</v>
      </c>
      <c r="E4795">
        <f ca="1"/>
        <v>-1.0419136233245161</v>
      </c>
      <c r="G4795">
        <f ca="1"/>
        <v>5.9143011685761779</v>
      </c>
    </row>
    <row r="4796" spans="3:7">
      <c r="C4796">
        <f ca="1"/>
        <v>0.13287253930653756</v>
      </c>
      <c r="D4796">
        <f ca="1"/>
        <v>-0.2790352426784331</v>
      </c>
      <c r="E4796">
        <f ca="1"/>
        <v>0.13521485257395344</v>
      </c>
      <c r="G4796">
        <f ca="1"/>
        <v>0.11379883471497539</v>
      </c>
    </row>
    <row r="4797" spans="3:7">
      <c r="C4797">
        <f ca="1"/>
        <v>1.4562466641707623</v>
      </c>
      <c r="D4797">
        <f ca="1"/>
        <v>8.3419161464906064E-2</v>
      </c>
      <c r="E4797">
        <f ca="1"/>
        <v>1.3041099059228232</v>
      </c>
      <c r="G4797">
        <f ca="1"/>
        <v>3.8283157501340157</v>
      </c>
    </row>
    <row r="4798" spans="3:7">
      <c r="C4798">
        <f ca="1"/>
        <v>0.36418206734720515</v>
      </c>
      <c r="D4798">
        <f ca="1"/>
        <v>-1.6313287405993797</v>
      </c>
      <c r="E4798">
        <f ca="1"/>
        <v>-0.3794751230318914</v>
      </c>
      <c r="G4798">
        <f ca="1"/>
        <v>2.9378634070829115</v>
      </c>
    </row>
    <row r="4799" spans="3:7">
      <c r="C4799">
        <f ca="1"/>
        <v>1.0350325975509522</v>
      </c>
      <c r="D4799">
        <f ca="1"/>
        <v>0.68268094465960238</v>
      </c>
      <c r="E4799">
        <f ca="1"/>
        <v>1.4849595354900702</v>
      </c>
      <c r="G4799">
        <f ca="1"/>
        <v>3.7424505722372841</v>
      </c>
    </row>
    <row r="4800" spans="3:7">
      <c r="C4800">
        <f ca="1"/>
        <v>1.6679573778149006</v>
      </c>
      <c r="D4800">
        <f ca="1"/>
        <v>0.60124326601225286</v>
      </c>
      <c r="E4800">
        <f ca="1"/>
        <v>0.28913612072416145</v>
      </c>
      <c r="G4800">
        <f ca="1"/>
        <v>3.2271749754396568</v>
      </c>
    </row>
    <row r="4801" spans="3:7">
      <c r="C4801">
        <f ca="1"/>
        <v>-0.46596626519451262</v>
      </c>
      <c r="D4801">
        <f ca="1"/>
        <v>0.76898830689003606</v>
      </c>
      <c r="E4801">
        <f ca="1"/>
        <v>1.3565281232032931</v>
      </c>
      <c r="G4801">
        <f ca="1"/>
        <v>2.648636125474376</v>
      </c>
    </row>
    <row r="4802" spans="3:7">
      <c r="C4802">
        <f ca="1"/>
        <v>0.3179958275330661</v>
      </c>
      <c r="D4802">
        <f ca="1"/>
        <v>-0.45589707646773298</v>
      </c>
      <c r="E4802">
        <f ca="1"/>
        <v>-0.73913587085540655</v>
      </c>
      <c r="G4802">
        <f ca="1"/>
        <v>0.85528532624544573</v>
      </c>
    </row>
    <row r="4803" spans="3:7">
      <c r="C4803">
        <f ca="1"/>
        <v>0.34768982085334327</v>
      </c>
      <c r="D4803">
        <f ca="1"/>
        <v>-1.2484621810533876</v>
      </c>
      <c r="E4803">
        <f ca="1"/>
        <v>0.5831496456233668</v>
      </c>
      <c r="G4803">
        <f ca="1"/>
        <v>2.0196095382362698</v>
      </c>
    </row>
    <row r="4804" spans="3:7">
      <c r="C4804">
        <f ca="1"/>
        <v>-0.49736705206761633</v>
      </c>
      <c r="D4804">
        <f ca="1"/>
        <v>0.50376710322113361</v>
      </c>
      <c r="E4804">
        <f ca="1"/>
        <v>-5.5833436027817755E-2</v>
      </c>
      <c r="G4804">
        <f ca="1"/>
        <v>0.50427265134891563</v>
      </c>
    </row>
    <row r="4805" spans="3:7">
      <c r="C4805">
        <f ca="1"/>
        <v>-1.9012441403632809</v>
      </c>
      <c r="D4805">
        <f ca="1"/>
        <v>1.8130957774130174</v>
      </c>
      <c r="E4805">
        <f ca="1"/>
        <v>0.38615997768008009</v>
      </c>
      <c r="G4805">
        <f ca="1"/>
        <v>7.0511651077005055</v>
      </c>
    </row>
    <row r="4806" spans="3:7">
      <c r="C4806">
        <f ca="1"/>
        <v>-0.43150299543666581</v>
      </c>
      <c r="D4806">
        <f ca="1"/>
        <v>0.22551585136479865</v>
      </c>
      <c r="E4806">
        <f ca="1"/>
        <v>0.27661601769768357</v>
      </c>
      <c r="G4806">
        <f ca="1"/>
        <v>0.31356865553453039</v>
      </c>
    </row>
    <row r="4807" spans="3:7">
      <c r="C4807">
        <f ca="1"/>
        <v>-1.0818377451830163</v>
      </c>
      <c r="D4807">
        <f ca="1"/>
        <v>0.4382225955285427</v>
      </c>
      <c r="E4807">
        <f ca="1"/>
        <v>-0.43506113040646066</v>
      </c>
      <c r="G4807">
        <f ca="1"/>
        <v>1.5516901373249929</v>
      </c>
    </row>
    <row r="4808" spans="3:7">
      <c r="C4808">
        <f ca="1"/>
        <v>0.61134270680748548</v>
      </c>
      <c r="D4808">
        <f ca="1"/>
        <v>3.4957958797324374E-3</v>
      </c>
      <c r="E4808">
        <f ca="1"/>
        <v>-2.2108364172859907</v>
      </c>
      <c r="G4808">
        <f ca="1"/>
        <v>5.2615497897534915</v>
      </c>
    </row>
    <row r="4809" spans="3:7">
      <c r="C4809">
        <f ca="1"/>
        <v>-0.33690145400524607</v>
      </c>
      <c r="D4809">
        <f ca="1"/>
        <v>-0.45159949738601363</v>
      </c>
      <c r="E4809">
        <f ca="1"/>
        <v>-0.94497078711517146</v>
      </c>
      <c r="G4809">
        <f ca="1"/>
        <v>1.2104144842512157</v>
      </c>
    </row>
    <row r="4810" spans="3:7">
      <c r="C4810">
        <f ca="1"/>
        <v>-1.8852006633048195</v>
      </c>
      <c r="D4810">
        <f ca="1"/>
        <v>2.7658500906885726</v>
      </c>
      <c r="E4810">
        <f ca="1"/>
        <v>-0.13998828376898653</v>
      </c>
      <c r="G4810">
        <f ca="1"/>
        <v>11.223504984679503</v>
      </c>
    </row>
    <row r="4811" spans="3:7">
      <c r="C4811">
        <f ca="1"/>
        <v>0.29040678359284666</v>
      </c>
      <c r="D4811">
        <f ca="1"/>
        <v>-0.18795402664098829</v>
      </c>
      <c r="E4811">
        <f ca="1"/>
        <v>-0.45739268389329801</v>
      </c>
      <c r="G4811">
        <f ca="1"/>
        <v>0.32887088336641823</v>
      </c>
    </row>
    <row r="4812" spans="3:7">
      <c r="C4812">
        <f ca="1"/>
        <v>0.94652608602237465</v>
      </c>
      <c r="D4812">
        <f ca="1"/>
        <v>5.9430747658576262E-2</v>
      </c>
      <c r="E4812">
        <f ca="1"/>
        <v>2.0084625738278623</v>
      </c>
      <c r="G4812">
        <f ca="1"/>
        <v>4.9333655557553344</v>
      </c>
    </row>
    <row r="4813" spans="3:7">
      <c r="C4813">
        <f ca="1"/>
        <v>-0.29140903157399001</v>
      </c>
      <c r="D4813">
        <f ca="1"/>
        <v>-0.10422180088715453</v>
      </c>
      <c r="E4813">
        <f ca="1"/>
        <v>0.359976550075368</v>
      </c>
      <c r="G4813">
        <f ca="1"/>
        <v>0.2253645240672163</v>
      </c>
    </row>
    <row r="4814" spans="3:7">
      <c r="C4814">
        <f ca="1"/>
        <v>0.34807383124565816</v>
      </c>
      <c r="D4814">
        <f ca="1"/>
        <v>-0.34774534023316805</v>
      </c>
      <c r="E4814">
        <f ca="1"/>
        <v>-0.69145363079925282</v>
      </c>
      <c r="G4814">
        <f ca="1"/>
        <v>0.72019033719738212</v>
      </c>
    </row>
    <row r="4815" spans="3:7">
      <c r="C4815">
        <f ca="1"/>
        <v>1.6311509664891071</v>
      </c>
      <c r="D4815">
        <f ca="1"/>
        <v>0.49246381239567777</v>
      </c>
      <c r="E4815">
        <f ca="1"/>
        <v>-0.99380777157152655</v>
      </c>
      <c r="G4815">
        <f ca="1"/>
        <v>3.8908279688335972</v>
      </c>
    </row>
    <row r="4816" spans="3:7">
      <c r="C4816">
        <f ca="1"/>
        <v>-0.95047475709152007</v>
      </c>
      <c r="D4816">
        <f ca="1"/>
        <v>-0.84539199243493768</v>
      </c>
      <c r="E4816">
        <f ca="1"/>
        <v>-0.28594599670967863</v>
      </c>
      <c r="G4816">
        <f ca="1"/>
        <v>1.6998549977755895</v>
      </c>
    </row>
    <row r="4817" spans="3:7">
      <c r="C4817">
        <f ca="1"/>
        <v>-0.63663091321073717</v>
      </c>
      <c r="D4817">
        <f ca="1"/>
        <v>0.13306785943619179</v>
      </c>
      <c r="E4817">
        <f ca="1"/>
        <v>-0.42237379457572433</v>
      </c>
      <c r="G4817">
        <f ca="1"/>
        <v>0.60140559721476339</v>
      </c>
    </row>
    <row r="4818" spans="3:7">
      <c r="C4818">
        <f ca="1"/>
        <v>-1.0981498916694303</v>
      </c>
      <c r="D4818">
        <f ca="1"/>
        <v>0.80674365956809679</v>
      </c>
      <c r="E4818">
        <f ca="1"/>
        <v>0.24557028519796129</v>
      </c>
      <c r="G4818">
        <f ca="1"/>
        <v>1.917073281799115</v>
      </c>
    </row>
    <row r="4819" spans="3:7">
      <c r="C4819">
        <f ca="1"/>
        <v>7.9302739148009671E-2</v>
      </c>
      <c r="D4819">
        <f ca="1"/>
        <v>1.107121258557062</v>
      </c>
      <c r="E4819">
        <f ca="1"/>
        <v>-1.0748826718341662</v>
      </c>
      <c r="G4819">
        <f ca="1"/>
        <v>2.3873791637947059</v>
      </c>
    </row>
    <row r="4820" spans="3:7">
      <c r="C4820">
        <f ca="1"/>
        <v>-2.5936506514116477E-2</v>
      </c>
      <c r="D4820">
        <f ca="1"/>
        <v>-0.17781030519792115</v>
      </c>
      <c r="E4820">
        <f ca="1"/>
        <v>1.2059118793697874</v>
      </c>
      <c r="G4820">
        <f ca="1"/>
        <v>1.4865126678099074</v>
      </c>
    </row>
    <row r="4821" spans="3:7">
      <c r="C4821">
        <f ca="1"/>
        <v>-1.6082393119081699</v>
      </c>
      <c r="D4821">
        <f ca="1"/>
        <v>-1.2267557795014121</v>
      </c>
      <c r="E4821">
        <f ca="1"/>
        <v>0.49665010978427176</v>
      </c>
      <c r="G4821">
        <f ca="1"/>
        <v>4.3380247584557106</v>
      </c>
    </row>
    <row r="4822" spans="3:7">
      <c r="C4822">
        <f ca="1"/>
        <v>0.22502825868042811</v>
      </c>
      <c r="D4822">
        <f ca="1"/>
        <v>0.52184026808257733</v>
      </c>
      <c r="E4822">
        <f ca="1"/>
        <v>-0.19615719002134036</v>
      </c>
      <c r="G4822">
        <f ca="1"/>
        <v>0.36143262579431013</v>
      </c>
    </row>
    <row r="4823" spans="3:7">
      <c r="C4823">
        <f ca="1"/>
        <v>1.1957993813684991</v>
      </c>
      <c r="D4823">
        <f ca="1"/>
        <v>0.39867564074892459</v>
      </c>
      <c r="E4823">
        <f ca="1"/>
        <v>-1.0112469235765258</v>
      </c>
      <c r="G4823">
        <f ca="1"/>
        <v>2.6114987674508385</v>
      </c>
    </row>
    <row r="4824" spans="3:7">
      <c r="C4824">
        <f ca="1"/>
        <v>1.9057231718456924</v>
      </c>
      <c r="D4824">
        <f ca="1"/>
        <v>1.0882607240121371</v>
      </c>
      <c r="E4824">
        <f ca="1"/>
        <v>-4.6956713515019129E-3</v>
      </c>
      <c r="G4824">
        <f ca="1"/>
        <v>4.8161142604664686</v>
      </c>
    </row>
    <row r="4825" spans="3:7">
      <c r="C4825">
        <f ca="1"/>
        <v>-1.5866377273930976</v>
      </c>
      <c r="D4825">
        <f ca="1"/>
        <v>-0.80240241360134312</v>
      </c>
      <c r="E4825">
        <f ca="1"/>
        <v>-4.0345881052399814E-2</v>
      </c>
      <c r="G4825">
        <f ca="1"/>
        <v>3.1628967014582887</v>
      </c>
    </row>
    <row r="4826" spans="3:7">
      <c r="C4826">
        <f ca="1"/>
        <v>-1.3415549357297301</v>
      </c>
      <c r="D4826">
        <f ca="1"/>
        <v>-0.7065298689685845</v>
      </c>
      <c r="E4826">
        <f ca="1"/>
        <v>-9.0420887138031245E-2</v>
      </c>
      <c r="G4826">
        <f ca="1"/>
        <v>2.3071300381563939</v>
      </c>
    </row>
    <row r="4827" spans="3:7">
      <c r="C4827">
        <f ca="1"/>
        <v>0.34160785633691781</v>
      </c>
      <c r="D4827">
        <f ca="1"/>
        <v>0.47132612465591461</v>
      </c>
      <c r="E4827">
        <f ca="1"/>
        <v>1.2172010816100229</v>
      </c>
      <c r="G4827">
        <f ca="1"/>
        <v>1.8204227163668769</v>
      </c>
    </row>
    <row r="4828" spans="3:7">
      <c r="C4828">
        <f ca="1"/>
        <v>-0.10674288198046594</v>
      </c>
      <c r="D4828">
        <f ca="1"/>
        <v>0.94704786336582014</v>
      </c>
      <c r="E4828">
        <f ca="1"/>
        <v>0.69927275130702726</v>
      </c>
      <c r="G4828">
        <f ca="1"/>
        <v>1.3972760790797603</v>
      </c>
    </row>
    <row r="4829" spans="3:7">
      <c r="C4829">
        <f ca="1"/>
        <v>0.36097379261445989</v>
      </c>
      <c r="D4829">
        <f ca="1"/>
        <v>-0.67003885454989376</v>
      </c>
      <c r="E4829">
        <f ca="1"/>
        <v>-2.9426799913365049</v>
      </c>
      <c r="G4829">
        <f ca="1"/>
        <v>9.2386196769732134</v>
      </c>
    </row>
    <row r="4830" spans="3:7">
      <c r="C4830">
        <f ca="1"/>
        <v>-1.175614824375508</v>
      </c>
      <c r="D4830">
        <f ca="1"/>
        <v>-1.3521235167812158</v>
      </c>
      <c r="E4830">
        <f ca="1"/>
        <v>-0.4318718087723456</v>
      </c>
      <c r="G4830">
        <f ca="1"/>
        <v>3.3968214791365567</v>
      </c>
    </row>
    <row r="4831" spans="3:7">
      <c r="C4831">
        <f ca="1"/>
        <v>2.8095931590808334</v>
      </c>
      <c r="D4831">
        <f ca="1"/>
        <v>0.93258196949010508</v>
      </c>
      <c r="E4831">
        <f ca="1"/>
        <v>-0.57197178200270127</v>
      </c>
      <c r="G4831">
        <f ca="1"/>
        <v>9.090674568779205</v>
      </c>
    </row>
    <row r="4832" spans="3:7">
      <c r="C4832">
        <f ca="1"/>
        <v>0.56399846777340834</v>
      </c>
      <c r="D4832">
        <f ca="1"/>
        <v>-1.1108821927674957</v>
      </c>
      <c r="E4832">
        <f ca="1"/>
        <v>0.13415104632316915</v>
      </c>
      <c r="G4832">
        <f ca="1"/>
        <v>1.5701500210882726</v>
      </c>
    </row>
    <row r="4833" spans="3:7">
      <c r="C4833">
        <f ca="1"/>
        <v>-1.2896171522759643</v>
      </c>
      <c r="D4833">
        <f ca="1"/>
        <v>0.64847296053166237</v>
      </c>
      <c r="E4833">
        <f ca="1"/>
        <v>1.019908658189274</v>
      </c>
      <c r="G4833">
        <f ca="1"/>
        <v>3.1238432510345122</v>
      </c>
    </row>
    <row r="4834" spans="3:7">
      <c r="C4834">
        <f ca="1"/>
        <v>0.49024637095833135</v>
      </c>
      <c r="D4834">
        <f ca="1"/>
        <v>0.29070324141097531</v>
      </c>
      <c r="E4834">
        <f ca="1"/>
        <v>-0.46983476600081214</v>
      </c>
      <c r="G4834">
        <f ca="1"/>
        <v>0.54559458614769951</v>
      </c>
    </row>
    <row r="4835" spans="3:7">
      <c r="C4835">
        <f ca="1"/>
        <v>5.6132846633355979E-2</v>
      </c>
      <c r="D4835">
        <f ca="1"/>
        <v>0.65678054226245641</v>
      </c>
      <c r="E4835">
        <f ca="1"/>
        <v>1.7585879710780252</v>
      </c>
      <c r="G4835">
        <f ca="1"/>
        <v>3.5271432291860552</v>
      </c>
    </row>
    <row r="4836" spans="3:7">
      <c r="C4836">
        <f ca="1"/>
        <v>-1.2179988400612995</v>
      </c>
      <c r="D4836">
        <f ca="1"/>
        <v>0.32340399523779878</v>
      </c>
      <c r="E4836">
        <f ca="1"/>
        <v>0.1348744502544352</v>
      </c>
      <c r="G4836">
        <f ca="1"/>
        <v>1.6063024358578775</v>
      </c>
    </row>
    <row r="4837" spans="3:7">
      <c r="C4837">
        <f ca="1"/>
        <v>1.6218142260272697</v>
      </c>
      <c r="D4837">
        <f ca="1"/>
        <v>-0.23793899962993564</v>
      </c>
      <c r="E4837">
        <f ca="1"/>
        <v>-1.2258322499017238</v>
      </c>
      <c r="G4837">
        <f ca="1"/>
        <v>4.1895610561884489</v>
      </c>
    </row>
    <row r="4838" spans="3:7">
      <c r="C4838">
        <f ca="1"/>
        <v>0.15037015060485986</v>
      </c>
      <c r="D4838">
        <f ca="1"/>
        <v>-1.2818823451323174</v>
      </c>
      <c r="E4838">
        <f ca="1"/>
        <v>0.10030371343452618</v>
      </c>
      <c r="G4838">
        <f ca="1"/>
        <v>1.6758943638836135</v>
      </c>
    </row>
    <row r="4839" spans="3:7">
      <c r="C4839">
        <f ca="1"/>
        <v>2.265993082240049E-2</v>
      </c>
      <c r="D4839">
        <f ca="1"/>
        <v>-0.22005923031553068</v>
      </c>
      <c r="E4839">
        <f ca="1"/>
        <v>0.61658518575656374</v>
      </c>
      <c r="G4839">
        <f ca="1"/>
        <v>0.42911682860639599</v>
      </c>
    </row>
    <row r="4840" spans="3:7">
      <c r="C4840">
        <f ca="1"/>
        <v>-0.6121358286093399</v>
      </c>
      <c r="D4840">
        <f ca="1"/>
        <v>-1.0436884371067678</v>
      </c>
      <c r="E4840">
        <f ca="1"/>
        <v>0.19036517764689578</v>
      </c>
      <c r="G4840">
        <f ca="1"/>
        <v>1.5002347272781449</v>
      </c>
    </row>
    <row r="4841" spans="3:7">
      <c r="C4841">
        <f ca="1"/>
        <v>0.58250802782659516</v>
      </c>
      <c r="D4841">
        <f ca="1"/>
        <v>0.47007201148125999</v>
      </c>
      <c r="E4841">
        <f ca="1"/>
        <v>0.39179493869827559</v>
      </c>
      <c r="G4841">
        <f ca="1"/>
        <v>0.71378657245005273</v>
      </c>
    </row>
    <row r="4842" spans="3:7">
      <c r="C4842">
        <f ca="1"/>
        <v>-0.19448685420228684</v>
      </c>
      <c r="D4842">
        <f ca="1"/>
        <v>-1.0596297824078416</v>
      </c>
      <c r="E4842">
        <f ca="1"/>
        <v>-4.3525158509076537E-3</v>
      </c>
      <c r="G4842">
        <f ca="1"/>
        <v>1.1606593566174237</v>
      </c>
    </row>
    <row r="4843" spans="3:7">
      <c r="C4843">
        <f ca="1"/>
        <v>0.9053975654731572</v>
      </c>
      <c r="D4843">
        <f ca="1"/>
        <v>0.17720297552530029</v>
      </c>
      <c r="E4843">
        <f ca="1"/>
        <v>1.0345236474749373</v>
      </c>
      <c r="G4843">
        <f ca="1"/>
        <v>1.9213848232845883</v>
      </c>
    </row>
    <row r="4844" spans="3:7">
      <c r="C4844">
        <f ca="1"/>
        <v>-6.7012430942682735E-2</v>
      </c>
      <c r="D4844">
        <f ca="1"/>
        <v>7.6179947225341353E-3</v>
      </c>
      <c r="E4844">
        <f ca="1"/>
        <v>0.19359640647319598</v>
      </c>
      <c r="G4844">
        <f ca="1"/>
        <v>4.20282683437753E-2</v>
      </c>
    </row>
    <row r="4845" spans="3:7">
      <c r="C4845">
        <f ca="1"/>
        <v>0.36963678319159854</v>
      </c>
      <c r="D4845">
        <f ca="1"/>
        <v>-0.39666423901633258</v>
      </c>
      <c r="E4845">
        <f ca="1"/>
        <v>-1.2962703995964064</v>
      </c>
      <c r="G4845">
        <f ca="1"/>
        <v>1.9742908188724664</v>
      </c>
    </row>
    <row r="4846" spans="3:7">
      <c r="C4846">
        <f ca="1"/>
        <v>-0.93545834496423586</v>
      </c>
      <c r="D4846">
        <f ca="1"/>
        <v>-0.45440845253441065</v>
      </c>
      <c r="E4846">
        <f ca="1"/>
        <v>2.0588271173093333</v>
      </c>
      <c r="G4846">
        <f ca="1"/>
        <v>5.3203384558662039</v>
      </c>
    </row>
    <row r="4847" spans="3:7">
      <c r="C4847">
        <f ca="1"/>
        <v>1.2051085724562597E-2</v>
      </c>
      <c r="D4847">
        <f ca="1"/>
        <v>0.37099630763458424</v>
      </c>
      <c r="E4847">
        <f ca="1"/>
        <v>1.0209736379603715</v>
      </c>
      <c r="G4847">
        <f ca="1"/>
        <v>1.1801706583556715</v>
      </c>
    </row>
    <row r="4848" spans="3:7">
      <c r="C4848">
        <f ca="1"/>
        <v>-0.97566390812303239</v>
      </c>
      <c r="D4848">
        <f ca="1"/>
        <v>1.3669776906966404</v>
      </c>
      <c r="E4848">
        <f ca="1"/>
        <v>-0.3441740494823971</v>
      </c>
      <c r="G4848">
        <f ca="1"/>
        <v>2.9390038448133402</v>
      </c>
    </row>
    <row r="4849" spans="3:7">
      <c r="C4849">
        <f ca="1"/>
        <v>1.0400101215787703</v>
      </c>
      <c r="D4849">
        <f ca="1"/>
        <v>0.73593389646656171</v>
      </c>
      <c r="E4849">
        <f ca="1"/>
        <v>-1.5027245417156916</v>
      </c>
      <c r="G4849">
        <f ca="1"/>
        <v>3.8814008012293799</v>
      </c>
    </row>
    <row r="4850" spans="3:7">
      <c r="C4850">
        <f ca="1"/>
        <v>-0.57634397358670664</v>
      </c>
      <c r="D4850">
        <f ca="1"/>
        <v>0.55817222513845743</v>
      </c>
      <c r="E4850">
        <f ca="1"/>
        <v>1.1180592032462429</v>
      </c>
      <c r="G4850">
        <f ca="1"/>
        <v>1.8937849907693547</v>
      </c>
    </row>
    <row r="4851" spans="3:7">
      <c r="C4851">
        <f ca="1"/>
        <v>-0.33927317024299447</v>
      </c>
      <c r="D4851">
        <f ca="1"/>
        <v>0.69287322044219213</v>
      </c>
      <c r="E4851">
        <f ca="1"/>
        <v>1.0394765724704169</v>
      </c>
      <c r="G4851">
        <f ca="1"/>
        <v>1.6756911283675124</v>
      </c>
    </row>
    <row r="4852" spans="3:7">
      <c r="C4852">
        <f ca="1"/>
        <v>1.9658019985847066</v>
      </c>
      <c r="D4852">
        <f ca="1"/>
        <v>1.2827999225315365</v>
      </c>
      <c r="E4852">
        <f ca="1"/>
        <v>0.58409516874808765</v>
      </c>
      <c r="G4852">
        <f ca="1"/>
        <v>5.8511203050414</v>
      </c>
    </row>
    <row r="4853" spans="3:7">
      <c r="C4853">
        <f ca="1"/>
        <v>-2.2554104763755678</v>
      </c>
      <c r="D4853">
        <f ca="1"/>
        <v>-0.1655637938013492</v>
      </c>
      <c r="E4853">
        <f ca="1"/>
        <v>-0.76771795868545156</v>
      </c>
      <c r="G4853">
        <f ca="1"/>
        <v>5.7036786508507173</v>
      </c>
    </row>
    <row r="4854" spans="3:7">
      <c r="C4854">
        <f ca="1"/>
        <v>-3.006810251764503E-2</v>
      </c>
      <c r="D4854">
        <f ca="1"/>
        <v>-1.0995569361455226</v>
      </c>
      <c r="E4854">
        <f ca="1"/>
        <v>-0.49367592012684236</v>
      </c>
      <c r="G4854">
        <f ca="1"/>
        <v>1.4536454607278251</v>
      </c>
    </row>
    <row r="4855" spans="3:7">
      <c r="C4855">
        <f ca="1"/>
        <v>1.3109828584911869</v>
      </c>
      <c r="D4855">
        <f ca="1"/>
        <v>-1.5799786140948258</v>
      </c>
      <c r="E4855">
        <f ca="1"/>
        <v>0.10606163835047355</v>
      </c>
      <c r="G4855">
        <f ca="1"/>
        <v>4.2262575473843169</v>
      </c>
    </row>
    <row r="4856" spans="3:7">
      <c r="C4856">
        <f ca="1"/>
        <v>0.22199719418362701</v>
      </c>
      <c r="D4856">
        <f ca="1"/>
        <v>0.12382560140934469</v>
      </c>
      <c r="E4856">
        <f ca="1"/>
        <v>-0.60177121828572333</v>
      </c>
      <c r="G4856">
        <f ca="1"/>
        <v>0.42674413294687258</v>
      </c>
    </row>
    <row r="4857" spans="3:7">
      <c r="C4857">
        <f ca="1"/>
        <v>0.43519741749686197</v>
      </c>
      <c r="D4857">
        <f ca="1"/>
        <v>-1.2013493695823183</v>
      </c>
      <c r="E4857">
        <f ca="1"/>
        <v>0.51864558811815065</v>
      </c>
      <c r="G4857">
        <f ca="1"/>
        <v>1.9016303460661941</v>
      </c>
    </row>
    <row r="4858" spans="3:7">
      <c r="C4858">
        <f ca="1"/>
        <v>0.8814858735271125</v>
      </c>
      <c r="D4858">
        <f ca="1"/>
        <v>0.9036573548380491</v>
      </c>
      <c r="E4858">
        <f ca="1"/>
        <v>-1.2042975323657037</v>
      </c>
      <c r="G4858">
        <f ca="1"/>
        <v>3.0439465066428797</v>
      </c>
    </row>
    <row r="4859" spans="3:7">
      <c r="C4859">
        <f ca="1"/>
        <v>1.4140161264190581</v>
      </c>
      <c r="D4859">
        <f ca="1"/>
        <v>1.1572761342748368</v>
      </c>
      <c r="E4859">
        <f ca="1"/>
        <v>-0.60710642901851763</v>
      </c>
      <c r="G4859">
        <f ca="1"/>
        <v>3.7073078728908841</v>
      </c>
    </row>
    <row r="4860" spans="3:7">
      <c r="C4860">
        <f ca="1"/>
        <v>-0.18368206646295704</v>
      </c>
      <c r="D4860">
        <f ca="1"/>
        <v>-1.4990888457335851</v>
      </c>
      <c r="E4860">
        <f ca="1"/>
        <v>-1.433530970387789</v>
      </c>
      <c r="G4860">
        <f ca="1"/>
        <v>4.3360175120039113</v>
      </c>
    </row>
    <row r="4861" spans="3:7">
      <c r="C4861">
        <f ca="1"/>
        <v>1.5659541004964534</v>
      </c>
      <c r="D4861">
        <f ca="1"/>
        <v>1.2408694071771742</v>
      </c>
      <c r="E4861">
        <f ca="1"/>
        <v>1.4006237446383241</v>
      </c>
      <c r="G4861">
        <f ca="1"/>
        <v>5.9537160045745701</v>
      </c>
    </row>
    <row r="4862" spans="3:7">
      <c r="C4862">
        <f ca="1"/>
        <v>0.76703406154479159</v>
      </c>
      <c r="D4862">
        <f ca="1"/>
        <v>1.315638439832499</v>
      </c>
      <c r="E4862">
        <f ca="1"/>
        <v>2.1415760037252576</v>
      </c>
      <c r="G4862">
        <f ca="1"/>
        <v>6.905593535666636</v>
      </c>
    </row>
    <row r="4863" spans="3:7">
      <c r="C4863">
        <f ca="1"/>
        <v>1.0734001756085771</v>
      </c>
      <c r="D4863">
        <f ca="1"/>
        <v>-0.18286613730274487</v>
      </c>
      <c r="E4863">
        <f ca="1"/>
        <v>-0.15293410806799645</v>
      </c>
      <c r="G4863">
        <f ca="1"/>
        <v>1.2090168025791042</v>
      </c>
    </row>
    <row r="4864" spans="3:7">
      <c r="C4864">
        <f ca="1"/>
        <v>-0.88883641373420808</v>
      </c>
      <c r="D4864">
        <f ca="1"/>
        <v>-0.62401534327471631</v>
      </c>
      <c r="E4864">
        <f ca="1"/>
        <v>0.47337684538664937</v>
      </c>
      <c r="G4864">
        <f ca="1"/>
        <v>1.4035109567703661</v>
      </c>
    </row>
    <row r="4865" spans="3:7">
      <c r="C4865">
        <f ca="1"/>
        <v>0.94402569119406488</v>
      </c>
      <c r="D4865">
        <f ca="1"/>
        <v>1.5988466392538001</v>
      </c>
      <c r="E4865">
        <f ca="1"/>
        <v>0.28718297179327862</v>
      </c>
      <c r="G4865">
        <f ca="1"/>
        <v>3.5299691407756222</v>
      </c>
    </row>
    <row r="4866" spans="3:7">
      <c r="C4866">
        <f ca="1"/>
        <v>0.49602559484292663</v>
      </c>
      <c r="D4866">
        <f ca="1"/>
        <v>0.94997927597945608</v>
      </c>
      <c r="E4866">
        <f ca="1"/>
        <v>-0.15456181133781763</v>
      </c>
      <c r="G4866">
        <f ca="1"/>
        <v>1.172391369053758</v>
      </c>
    </row>
    <row r="4867" spans="3:7">
      <c r="C4867">
        <f ca="1"/>
        <v>-0.26850162721983273</v>
      </c>
      <c r="D4867">
        <f ca="1"/>
        <v>0.68046167208561947</v>
      </c>
      <c r="E4867">
        <f ca="1"/>
        <v>2.6727040944993834</v>
      </c>
      <c r="G4867">
        <f ca="1"/>
        <v>7.6784683877510247</v>
      </c>
    </row>
    <row r="4868" spans="3:7">
      <c r="C4868">
        <f ca="1"/>
        <v>0.26603124902882291</v>
      </c>
      <c r="D4868">
        <f ca="1"/>
        <v>-1.5145235724839317</v>
      </c>
      <c r="E4868">
        <f ca="1"/>
        <v>-0.13692387030440087</v>
      </c>
      <c r="G4868">
        <f ca="1"/>
        <v>2.383302423328463</v>
      </c>
    </row>
    <row r="4869" spans="3:7">
      <c r="C4869">
        <f ca="1"/>
        <v>0.11704861356970853</v>
      </c>
      <c r="D4869">
        <f ca="1"/>
        <v>1.369554032761688</v>
      </c>
      <c r="E4869">
        <f ca="1"/>
        <v>0.24681923065522982</v>
      </c>
      <c r="G4869">
        <f ca="1"/>
        <v>1.9502983592136331</v>
      </c>
    </row>
    <row r="4870" spans="3:7">
      <c r="C4870">
        <f ca="1"/>
        <v>0.59525943560454697</v>
      </c>
      <c r="D4870">
        <f ca="1"/>
        <v>-0.5174053142137921</v>
      </c>
      <c r="E4870">
        <f ca="1"/>
        <v>0.66772008582420239</v>
      </c>
      <c r="G4870">
        <f ca="1"/>
        <v>1.0678921678659969</v>
      </c>
    </row>
    <row r="4871" spans="3:7">
      <c r="C4871">
        <f ca="1"/>
        <v>1.1688387797970694</v>
      </c>
      <c r="D4871">
        <f ca="1"/>
        <v>0.35589360642311885</v>
      </c>
      <c r="E4871">
        <f ca="1"/>
        <v>-0.55965138819025806</v>
      </c>
      <c r="G4871">
        <f ca="1"/>
        <v>1.8060540285536386</v>
      </c>
    </row>
    <row r="4872" spans="3:7">
      <c r="C4872">
        <f ca="1"/>
        <v>0.63109695306831837</v>
      </c>
      <c r="D4872">
        <f ca="1"/>
        <v>1.1471447457605695</v>
      </c>
      <c r="E4872">
        <f ca="1"/>
        <v>-0.16846740707169341</v>
      </c>
      <c r="G4872">
        <f ca="1"/>
        <v>1.7426056991436567</v>
      </c>
    </row>
    <row r="4873" spans="3:7">
      <c r="C4873">
        <f ca="1"/>
        <v>-0.72331921923461684</v>
      </c>
      <c r="D4873">
        <f ca="1"/>
        <v>0.221060230817968</v>
      </c>
      <c r="E4873">
        <f ca="1"/>
        <v>0.249457083368157</v>
      </c>
      <c r="G4873">
        <f ca="1"/>
        <v>0.63428715500601662</v>
      </c>
    </row>
    <row r="4874" spans="3:7">
      <c r="C4874">
        <f ca="1"/>
        <v>-0.67312784017143679</v>
      </c>
      <c r="D4874">
        <f ca="1"/>
        <v>4.0055153490326768E-2</v>
      </c>
      <c r="E4874">
        <f ca="1"/>
        <v>0.78474072733304367</v>
      </c>
      <c r="G4874">
        <f ca="1"/>
        <v>1.0705235136701914</v>
      </c>
    </row>
    <row r="4875" spans="3:7">
      <c r="C4875">
        <f ca="1"/>
        <v>1.3507489419508494</v>
      </c>
      <c r="D4875">
        <f ca="1"/>
        <v>0.24095756412783978</v>
      </c>
      <c r="E4875">
        <f ca="1"/>
        <v>-0.65873969063171367</v>
      </c>
      <c r="G4875">
        <f ca="1"/>
        <v>2.3165212319053268</v>
      </c>
    </row>
    <row r="4876" spans="3:7">
      <c r="C4876">
        <f ca="1"/>
        <v>2.9126679813000615E-3</v>
      </c>
      <c r="D4876">
        <f ca="1"/>
        <v>0.85844717539377069</v>
      </c>
      <c r="E4876">
        <f ca="1"/>
        <v>0.94046175526865383</v>
      </c>
      <c r="G4876">
        <f ca="1"/>
        <v>1.6214083496993099</v>
      </c>
    </row>
    <row r="4877" spans="3:7">
      <c r="C4877">
        <f ca="1"/>
        <v>-0.4927605872437627</v>
      </c>
      <c r="D4877">
        <f ca="1"/>
        <v>-0.14860444008231494</v>
      </c>
      <c r="E4877">
        <f ca="1"/>
        <v>-0.58078481109810576</v>
      </c>
      <c r="G4877">
        <f ca="1"/>
        <v>0.60220727275525854</v>
      </c>
    </row>
    <row r="4878" spans="3:7">
      <c r="C4878">
        <f ca="1"/>
        <v>-0.69106801368049553</v>
      </c>
      <c r="D4878">
        <f ca="1"/>
        <v>1.7862041263635013</v>
      </c>
      <c r="E4878">
        <f ca="1"/>
        <v>-0.45059379170066399</v>
      </c>
      <c r="G4878">
        <f ca="1"/>
        <v>3.8711349456894859</v>
      </c>
    </row>
    <row r="4879" spans="3:7">
      <c r="C4879">
        <f ca="1"/>
        <v>-0.12683417577109526</v>
      </c>
      <c r="D4879">
        <f ca="1"/>
        <v>-1.3797142924193677</v>
      </c>
      <c r="E4879">
        <f ca="1"/>
        <v>0.41576600616323495</v>
      </c>
      <c r="G4879">
        <f ca="1"/>
        <v>2.0925598087307367</v>
      </c>
    </row>
    <row r="4880" spans="3:7">
      <c r="C4880">
        <f ca="1"/>
        <v>1.6646092671022703</v>
      </c>
      <c r="D4880">
        <f ca="1"/>
        <v>1.0549907196934334</v>
      </c>
      <c r="E4880">
        <f ca="1"/>
        <v>-0.38780431644090918</v>
      </c>
      <c r="G4880">
        <f ca="1"/>
        <v>4.0343216186122266</v>
      </c>
    </row>
    <row r="4881" spans="3:7">
      <c r="C4881">
        <f ca="1"/>
        <v>-0.31052631570033717</v>
      </c>
      <c r="D4881">
        <f ca="1"/>
        <v>-0.88461996750227256</v>
      </c>
      <c r="E4881">
        <f ca="1"/>
        <v>-0.41901897498457247</v>
      </c>
      <c r="G4881">
        <f ca="1"/>
        <v>1.054555981043269</v>
      </c>
    </row>
    <row r="4882" spans="3:7">
      <c r="C4882">
        <f ca="1"/>
        <v>1.3521196127039827</v>
      </c>
      <c r="D4882">
        <f ca="1"/>
        <v>-0.12621739201216725</v>
      </c>
      <c r="E4882">
        <f ca="1"/>
        <v>0.66399399882461285</v>
      </c>
      <c r="G4882">
        <f ca="1"/>
        <v>2.2850463075802216</v>
      </c>
    </row>
    <row r="4883" spans="3:7">
      <c r="C4883">
        <f ca="1"/>
        <v>0.91414148162325159</v>
      </c>
      <c r="D4883">
        <f ca="1"/>
        <v>0.63110249744468727</v>
      </c>
      <c r="E4883">
        <f ca="1"/>
        <v>-0.60240212692673678</v>
      </c>
      <c r="G4883">
        <f ca="1"/>
        <v>1.5968333332311315</v>
      </c>
    </row>
    <row r="4884" spans="3:7">
      <c r="C4884">
        <f ca="1"/>
        <v>1.7066272691177713</v>
      </c>
      <c r="D4884">
        <f ca="1"/>
        <v>-1.384616528769022</v>
      </c>
      <c r="E4884">
        <f ca="1"/>
        <v>-0.38126870417101366</v>
      </c>
      <c r="G4884">
        <f ca="1"/>
        <v>4.9751053922170012</v>
      </c>
    </row>
    <row r="4885" spans="3:7">
      <c r="C4885">
        <f ca="1"/>
        <v>-1.0787143903763439</v>
      </c>
      <c r="D4885">
        <f ca="1"/>
        <v>-0.37694734833967103</v>
      </c>
      <c r="E4885">
        <f ca="1"/>
        <v>1.3611562582517962</v>
      </c>
      <c r="G4885">
        <f ca="1"/>
        <v>3.1584603988033466</v>
      </c>
    </row>
    <row r="4886" spans="3:7">
      <c r="C4886">
        <f ca="1"/>
        <v>-1.0016688550569319</v>
      </c>
      <c r="D4886">
        <f ca="1"/>
        <v>9.4362824322863456E-2</v>
      </c>
      <c r="E4886">
        <f ca="1"/>
        <v>1.3777448096919654E-2</v>
      </c>
      <c r="G4886">
        <f ca="1"/>
        <v>1.0124346558813158</v>
      </c>
    </row>
    <row r="4887" spans="3:7">
      <c r="C4887">
        <f ca="1"/>
        <v>-0.54602594348385303</v>
      </c>
      <c r="D4887">
        <f ca="1"/>
        <v>0.92428839253310235</v>
      </c>
      <c r="E4887">
        <f ca="1"/>
        <v>0.3856160898883112</v>
      </c>
      <c r="G4887">
        <f ca="1"/>
        <v>1.3011531323096082</v>
      </c>
    </row>
    <row r="4888" spans="3:7">
      <c r="C4888">
        <f ca="1"/>
        <v>0.53717920997737079</v>
      </c>
      <c r="D4888">
        <f ca="1"/>
        <v>0.51081815479404691</v>
      </c>
      <c r="E4888">
        <f ca="1"/>
        <v>0.19962076723631281</v>
      </c>
      <c r="G4888">
        <f ca="1"/>
        <v>0.58934514161112117</v>
      </c>
    </row>
    <row r="4889" spans="3:7">
      <c r="C4889">
        <f ca="1"/>
        <v>-0.85512812704633701</v>
      </c>
      <c r="D4889">
        <f ca="1"/>
        <v>-1.3372549305409323</v>
      </c>
      <c r="E4889">
        <f ca="1"/>
        <v>-0.4981167666528824</v>
      </c>
      <c r="G4889">
        <f ca="1"/>
        <v>2.7676151761425318</v>
      </c>
    </row>
    <row r="4890" spans="3:7">
      <c r="C4890">
        <f ca="1"/>
        <v>0.7473002082830239</v>
      </c>
      <c r="D4890">
        <f ca="1"/>
        <v>5.7947269702640965E-3</v>
      </c>
      <c r="E4890">
        <f ca="1"/>
        <v>1.1645071733002101</v>
      </c>
      <c r="G4890">
        <f ca="1"/>
        <v>1.9145681368281564</v>
      </c>
    </row>
    <row r="4891" spans="3:7">
      <c r="C4891">
        <f ca="1"/>
        <v>1.5018685042361977</v>
      </c>
      <c r="D4891">
        <f ca="1"/>
        <v>0.55437155095314528</v>
      </c>
      <c r="E4891">
        <f ca="1"/>
        <v>-0.14991194673280195</v>
      </c>
      <c r="G4891">
        <f ca="1"/>
        <v>2.5854104122960884</v>
      </c>
    </row>
    <row r="4892" spans="3:7">
      <c r="C4892">
        <f ca="1"/>
        <v>-3.1293259112728431</v>
      </c>
      <c r="D4892">
        <f ca="1"/>
        <v>0.47350930472090147</v>
      </c>
      <c r="E4892">
        <f ca="1"/>
        <v>-0.19642152267490004</v>
      </c>
      <c r="G4892">
        <f ca="1"/>
        <v>10.055473135190807</v>
      </c>
    </row>
    <row r="4893" spans="3:7">
      <c r="C4893">
        <f ca="1"/>
        <v>0.87625661989757986</v>
      </c>
      <c r="D4893">
        <f ca="1"/>
        <v>0.81430803302440335</v>
      </c>
      <c r="E4893">
        <f ca="1"/>
        <v>0.88941064582758655</v>
      </c>
      <c r="G4893">
        <f ca="1"/>
        <v>2.221974533473849</v>
      </c>
    </row>
    <row r="4894" spans="3:7">
      <c r="C4894">
        <f ca="1"/>
        <v>-0.28476544248325253</v>
      </c>
      <c r="D4894">
        <f ca="1"/>
        <v>1.8013695819058948</v>
      </c>
      <c r="E4894">
        <f ca="1"/>
        <v>-0.28372996708647108</v>
      </c>
      <c r="G4894">
        <f ca="1"/>
        <v>3.4065264220713911</v>
      </c>
    </row>
    <row r="4895" spans="3:7">
      <c r="C4895">
        <f ca="1"/>
        <v>-1.2202759970511423</v>
      </c>
      <c r="D4895">
        <f ca="1"/>
        <v>-0.78779316031184798</v>
      </c>
      <c r="E4895">
        <f ca="1"/>
        <v>-0.84265383833114149</v>
      </c>
      <c r="G4895">
        <f ca="1"/>
        <v>2.819757063667494</v>
      </c>
    </row>
    <row r="4896" spans="3:7">
      <c r="C4896">
        <f ca="1"/>
        <v>-1.1038989466153519</v>
      </c>
      <c r="D4896">
        <f ca="1"/>
        <v>9.5769683492919561E-2</v>
      </c>
      <c r="E4896">
        <f ca="1"/>
        <v>0.51411481988720775</v>
      </c>
      <c r="G4896">
        <f ca="1"/>
        <v>1.4920787646424736</v>
      </c>
    </row>
    <row r="4897" spans="3:7">
      <c r="C4897">
        <f ca="1"/>
        <v>0.39647716907151892</v>
      </c>
      <c r="D4897">
        <f ca="1"/>
        <v>-0.82940234940759749</v>
      </c>
      <c r="E4897">
        <f ca="1"/>
        <v>0.36272829016593422</v>
      </c>
      <c r="G4897">
        <f ca="1"/>
        <v>0.97667421528451037</v>
      </c>
    </row>
    <row r="4898" spans="3:7">
      <c r="C4898">
        <f ca="1"/>
        <v>-0.43013795548769923</v>
      </c>
      <c r="D4898">
        <f ca="1"/>
        <v>-0.50073536936873841</v>
      </c>
      <c r="E4898">
        <f ca="1"/>
        <v>-0.76733620727320351</v>
      </c>
      <c r="G4898">
        <f ca="1"/>
        <v>1.0245594258804096</v>
      </c>
    </row>
    <row r="4899" spans="3:7">
      <c r="C4899">
        <f ca="1"/>
        <v>-2.5902754050729704</v>
      </c>
      <c r="D4899">
        <f ca="1"/>
        <v>1.5410482010216855</v>
      </c>
      <c r="E4899">
        <f ca="1"/>
        <v>-0.23755847998766239</v>
      </c>
      <c r="G4899">
        <f ca="1"/>
        <v>9.1407902634121641</v>
      </c>
    </row>
    <row r="4900" spans="3:7">
      <c r="C4900">
        <f ca="1"/>
        <v>1.1609231183979429</v>
      </c>
      <c r="D4900">
        <f ca="1"/>
        <v>0.58912482828372825</v>
      </c>
      <c r="E4900">
        <f ca="1"/>
        <v>-0.11537875963723264</v>
      </c>
      <c r="G4900">
        <f ca="1"/>
        <v>1.7081228083065629</v>
      </c>
    </row>
    <row r="4901" spans="3:7">
      <c r="C4901">
        <f ca="1"/>
        <v>1.1489718357453989</v>
      </c>
      <c r="D4901">
        <f ca="1"/>
        <v>-0.53419438994158008</v>
      </c>
      <c r="E4901">
        <f ca="1"/>
        <v>-1.3803546988613133</v>
      </c>
      <c r="G4901">
        <f ca="1"/>
        <v>3.5108790202497158</v>
      </c>
    </row>
    <row r="4902" spans="3:7">
      <c r="C4902">
        <f ca="1"/>
        <v>-0.49058422309979877</v>
      </c>
      <c r="D4902">
        <f ca="1"/>
        <v>-0.4230962485889086</v>
      </c>
      <c r="E4902">
        <f ca="1"/>
        <v>-2.2655168567160041E-2</v>
      </c>
      <c r="G4902">
        <f ca="1"/>
        <v>0.4201965721872471</v>
      </c>
    </row>
    <row r="4903" spans="3:7">
      <c r="C4903">
        <f ca="1"/>
        <v>0.11795088416863164</v>
      </c>
      <c r="D4903">
        <f ca="1"/>
        <v>-0.20664782986705918</v>
      </c>
      <c r="E4903">
        <f ca="1"/>
        <v>0.85725720298204877</v>
      </c>
      <c r="G4903">
        <f ca="1"/>
        <v>0.79150564872953255</v>
      </c>
    </row>
    <row r="4904" spans="3:7">
      <c r="C4904">
        <f ca="1"/>
        <v>0.61133774038125677</v>
      </c>
      <c r="D4904">
        <f ca="1"/>
        <v>1.4402952499276784</v>
      </c>
      <c r="E4904">
        <f ca="1"/>
        <v>0.82165893369936105</v>
      </c>
      <c r="G4904">
        <f ca="1"/>
        <v>3.1233076431066658</v>
      </c>
    </row>
    <row r="4905" spans="3:7">
      <c r="C4905">
        <f ca="1"/>
        <v>6.1463275367864816E-3</v>
      </c>
      <c r="D4905">
        <f ca="1"/>
        <v>0.25210901359692056</v>
      </c>
      <c r="E4905">
        <f ca="1"/>
        <v>1.657228204559144</v>
      </c>
      <c r="G4905">
        <f ca="1"/>
        <v>2.8100020540653259</v>
      </c>
    </row>
    <row r="4906" spans="3:7">
      <c r="C4906">
        <f ca="1"/>
        <v>0.67452658186821357</v>
      </c>
      <c r="D4906">
        <f ca="1"/>
        <v>-1.7960290333650129</v>
      </c>
      <c r="E4906">
        <f ca="1"/>
        <v>0.33698837390700098</v>
      </c>
      <c r="G4906">
        <f ca="1"/>
        <v>3.7942675624853632</v>
      </c>
    </row>
    <row r="4907" spans="3:7">
      <c r="C4907">
        <f ca="1"/>
        <v>-1.0544785831809047</v>
      </c>
      <c r="D4907">
        <f ca="1"/>
        <v>0.34857976818553277</v>
      </c>
      <c r="E4907">
        <f ca="1"/>
        <v>-0.25189230063496887</v>
      </c>
      <c r="G4907">
        <f ca="1"/>
        <v>1.2968826682946655</v>
      </c>
    </row>
    <row r="4908" spans="3:7">
      <c r="C4908">
        <f ca="1"/>
        <v>-0.16079229734075198</v>
      </c>
      <c r="D4908">
        <f ca="1"/>
        <v>-4.7559009366818457E-2</v>
      </c>
      <c r="E4908">
        <f ca="1"/>
        <v>-0.76294393596031507</v>
      </c>
      <c r="G4908">
        <f ca="1"/>
        <v>0.61019947167468724</v>
      </c>
    </row>
    <row r="4909" spans="3:7">
      <c r="C4909">
        <f ca="1"/>
        <v>-0.59978249796175653</v>
      </c>
      <c r="D4909">
        <f ca="1"/>
        <v>-0.82231193923666934</v>
      </c>
      <c r="E4909">
        <f ca="1"/>
        <v>0.31525312639546055</v>
      </c>
      <c r="G4909">
        <f ca="1"/>
        <v>1.1353205039745284</v>
      </c>
    </row>
    <row r="4910" spans="3:7">
      <c r="C4910">
        <f ca="1"/>
        <v>0.13855131514610344</v>
      </c>
      <c r="D4910">
        <f ca="1"/>
        <v>0.38633055010597489</v>
      </c>
      <c r="E4910">
        <f ca="1"/>
        <v>1.198468913399652</v>
      </c>
      <c r="G4910">
        <f ca="1"/>
        <v>1.6047754972592427</v>
      </c>
    </row>
    <row r="4911" spans="3:7">
      <c r="C4911">
        <f ca="1"/>
        <v>-0.19826812986694009</v>
      </c>
      <c r="D4911">
        <f ca="1"/>
        <v>-2.0247826612545023</v>
      </c>
      <c r="E4911">
        <f ca="1"/>
        <v>0.64542808245071759</v>
      </c>
      <c r="G4911">
        <f ca="1"/>
        <v>4.5556324862538098</v>
      </c>
    </row>
    <row r="4912" spans="3:7">
      <c r="C4912">
        <f ca="1"/>
        <v>-0.65286167547654528</v>
      </c>
      <c r="D4912">
        <f ca="1"/>
        <v>0.2089091485027913</v>
      </c>
      <c r="E4912">
        <f ca="1"/>
        <v>-0.68431303482207706</v>
      </c>
      <c r="G4912">
        <f ca="1"/>
        <v>0.93815572926160451</v>
      </c>
    </row>
    <row r="4913" spans="3:7">
      <c r="C4913">
        <f ca="1"/>
        <v>0.43757043010362423</v>
      </c>
      <c r="D4913">
        <f ca="1"/>
        <v>0.7690327071837445</v>
      </c>
      <c r="E4913">
        <f ca="1"/>
        <v>1.4281203416741106</v>
      </c>
      <c r="G4913">
        <f ca="1"/>
        <v>2.8224068963228079</v>
      </c>
    </row>
    <row r="4914" spans="3:7">
      <c r="C4914">
        <f ca="1"/>
        <v>0.1922662536514349</v>
      </c>
      <c r="D4914">
        <f ca="1"/>
        <v>0.1802799235643946</v>
      </c>
      <c r="E4914">
        <f ca="1"/>
        <v>-0.73962791157676799</v>
      </c>
      <c r="G4914">
        <f ca="1"/>
        <v>0.61651661071695318</v>
      </c>
    </row>
    <row r="4915" spans="3:7">
      <c r="C4915">
        <f ca="1"/>
        <v>0.90702998010570202</v>
      </c>
      <c r="D4915">
        <f ca="1"/>
        <v>1.4134649856177945</v>
      </c>
      <c r="E4915">
        <f ca="1"/>
        <v>-0.97979231074735473</v>
      </c>
      <c r="G4915">
        <f ca="1"/>
        <v>3.7805796225777031</v>
      </c>
    </row>
    <row r="4916" spans="3:7">
      <c r="C4916">
        <f ca="1"/>
        <v>1.9861568738411437</v>
      </c>
      <c r="D4916">
        <f ca="1"/>
        <v>0.54636892532563808</v>
      </c>
      <c r="E4916">
        <f ca="1"/>
        <v>-0.87161300823373478</v>
      </c>
      <c r="G4916">
        <f ca="1"/>
        <v>5.0030473661901782</v>
      </c>
    </row>
    <row r="4917" spans="3:7">
      <c r="C4917">
        <f ca="1"/>
        <v>-0.9673840105719349</v>
      </c>
      <c r="D4917">
        <f ca="1"/>
        <v>1.4885485910979321</v>
      </c>
      <c r="E4917">
        <f ca="1"/>
        <v>-0.37085424176363313</v>
      </c>
      <c r="G4917">
        <f ca="1"/>
        <v>3.2891416006039589</v>
      </c>
    </row>
    <row r="4918" spans="3:7">
      <c r="C4918">
        <f ca="1"/>
        <v>-0.9931978832280649</v>
      </c>
      <c r="D4918">
        <f ca="1"/>
        <v>-0.47271910834188258</v>
      </c>
      <c r="E4918">
        <f ca="1"/>
        <v>-0.98326208434854279</v>
      </c>
      <c r="G4918">
        <f ca="1"/>
        <v>2.1767097171576943</v>
      </c>
    </row>
    <row r="4919" spans="3:7">
      <c r="C4919">
        <f ca="1"/>
        <v>-1.0904339452465124</v>
      </c>
      <c r="D4919">
        <f ca="1"/>
        <v>-1.7709180388775025</v>
      </c>
      <c r="E4919">
        <f ca="1"/>
        <v>0.76352835918423778</v>
      </c>
      <c r="G4919">
        <f ca="1"/>
        <v>4.9081724446461878</v>
      </c>
    </row>
    <row r="4920" spans="3:7">
      <c r="C4920">
        <f ca="1"/>
        <v>-0.64589043796088763</v>
      </c>
      <c r="D4920">
        <f ca="1"/>
        <v>-1.0988046677213537</v>
      </c>
      <c r="E4920">
        <f ca="1"/>
        <v>-1.3485034353152354</v>
      </c>
      <c r="G4920">
        <f ca="1"/>
        <v>3.4430076707125332</v>
      </c>
    </row>
    <row r="4921" spans="3:7">
      <c r="C4921">
        <f ca="1"/>
        <v>0.15036358700045299</v>
      </c>
      <c r="D4921">
        <f ca="1"/>
        <v>0.15102074967323198</v>
      </c>
      <c r="E4921">
        <f ca="1"/>
        <v>1.6153472552845449</v>
      </c>
      <c r="G4921">
        <f ca="1"/>
        <v>2.6547632302828208</v>
      </c>
    </row>
    <row r="4922" spans="3:7">
      <c r="C4922">
        <f ca="1"/>
        <v>-0.83187517040813097</v>
      </c>
      <c r="D4922">
        <f ca="1"/>
        <v>0.84374927272133826</v>
      </c>
      <c r="E4922">
        <f ca="1"/>
        <v>0.37074766744194193</v>
      </c>
      <c r="G4922">
        <f ca="1"/>
        <v>1.5413829672729851</v>
      </c>
    </row>
    <row r="4923" spans="3:7">
      <c r="C4923">
        <f ca="1"/>
        <v>-1.5256928479964014</v>
      </c>
      <c r="D4923">
        <f ca="1"/>
        <v>0.70063765213631313</v>
      </c>
      <c r="E4923">
        <f ca="1"/>
        <v>1.1582829109241477</v>
      </c>
      <c r="G4923">
        <f ca="1"/>
        <v>4.1602510877573726</v>
      </c>
    </row>
    <row r="4924" spans="3:7">
      <c r="C4924">
        <f ca="1"/>
        <v>0.96590756507071307</v>
      </c>
      <c r="D4924">
        <f ca="1"/>
        <v>8.3670580762004454E-2</v>
      </c>
      <c r="E4924">
        <f ca="1"/>
        <v>-4.627835335275015E-2</v>
      </c>
      <c r="G4924">
        <f ca="1"/>
        <v>0.94211987633492689</v>
      </c>
    </row>
    <row r="4925" spans="3:7">
      <c r="C4925">
        <f ca="1"/>
        <v>-0.21147654329800969</v>
      </c>
      <c r="D4925">
        <f ca="1"/>
        <v>1.8159213539083481</v>
      </c>
      <c r="E4925">
        <f ca="1"/>
        <v>0.60772248108147453</v>
      </c>
      <c r="G4925">
        <f ca="1"/>
        <v>3.7116193059574263</v>
      </c>
    </row>
    <row r="4926" spans="3:7">
      <c r="C4926">
        <f ca="1"/>
        <v>0.60770163820196199</v>
      </c>
      <c r="D4926">
        <f ca="1"/>
        <v>1.8926717011275938</v>
      </c>
      <c r="E4926">
        <f ca="1"/>
        <v>1.7301801848079805</v>
      </c>
      <c r="G4926">
        <f ca="1"/>
        <v>6.9450309212247454</v>
      </c>
    </row>
    <row r="4927" spans="3:7">
      <c r="C4927">
        <f ca="1"/>
        <v>-1.9747822551484697</v>
      </c>
      <c r="D4927">
        <f ca="1"/>
        <v>-1.5370199610007418</v>
      </c>
      <c r="E4927">
        <f ca="1"/>
        <v>0.73757479118622571</v>
      </c>
      <c r="G4927">
        <f ca="1"/>
        <v>6.806211888357403</v>
      </c>
    </row>
    <row r="4928" spans="3:7">
      <c r="C4928">
        <f ca="1"/>
        <v>1.2691964673211487</v>
      </c>
      <c r="D4928">
        <f ca="1"/>
        <v>-1.2903088287866127</v>
      </c>
      <c r="E4928">
        <f ca="1"/>
        <v>1.201685475291248</v>
      </c>
      <c r="G4928">
        <f ca="1"/>
        <v>4.7198045278311165</v>
      </c>
    </row>
    <row r="4929" spans="3:7">
      <c r="C4929">
        <f ca="1"/>
        <v>-1.0779812995978426</v>
      </c>
      <c r="D4929">
        <f ca="1"/>
        <v>-2.2889124501974719E-2</v>
      </c>
      <c r="E4929">
        <f ca="1"/>
        <v>-5.4863669127262579E-2</v>
      </c>
      <c r="G4929">
        <f ca="1"/>
        <v>1.1655776164932263</v>
      </c>
    </row>
    <row r="4930" spans="3:7">
      <c r="C4930">
        <f ca="1"/>
        <v>-0.64560385164640699</v>
      </c>
      <c r="D4930">
        <f ca="1"/>
        <v>-1.3970213617205171E-2</v>
      </c>
      <c r="E4930">
        <f ca="1"/>
        <v>-0.37899157986595799</v>
      </c>
      <c r="G4930">
        <f ca="1"/>
        <v>0.56063411773848104</v>
      </c>
    </row>
    <row r="4931" spans="3:7">
      <c r="C4931">
        <f ca="1"/>
        <v>-0.10800264465017781</v>
      </c>
      <c r="D4931">
        <f ca="1"/>
        <v>-0.38058831738791327</v>
      </c>
      <c r="E4931">
        <f ca="1"/>
        <v>0.90447857653830765</v>
      </c>
      <c r="G4931">
        <f ca="1"/>
        <v>0.97459353400035886</v>
      </c>
    </row>
    <row r="4932" spans="3:7">
      <c r="C4932">
        <f ca="1"/>
        <v>-1.7048525876329705</v>
      </c>
      <c r="D4932">
        <f ca="1"/>
        <v>0.45903726777360343</v>
      </c>
      <c r="E4932">
        <f ca="1"/>
        <v>0.57352044073536868</v>
      </c>
      <c r="G4932">
        <f ca="1"/>
        <v>3.4461632547051821</v>
      </c>
    </row>
    <row r="4933" spans="3:7">
      <c r="C4933">
        <f ca="1"/>
        <v>1.0476910212373034</v>
      </c>
      <c r="D4933">
        <f ca="1"/>
        <v>-1.3287247393084161</v>
      </c>
      <c r="E4933">
        <f ca="1"/>
        <v>-0.26758559499268997</v>
      </c>
      <c r="G4933">
        <f ca="1"/>
        <v>2.9347679594790734</v>
      </c>
    </row>
    <row r="4934" spans="3:7">
      <c r="C4934">
        <f ca="1"/>
        <v>-0.9824934671731157</v>
      </c>
      <c r="D4934">
        <f ca="1"/>
        <v>0.19456257715745467</v>
      </c>
      <c r="E4934">
        <f ca="1"/>
        <v>0.48316239463326788</v>
      </c>
      <c r="G4934">
        <f ca="1"/>
        <v>1.2365939090557545</v>
      </c>
    </row>
    <row r="4935" spans="3:7">
      <c r="C4935">
        <f ca="1"/>
        <v>-3.6922426113709779E-2</v>
      </c>
      <c r="D4935">
        <f ca="1"/>
        <v>1.0472024823598565</v>
      </c>
      <c r="E4935">
        <f ca="1"/>
        <v>-0.55576694124807846</v>
      </c>
      <c r="G4935">
        <f ca="1"/>
        <v>1.4068731975950131</v>
      </c>
    </row>
    <row r="4936" spans="3:7">
      <c r="C4936">
        <f ca="1"/>
        <v>1.7613717697274951</v>
      </c>
      <c r="D4936">
        <f ca="1"/>
        <v>-0.59943439919077723</v>
      </c>
      <c r="E4936">
        <f ca="1"/>
        <v>0.66902629076017728</v>
      </c>
      <c r="G4936">
        <f ca="1"/>
        <v>3.9093482878544972</v>
      </c>
    </row>
    <row r="4937" spans="3:7">
      <c r="C4937">
        <f ca="1"/>
        <v>-0.3144622525785607</v>
      </c>
      <c r="D4937">
        <f ca="1"/>
        <v>-0.76644779348174963</v>
      </c>
      <c r="E4937">
        <f ca="1"/>
        <v>-1.5746524928897792</v>
      </c>
      <c r="G4937">
        <f ca="1"/>
        <v>3.165859201793821</v>
      </c>
    </row>
    <row r="4938" spans="3:7">
      <c r="C4938">
        <f ca="1"/>
        <v>-1.9554195290954226</v>
      </c>
      <c r="D4938">
        <f ca="1"/>
        <v>0.89506533648120223</v>
      </c>
      <c r="E4938">
        <f ca="1"/>
        <v>2.2681972651091789</v>
      </c>
      <c r="G4938">
        <f ca="1"/>
        <v>9.7695263247867299</v>
      </c>
    </row>
    <row r="4939" spans="3:7">
      <c r="C4939">
        <f ca="1"/>
        <v>-1.1080012373345831</v>
      </c>
      <c r="D4939">
        <f ca="1"/>
        <v>-1.1636339477640414</v>
      </c>
      <c r="E4939">
        <f ca="1"/>
        <v>-0.5094027949442137</v>
      </c>
      <c r="G4939">
        <f ca="1"/>
        <v>2.8412019138208713</v>
      </c>
    </row>
    <row r="4940" spans="3:7">
      <c r="C4940">
        <f ca="1"/>
        <v>-0.60352211930333166</v>
      </c>
      <c r="D4940">
        <f ca="1"/>
        <v>-0.10370816233991773</v>
      </c>
      <c r="E4940">
        <f ca="1"/>
        <v>-3.9816076288998324E-2</v>
      </c>
      <c r="G4940">
        <f ca="1"/>
        <v>0.37657965135535892</v>
      </c>
    </row>
    <row r="4941" spans="3:7">
      <c r="C4941">
        <f ca="1"/>
        <v>1.7516027486471857</v>
      </c>
      <c r="D4941">
        <f ca="1"/>
        <v>-6.09092200548243E-3</v>
      </c>
      <c r="E4941">
        <f ca="1"/>
        <v>0.39963060097308506</v>
      </c>
      <c r="G4941">
        <f ca="1"/>
        <v>3.2278539056333617</v>
      </c>
    </row>
    <row r="4942" spans="3:7">
      <c r="C4942">
        <f ca="1"/>
        <v>-8.5850052731759524E-2</v>
      </c>
      <c r="D4942">
        <f ca="1"/>
        <v>-0.15754481287552755</v>
      </c>
      <c r="E4942">
        <f ca="1"/>
        <v>-1.9623979739222204</v>
      </c>
      <c r="G4942">
        <f ca="1"/>
        <v>3.8831964076720662</v>
      </c>
    </row>
    <row r="4943" spans="3:7">
      <c r="C4943">
        <f ca="1"/>
        <v>0.20508892053399511</v>
      </c>
      <c r="D4943">
        <f ca="1"/>
        <v>0.22301998191322706</v>
      </c>
      <c r="E4943">
        <f ca="1"/>
        <v>-7.9193498232231735E-2</v>
      </c>
      <c r="G4943">
        <f ca="1"/>
        <v>9.8070987820633976E-2</v>
      </c>
    </row>
    <row r="4944" spans="3:7">
      <c r="C4944">
        <f ca="1"/>
        <v>1.1451263425915599</v>
      </c>
      <c r="D4944">
        <f ca="1"/>
        <v>0.81155127587882225</v>
      </c>
      <c r="E4944">
        <f ca="1"/>
        <v>-0.40055927555967813</v>
      </c>
      <c r="G4944">
        <f ca="1"/>
        <v>2.130377547114561</v>
      </c>
    </row>
    <row r="4945" spans="3:7">
      <c r="C4945">
        <f ca="1"/>
        <v>-0.31983520403039595</v>
      </c>
      <c r="D4945">
        <f ca="1"/>
        <v>-1.2751678083625906</v>
      </c>
      <c r="E4945">
        <f ca="1"/>
        <v>0.60886145728314645</v>
      </c>
      <c r="G4945">
        <f ca="1"/>
        <v>2.0990597713863743</v>
      </c>
    </row>
    <row r="4946" spans="3:7">
      <c r="C4946">
        <f ca="1"/>
        <v>-0.91433351887180259</v>
      </c>
      <c r="D4946">
        <f ca="1"/>
        <v>1.0226022139414781</v>
      </c>
      <c r="E4946">
        <f ca="1"/>
        <v>0.59512507986752494</v>
      </c>
      <c r="G4946">
        <f ca="1"/>
        <v>2.2358949323778337</v>
      </c>
    </row>
    <row r="4947" spans="3:7">
      <c r="C4947">
        <f ca="1"/>
        <v>-0.61984768780505328</v>
      </c>
      <c r="D4947">
        <f ca="1"/>
        <v>-1.5618512222832861</v>
      </c>
      <c r="E4947">
        <f ca="1"/>
        <v>-1.8987388750758616</v>
      </c>
      <c r="G4947">
        <f ca="1"/>
        <v>6.4287997123494138</v>
      </c>
    </row>
    <row r="4948" spans="3:7">
      <c r="C4948">
        <f ca="1"/>
        <v>4.0918242041191551E-2</v>
      </c>
      <c r="D4948">
        <f ca="1"/>
        <v>2.1180069802982189</v>
      </c>
      <c r="E4948">
        <f ca="1"/>
        <v>2.3425633618143569E-2</v>
      </c>
      <c r="G4948">
        <f ca="1"/>
        <v>4.4881766314341327</v>
      </c>
    </row>
    <row r="4949" spans="3:7">
      <c r="C4949">
        <f ca="1"/>
        <v>1.9746524048131396E-2</v>
      </c>
      <c r="D4949">
        <f ca="1"/>
        <v>-0.58451238481434165</v>
      </c>
      <c r="E4949">
        <f ca="1"/>
        <v>-1.3760254494754791</v>
      </c>
      <c r="G4949">
        <f ca="1"/>
        <v>2.2354906908175267</v>
      </c>
    </row>
    <row r="4950" spans="3:7">
      <c r="C4950">
        <f ca="1"/>
        <v>-8.1806420220933165E-2</v>
      </c>
      <c r="D4950">
        <f ca="1"/>
        <v>0.14659697298243202</v>
      </c>
      <c r="E4950">
        <f ca="1"/>
        <v>1.3553206574058958</v>
      </c>
      <c r="G4950">
        <f ca="1"/>
        <v>1.8650770472681255</v>
      </c>
    </row>
    <row r="4951" spans="3:7">
      <c r="C4951">
        <f ca="1"/>
        <v>7.5554632978520789E-2</v>
      </c>
      <c r="D4951">
        <f ca="1"/>
        <v>-0.58787149956327234</v>
      </c>
      <c r="E4951">
        <f ca="1"/>
        <v>1.5707378575815334</v>
      </c>
      <c r="G4951">
        <f ca="1"/>
        <v>2.8185188198031152</v>
      </c>
    </row>
    <row r="4952" spans="3:7">
      <c r="C4952">
        <f ca="1"/>
        <v>-1.4517187885447931</v>
      </c>
      <c r="D4952">
        <f ca="1"/>
        <v>1.9121104294211619</v>
      </c>
      <c r="E4952">
        <f ca="1"/>
        <v>-1.5117165280834717</v>
      </c>
      <c r="G4952">
        <f ca="1"/>
        <v>8.0489405965958873</v>
      </c>
    </row>
    <row r="4953" spans="3:7">
      <c r="C4953">
        <f ca="1"/>
        <v>1.0562307624545639</v>
      </c>
      <c r="D4953">
        <f ca="1"/>
        <v>0.18741312784167755</v>
      </c>
      <c r="E4953">
        <f ca="1"/>
        <v>4.5640867377773148E-2</v>
      </c>
      <c r="G4953">
        <f ca="1"/>
        <v>1.1528301928177458</v>
      </c>
    </row>
    <row r="4954" spans="3:7">
      <c r="C4954">
        <f ca="1"/>
        <v>-0.89140167682124616</v>
      </c>
      <c r="D4954">
        <f ca="1"/>
        <v>-2.2711225266856561</v>
      </c>
      <c r="E4954">
        <f ca="1"/>
        <v>0.709967408205876</v>
      </c>
      <c r="G4954">
        <f ca="1"/>
        <v>6.4566482013733362</v>
      </c>
    </row>
    <row r="4955" spans="3:7">
      <c r="C4955">
        <f ca="1"/>
        <v>-1.0638883366717122</v>
      </c>
      <c r="D4955">
        <f ca="1"/>
        <v>-1.2856093108743518</v>
      </c>
      <c r="E4955">
        <f ca="1"/>
        <v>-2.0053005536457604</v>
      </c>
      <c r="G4955">
        <f ca="1"/>
        <v>6.805880003564921</v>
      </c>
    </row>
    <row r="4956" spans="3:7">
      <c r="C4956">
        <f ca="1"/>
        <v>-0.83979501869493867</v>
      </c>
      <c r="D4956">
        <f ca="1"/>
        <v>2.4383188855346001</v>
      </c>
      <c r="E4956">
        <f ca="1"/>
        <v>-0.4842057301950865</v>
      </c>
      <c r="G4956">
        <f ca="1"/>
        <v>6.8851098501332837</v>
      </c>
    </row>
    <row r="4957" spans="3:7">
      <c r="C4957">
        <f ca="1"/>
        <v>-0.77001758591773817</v>
      </c>
      <c r="D4957">
        <f ca="1"/>
        <v>-1.3580533826769716</v>
      </c>
      <c r="E4957">
        <f ca="1"/>
        <v>0.59922435568273746</v>
      </c>
      <c r="G4957">
        <f ca="1"/>
        <v>2.7963059012663383</v>
      </c>
    </row>
    <row r="4958" spans="3:7">
      <c r="C4958">
        <f ca="1"/>
        <v>-1.0685714949842202</v>
      </c>
      <c r="D4958">
        <f ca="1"/>
        <v>-0.95408597375898097</v>
      </c>
      <c r="E4958">
        <f ca="1"/>
        <v>2.2017796904756342</v>
      </c>
      <c r="G4958">
        <f ca="1"/>
        <v>6.8999588906074134</v>
      </c>
    </row>
    <row r="4959" spans="3:7">
      <c r="C4959">
        <f ca="1"/>
        <v>-0.17868150010494002</v>
      </c>
      <c r="D4959">
        <f ca="1"/>
        <v>0.4559877712929154</v>
      </c>
      <c r="E4959">
        <f ca="1"/>
        <v>-0.52860888581171617</v>
      </c>
      <c r="G4959">
        <f ca="1"/>
        <v>0.51927928020753578</v>
      </c>
    </row>
    <row r="4960" spans="3:7">
      <c r="C4960">
        <f ca="1"/>
        <v>1.269244078892082</v>
      </c>
      <c r="D4960">
        <f ca="1"/>
        <v>-0.63311517691661823</v>
      </c>
      <c r="E4960">
        <f ca="1"/>
        <v>-0.67912455326597498</v>
      </c>
      <c r="G4960">
        <f ca="1"/>
        <v>2.4730255178934808</v>
      </c>
    </row>
    <row r="4961" spans="3:7">
      <c r="C4961">
        <f ca="1"/>
        <v>0.48562323852399158</v>
      </c>
      <c r="D4961">
        <f ca="1"/>
        <v>-1.0177612031421213</v>
      </c>
      <c r="E4961">
        <f ca="1"/>
        <v>-0.1058447594756407</v>
      </c>
      <c r="G4961">
        <f ca="1"/>
        <v>1.2828709095242841</v>
      </c>
    </row>
    <row r="4962" spans="3:7">
      <c r="C4962">
        <f ca="1"/>
        <v>-0.24507125671086347</v>
      </c>
      <c r="D4962">
        <f ca="1"/>
        <v>0.96844763713660909</v>
      </c>
      <c r="E4962">
        <f ca="1"/>
        <v>1.765524381800516</v>
      </c>
      <c r="G4962">
        <f ca="1"/>
        <v>4.1150270894734176</v>
      </c>
    </row>
    <row r="4963" spans="3:7">
      <c r="C4963">
        <f ca="1"/>
        <v>-0.99944507434365182</v>
      </c>
      <c r="D4963">
        <f ca="1"/>
        <v>-0.79307933417277099</v>
      </c>
      <c r="E4963">
        <f ca="1"/>
        <v>-0.41725215201387439</v>
      </c>
      <c r="G4963">
        <f ca="1"/>
        <v>1.8019646452819227</v>
      </c>
    </row>
    <row r="4964" spans="3:7">
      <c r="C4964">
        <f ca="1"/>
        <v>-0.54468238944179626</v>
      </c>
      <c r="D4964">
        <f ca="1"/>
        <v>0.46905547181824869</v>
      </c>
      <c r="E4964">
        <f ca="1"/>
        <v>-0.75610551995428632</v>
      </c>
      <c r="G4964">
        <f ca="1"/>
        <v>1.0883874983160062</v>
      </c>
    </row>
    <row r="4965" spans="3:7">
      <c r="C4965">
        <f ca="1"/>
        <v>-0.38705224844107899</v>
      </c>
      <c r="D4965">
        <f ca="1"/>
        <v>1.2730674692882862</v>
      </c>
      <c r="E4965">
        <f ca="1"/>
        <v>1.2700565170803682</v>
      </c>
      <c r="G4965">
        <f ca="1"/>
        <v>3.3835537809616918</v>
      </c>
    </row>
    <row r="4966" spans="3:7">
      <c r="C4966">
        <f ca="1"/>
        <v>0.50935873130788312</v>
      </c>
      <c r="D4966">
        <f ca="1"/>
        <v>0.89046341073118385</v>
      </c>
      <c r="E4966">
        <f ca="1"/>
        <v>-0.4277758143704557</v>
      </c>
      <c r="G4966">
        <f ca="1"/>
        <v>1.235363550370896</v>
      </c>
    </row>
    <row r="4967" spans="3:7">
      <c r="C4967">
        <f ca="1"/>
        <v>-0.47629256202328363</v>
      </c>
      <c r="D4967">
        <f ca="1"/>
        <v>-4.7500665647687797E-2</v>
      </c>
      <c r="E4967">
        <f ca="1"/>
        <v>0.20106848007050365</v>
      </c>
      <c r="G4967">
        <f ca="1"/>
        <v>0.26953945155353942</v>
      </c>
    </row>
    <row r="4968" spans="3:7">
      <c r="C4968">
        <f ca="1"/>
        <v>0.60891703838140043</v>
      </c>
      <c r="D4968">
        <f ca="1"/>
        <v>-1.0226356900061429</v>
      </c>
      <c r="E4968">
        <f ca="1"/>
        <v>0.61882195902235693</v>
      </c>
      <c r="G4968">
        <f ca="1"/>
        <v>1.7995043310737833</v>
      </c>
    </row>
    <row r="4969" spans="3:7">
      <c r="C4969">
        <f ca="1"/>
        <v>0.13837796424347665</v>
      </c>
      <c r="D4969">
        <f ca="1"/>
        <v>0.69932446263460024</v>
      </c>
      <c r="E4969">
        <f ca="1"/>
        <v>-0.53199504659856589</v>
      </c>
      <c r="G4969">
        <f ca="1"/>
        <v>0.79122189463275161</v>
      </c>
    </row>
    <row r="4970" spans="3:7">
      <c r="C4970">
        <f ca="1"/>
        <v>-1.007446009023591</v>
      </c>
      <c r="D4970">
        <f ca="1"/>
        <v>-0.87020488733981405</v>
      </c>
      <c r="E4970">
        <f ca="1"/>
        <v>1.6403460950192534</v>
      </c>
      <c r="G4970">
        <f ca="1"/>
        <v>4.4629393184925732</v>
      </c>
    </row>
    <row r="4971" spans="3:7">
      <c r="C4971">
        <f ca="1"/>
        <v>-1.1158109677254833</v>
      </c>
      <c r="D4971">
        <f ca="1"/>
        <v>0.37392587993958987</v>
      </c>
      <c r="E4971">
        <f ca="1"/>
        <v>0.49163705029117777</v>
      </c>
      <c r="G4971">
        <f ca="1"/>
        <v>1.626561668604086</v>
      </c>
    </row>
    <row r="4972" spans="3:7">
      <c r="C4972">
        <f ca="1"/>
        <v>1.2414302464690814</v>
      </c>
      <c r="D4972">
        <f ca="1"/>
        <v>-0.70896148172638074</v>
      </c>
      <c r="E4972">
        <f ca="1"/>
        <v>-0.21799351726682842</v>
      </c>
      <c r="G4972">
        <f ca="1"/>
        <v>2.0912966129903126</v>
      </c>
    </row>
    <row r="4973" spans="3:7">
      <c r="C4973">
        <f ca="1"/>
        <v>0.5916910501262721</v>
      </c>
      <c r="D4973">
        <f ca="1"/>
        <v>-0.13609869712034411</v>
      </c>
      <c r="E4973">
        <f ca="1"/>
        <v>0.88673041414556653</v>
      </c>
      <c r="G4973">
        <f ca="1"/>
        <v>1.1549119815281537</v>
      </c>
    </row>
    <row r="4974" spans="3:7">
      <c r="C4974">
        <f ca="1"/>
        <v>-0.48771599411143834</v>
      </c>
      <c r="D4974">
        <f ca="1"/>
        <v>2.2891740867367791</v>
      </c>
      <c r="E4974">
        <f ca="1"/>
        <v>1.4728690478278987</v>
      </c>
      <c r="G4974">
        <f ca="1"/>
        <v>7.6475281223487368</v>
      </c>
    </row>
    <row r="4975" spans="3:7">
      <c r="C4975">
        <f ca="1"/>
        <v>-0.10431521493956741</v>
      </c>
      <c r="D4975">
        <f ca="1"/>
        <v>0.97566768881918153</v>
      </c>
      <c r="E4975">
        <f ca="1"/>
        <v>-1.8742256998886979</v>
      </c>
      <c r="G4975">
        <f ca="1"/>
        <v>4.4755310771969308</v>
      </c>
    </row>
    <row r="4976" spans="3:7">
      <c r="C4976">
        <f ca="1"/>
        <v>-1.4014837044602408</v>
      </c>
      <c r="D4976">
        <f ca="1"/>
        <v>-1.5295814674499459</v>
      </c>
      <c r="E4976">
        <f ca="1"/>
        <v>-0.3165659178268686</v>
      </c>
      <c r="G4976">
        <f ca="1"/>
        <v>4.4039900197634969</v>
      </c>
    </row>
    <row r="4977" spans="3:7">
      <c r="C4977">
        <f ca="1"/>
        <v>0.70278610699417143</v>
      </c>
      <c r="D4977">
        <f ca="1"/>
        <v>3.9911313238718497E-3</v>
      </c>
      <c r="E4977">
        <f ca="1"/>
        <v>-0.41188401918303019</v>
      </c>
      <c r="G4977">
        <f ca="1"/>
        <v>0.66357268657163415</v>
      </c>
    </row>
    <row r="4978" spans="3:7">
      <c r="C4978">
        <f ca="1"/>
        <v>0.44942437317084921</v>
      </c>
      <c r="D4978">
        <f ca="1"/>
        <v>5.792180719069321E-2</v>
      </c>
      <c r="E4978">
        <f ca="1"/>
        <v>-0.61341327596878337</v>
      </c>
      <c r="G4978">
        <f ca="1"/>
        <v>0.58161305008300135</v>
      </c>
    </row>
    <row r="4979" spans="3:7">
      <c r="C4979">
        <f ca="1"/>
        <v>-1.8072547203096343</v>
      </c>
      <c r="D4979">
        <f ca="1"/>
        <v>-1.1317943899909955</v>
      </c>
      <c r="E4979">
        <f ca="1"/>
        <v>2.0410432882058664</v>
      </c>
      <c r="G4979">
        <f ca="1"/>
        <v>8.7129858696267597</v>
      </c>
    </row>
    <row r="4980" spans="3:7">
      <c r="C4980">
        <f ca="1"/>
        <v>-2.765718136977267E-2</v>
      </c>
      <c r="D4980">
        <f ca="1"/>
        <v>-0.81734330138444899</v>
      </c>
      <c r="E4980">
        <f ca="1"/>
        <v>0.36625349576393823</v>
      </c>
      <c r="G4980">
        <f ca="1"/>
        <v>0.80295661515865591</v>
      </c>
    </row>
    <row r="4981" spans="3:7">
      <c r="C4981">
        <f ca="1"/>
        <v>-0.73334613243963476</v>
      </c>
      <c r="D4981">
        <f ca="1"/>
        <v>-0.66063712729915836</v>
      </c>
      <c r="E4981">
        <f ca="1"/>
        <v>-7.4178999825290692E-2</v>
      </c>
      <c r="G4981">
        <f ca="1"/>
        <v>0.97974048794533519</v>
      </c>
    </row>
    <row r="4982" spans="3:7">
      <c r="C4982">
        <f ca="1"/>
        <v>-0.74726939442011286</v>
      </c>
      <c r="D4982">
        <f ca="1"/>
        <v>-0.38516789941570134</v>
      </c>
      <c r="E4982">
        <f ca="1"/>
        <v>0.27741052697253338</v>
      </c>
      <c r="G4982">
        <f ca="1"/>
        <v>0.78372245905248472</v>
      </c>
    </row>
    <row r="4983" spans="3:7">
      <c r="C4983">
        <f ca="1"/>
        <v>-1.3908072533534528</v>
      </c>
      <c r="D4983">
        <f ca="1"/>
        <v>-0.70254696982500719</v>
      </c>
      <c r="E4983">
        <f ca="1"/>
        <v>0.17043567703064871</v>
      </c>
      <c r="G4983">
        <f ca="1"/>
        <v>2.4569653807957703</v>
      </c>
    </row>
    <row r="4984" spans="3:7">
      <c r="C4984">
        <f ca="1"/>
        <v>0.24451563857839434</v>
      </c>
      <c r="D4984">
        <f ca="1"/>
        <v>0.51854231082774527</v>
      </c>
      <c r="E4984">
        <f ca="1"/>
        <v>-0.36027127380298424</v>
      </c>
      <c r="G4984">
        <f ca="1"/>
        <v>0.45846941635560279</v>
      </c>
    </row>
    <row r="4985" spans="3:7">
      <c r="C4985">
        <f ca="1"/>
        <v>0.24004376800337965</v>
      </c>
      <c r="D4985">
        <f ca="1"/>
        <v>0.10079892329304199</v>
      </c>
      <c r="E4985">
        <f ca="1"/>
        <v>1.60422449453825</v>
      </c>
      <c r="G4985">
        <f ca="1"/>
        <v>2.6413176623708008</v>
      </c>
    </row>
    <row r="4986" spans="3:7">
      <c r="C4986">
        <f ca="1"/>
        <v>-1.7716533404150005E-2</v>
      </c>
      <c r="D4986">
        <f ca="1"/>
        <v>-0.62244000340263805</v>
      </c>
      <c r="E4986">
        <f ca="1"/>
        <v>2.1332480283176618E-2</v>
      </c>
      <c r="G4986">
        <f ca="1"/>
        <v>0.38820050810676859</v>
      </c>
    </row>
    <row r="4987" spans="3:7">
      <c r="C4987">
        <f ca="1"/>
        <v>1.7567419121715779</v>
      </c>
      <c r="D4987">
        <f ca="1"/>
        <v>7.1844734105545899E-2</v>
      </c>
      <c r="E4987">
        <f ca="1"/>
        <v>-0.79628171811929449</v>
      </c>
      <c r="G4987">
        <f ca="1"/>
        <v>3.725368386409964</v>
      </c>
    </row>
    <row r="4988" spans="3:7">
      <c r="C4988">
        <f ca="1"/>
        <v>-0.28906573789030093</v>
      </c>
      <c r="D4988">
        <f ca="1"/>
        <v>0.92076688979285293</v>
      </c>
      <c r="E4988">
        <f ca="1"/>
        <v>1.2345960858933349</v>
      </c>
      <c r="G4988">
        <f ca="1"/>
        <v>2.4555981614640108</v>
      </c>
    </row>
    <row r="4989" spans="3:7">
      <c r="C4989">
        <f ca="1"/>
        <v>0.58449671854647089</v>
      </c>
      <c r="D4989">
        <f ca="1"/>
        <v>-0.74267942634626394</v>
      </c>
      <c r="E4989">
        <f ca="1"/>
        <v>-0.77667526734432379</v>
      </c>
      <c r="G4989">
        <f ca="1"/>
        <v>1.4964336152139848</v>
      </c>
    </row>
    <row r="4990" spans="3:7">
      <c r="C4990">
        <f ca="1"/>
        <v>0.89297174807635415</v>
      </c>
      <c r="D4990">
        <f ca="1"/>
        <v>-1.8851790451892971</v>
      </c>
      <c r="E4990">
        <f ca="1"/>
        <v>-1.2816488799008812</v>
      </c>
      <c r="G4990">
        <f ca="1"/>
        <v>5.993922426634553</v>
      </c>
    </row>
    <row r="4991" spans="3:7">
      <c r="C4991">
        <f ca="1"/>
        <v>1.0967103676608736</v>
      </c>
      <c r="D4991">
        <f ca="1"/>
        <v>2.320796994580519E-2</v>
      </c>
      <c r="E4991">
        <f ca="1"/>
        <v>0.76848639996063217</v>
      </c>
      <c r="G4991">
        <f ca="1"/>
        <v>1.7938835873283068</v>
      </c>
    </row>
    <row r="4992" spans="3:7">
      <c r="C4992">
        <f ca="1"/>
        <v>-0.76909753511628742</v>
      </c>
      <c r="D4992">
        <f ca="1"/>
        <v>0.16751971965072329</v>
      </c>
      <c r="E4992">
        <f ca="1"/>
        <v>-0.2542807905611037</v>
      </c>
      <c r="G4992">
        <f ca="1"/>
        <v>0.68423259544218573</v>
      </c>
    </row>
    <row r="4993" spans="3:7">
      <c r="C4993">
        <f ca="1"/>
        <v>0.71695863194769183</v>
      </c>
      <c r="D4993">
        <f ca="1"/>
        <v>-1.75580808645598</v>
      </c>
      <c r="E4993">
        <f ca="1"/>
        <v>-9.4636133718254967E-2</v>
      </c>
      <c r="G4993">
        <f ca="1"/>
        <v>3.6058477141936551</v>
      </c>
    </row>
    <row r="4994" spans="3:7">
      <c r="C4994">
        <f ca="1"/>
        <v>-1.397366956230901</v>
      </c>
      <c r="D4994">
        <f ca="1"/>
        <v>0.76262826696120645</v>
      </c>
      <c r="E4994">
        <f ca="1"/>
        <v>0.18269217097045012</v>
      </c>
      <c r="G4994">
        <f ca="1"/>
        <v>2.5676127132681623</v>
      </c>
    </row>
    <row r="4995" spans="3:7">
      <c r="C4995">
        <f ca="1"/>
        <v>-0.11718104766331783</v>
      </c>
      <c r="D4995">
        <f ca="1"/>
        <v>3.7571388860330679E-2</v>
      </c>
      <c r="E4995">
        <f ca="1"/>
        <v>0.47213093098653319</v>
      </c>
      <c r="G4995">
        <f ca="1"/>
        <v>0.23805062318657752</v>
      </c>
    </row>
    <row r="4996" spans="3:7">
      <c r="C4996">
        <f ca="1"/>
        <v>0.74330394111649079</v>
      </c>
      <c r="D4996">
        <f ca="1"/>
        <v>-0.48926901273812989</v>
      </c>
      <c r="E4996">
        <f ca="1"/>
        <v>-1.1646543147620707</v>
      </c>
      <c r="G4996">
        <f ca="1"/>
        <v>2.1483045885989602</v>
      </c>
    </row>
    <row r="4997" spans="3:7">
      <c r="C4997">
        <f ca="1"/>
        <v>-0.33163308544260689</v>
      </c>
      <c r="D4997">
        <f ca="1"/>
        <v>1.5235742953641678</v>
      </c>
      <c r="E4997">
        <f ca="1"/>
        <v>0.48124797983629725</v>
      </c>
      <c r="G4997">
        <f ca="1"/>
        <v>2.6628587549511211</v>
      </c>
    </row>
    <row r="4998" spans="3:7">
      <c r="C4998">
        <f ca="1"/>
        <v>-0.17708932919004372</v>
      </c>
      <c r="D4998">
        <f ca="1"/>
        <v>1.2714433016745852</v>
      </c>
      <c r="E4998">
        <f ca="1"/>
        <v>0.27841324563480963</v>
      </c>
      <c r="G4998">
        <f ca="1"/>
        <v>1.7254426352310588</v>
      </c>
    </row>
    <row r="4999" spans="3:7">
      <c r="C4999">
        <f ca="1"/>
        <v>1.2241214332882855</v>
      </c>
      <c r="D4999">
        <f ca="1"/>
        <v>-0.4237960939544087</v>
      </c>
      <c r="E4999">
        <f ca="1"/>
        <v>-4.2137804831704866E-2</v>
      </c>
      <c r="G4999">
        <f ca="1"/>
        <v>1.6798520072828154</v>
      </c>
    </row>
    <row r="5000" spans="3:7">
      <c r="C5000">
        <f ca="1"/>
        <v>-0.59480710070749998</v>
      </c>
      <c r="D5000">
        <f ca="1"/>
        <v>-2.5122930928208613</v>
      </c>
      <c r="E5000">
        <f ca="1"/>
        <v>1.0463680447763619</v>
      </c>
      <c r="G5000">
        <f ca="1"/>
        <v>7.7602981564165772</v>
      </c>
    </row>
    <row r="5001" spans="3:7">
      <c r="C5001">
        <f ca="1"/>
        <v>-0.67092653054339935</v>
      </c>
      <c r="D5001">
        <f ca="1"/>
        <v>2.3334154008334798</v>
      </c>
      <c r="E5001">
        <f ca="1"/>
        <v>-0.70686962066430858</v>
      </c>
      <c r="G5001">
        <f ca="1"/>
        <v>6.3946345028519751</v>
      </c>
    </row>
    <row r="5002" spans="3:7">
      <c r="C5002">
        <f ca="1"/>
        <v>0.77750364349427092</v>
      </c>
      <c r="D5002">
        <f ca="1"/>
        <v>2.1056117622167929</v>
      </c>
      <c r="E5002">
        <f ca="1"/>
        <v>1.3863749780955614</v>
      </c>
      <c r="G5002">
        <f ca="1"/>
        <v>6.9601483887220423</v>
      </c>
    </row>
    <row r="5003" spans="3:7">
      <c r="C5003">
        <f ca="1"/>
        <v>1.6747862328790202</v>
      </c>
      <c r="D5003">
        <f ca="1"/>
        <v>0.94942618030101722</v>
      </c>
      <c r="E5003">
        <f ca="1"/>
        <v>0.38101090928331444</v>
      </c>
      <c r="G5003">
        <f ca="1"/>
        <v>3.8514883106749771</v>
      </c>
    </row>
    <row r="5004" spans="3:7">
      <c r="C5004">
        <f ca="1"/>
        <v>-2.0573719829078807</v>
      </c>
      <c r="D5004">
        <f ca="1"/>
        <v>0.35793302191444204</v>
      </c>
      <c r="E5004">
        <f ca="1"/>
        <v>-0.89688329073155548</v>
      </c>
      <c r="G5004">
        <f ca="1"/>
        <v>5.1652951614245737</v>
      </c>
    </row>
    <row r="5005" spans="3:7">
      <c r="C5005">
        <f ca="1"/>
        <v>-1.4411630315891324</v>
      </c>
      <c r="D5005">
        <f ca="1"/>
        <v>-0.55666380827224193</v>
      </c>
      <c r="E5005">
        <f ca="1"/>
        <v>-0.40759994958864759</v>
      </c>
      <c r="G5005">
        <f ca="1"/>
        <v>2.5529631979640022</v>
      </c>
    </row>
    <row r="5006" spans="3:7">
      <c r="C5006">
        <f ca="1"/>
        <v>-2.0670482203295863</v>
      </c>
      <c r="D5006">
        <f ca="1"/>
        <v>0.47246520900754663</v>
      </c>
      <c r="E5006">
        <f ca="1"/>
        <v>-1.2573768792562572</v>
      </c>
      <c r="G5006">
        <f ca="1"/>
        <v>6.0769083353784588</v>
      </c>
    </row>
    <row r="5007" spans="3:7">
      <c r="C5007">
        <f ca="1"/>
        <v>0.54304541912786231</v>
      </c>
      <c r="D5007">
        <f ca="1"/>
        <v>0.49962152705226259</v>
      </c>
      <c r="E5007">
        <f ca="1"/>
        <v>-0.33809196303212813</v>
      </c>
      <c r="G5007">
        <f ca="1"/>
        <v>0.65882617299670831</v>
      </c>
    </row>
    <row r="5008" spans="3:7">
      <c r="C5008">
        <f ca="1"/>
        <v>0.81198500671056406</v>
      </c>
      <c r="D5008">
        <f ca="1"/>
        <v>-0.22908439565673308</v>
      </c>
      <c r="E5008">
        <f ca="1"/>
        <v>1.5598336026989161</v>
      </c>
      <c r="G5008">
        <f ca="1"/>
        <v>3.1448801795648453</v>
      </c>
    </row>
    <row r="5009" spans="3:7">
      <c r="C5009">
        <f ca="1"/>
        <v>-0.15841274991958346</v>
      </c>
      <c r="D5009">
        <f ca="1"/>
        <v>1.6847981510916226</v>
      </c>
      <c r="E5009">
        <f ca="1"/>
        <v>0.5572393850121482</v>
      </c>
      <c r="G5009">
        <f ca="1"/>
        <v>3.1741551414675517</v>
      </c>
    </row>
    <row r="5010" spans="3:7">
      <c r="C5010">
        <f ca="1"/>
        <v>1.1661965016838161</v>
      </c>
      <c r="D5010">
        <f ca="1"/>
        <v>-0.78451688773577888</v>
      </c>
      <c r="E5010">
        <f ca="1"/>
        <v>-0.93908145849253011</v>
      </c>
      <c r="G5010">
        <f ca="1"/>
        <v>2.8573550133666608</v>
      </c>
    </row>
    <row r="5011" spans="3:7">
      <c r="C5011">
        <f ca="1"/>
        <v>1.1314519581432645</v>
      </c>
      <c r="D5011">
        <f ca="1"/>
        <v>0.35552326589450028</v>
      </c>
      <c r="E5011">
        <f ca="1"/>
        <v>2.3679603080389113</v>
      </c>
      <c r="G5011">
        <f ca="1"/>
        <v>7.0138163466262551</v>
      </c>
    </row>
    <row r="5012" spans="3:7">
      <c r="C5012">
        <f ca="1"/>
        <v>1.5131385724283195</v>
      </c>
      <c r="D5012">
        <f ca="1"/>
        <v>-1.2702694595454309</v>
      </c>
      <c r="E5012">
        <f ca="1"/>
        <v>0.97058246857732711</v>
      </c>
      <c r="G5012">
        <f ca="1"/>
        <v>4.8452031675339127</v>
      </c>
    </row>
    <row r="5013" spans="3:7">
      <c r="C5013">
        <f ca="1"/>
        <v>-2.3992567891325085</v>
      </c>
      <c r="D5013">
        <f ca="1"/>
        <v>-0.43841473326223773</v>
      </c>
      <c r="E5013">
        <f ca="1"/>
        <v>1.4799860217239962</v>
      </c>
      <c r="G5013">
        <f ca="1"/>
        <v>8.1389992430382545</v>
      </c>
    </row>
  </sheetData>
  <mergeCells count="3">
    <mergeCell ref="B3:C3"/>
    <mergeCell ref="J3:N3"/>
    <mergeCell ref="B7:E7"/>
  </mergeCells>
  <dataValidations count="1">
    <dataValidation type="list" allowBlank="1" showInputMessage="1" showErrorMessage="1" sqref="C9:F9" xr:uid="{A54B715C-EBEC-477A-BD9E-67F18A8F9857}">
      <formula1>Distributions</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162A-1AFD-4644-A0F5-58C46B17636D}">
  <sheetPr codeName="Sheet6"/>
  <dimension ref="B2:D28"/>
  <sheetViews>
    <sheetView workbookViewId="0">
      <selection activeCell="C10" sqref="C10"/>
    </sheetView>
  </sheetViews>
  <sheetFormatPr defaultRowHeight="15"/>
  <cols>
    <col min="1" max="1" width="3" customWidth="1"/>
    <col min="2" max="2" width="23.140625" customWidth="1"/>
    <col min="3" max="3" width="138.42578125" customWidth="1"/>
    <col min="4" max="4" width="70.28515625" style="90" customWidth="1"/>
  </cols>
  <sheetData>
    <row r="2" spans="2:4" s="36" customFormat="1">
      <c r="B2" s="114" t="s">
        <v>218</v>
      </c>
      <c r="D2" s="116" t="s">
        <v>219</v>
      </c>
    </row>
    <row r="3" spans="2:4" s="111" customFormat="1">
      <c r="B3" s="115" t="s">
        <v>220</v>
      </c>
      <c r="C3" s="112"/>
      <c r="D3" s="113"/>
    </row>
    <row r="4" spans="2:4" ht="45">
      <c r="B4" t="s">
        <v>221</v>
      </c>
      <c r="C4" s="110" t="s">
        <v>151</v>
      </c>
      <c r="D4" s="90" t="s">
        <v>222</v>
      </c>
    </row>
    <row r="5" spans="2:4" ht="103.5" customHeight="1">
      <c r="B5" t="s">
        <v>223</v>
      </c>
      <c r="C5" s="110" t="s">
        <v>224</v>
      </c>
      <c r="D5" s="90" t="s">
        <v>225</v>
      </c>
    </row>
    <row r="6" spans="2:4" ht="27" customHeight="1">
      <c r="B6" t="s">
        <v>226</v>
      </c>
      <c r="C6" s="110" t="s">
        <v>227</v>
      </c>
      <c r="D6" s="90" t="s">
        <v>228</v>
      </c>
    </row>
    <row r="7" spans="2:4" ht="157.5" customHeight="1">
      <c r="B7" t="s">
        <v>229</v>
      </c>
      <c r="C7" s="110" t="s">
        <v>230</v>
      </c>
      <c r="D7" s="90" t="s">
        <v>231</v>
      </c>
    </row>
    <row r="8" spans="2:4">
      <c r="C8" s="110"/>
    </row>
    <row r="9" spans="2:4" s="111" customFormat="1">
      <c r="B9" s="115" t="s">
        <v>232</v>
      </c>
      <c r="C9" s="112"/>
      <c r="D9" s="113"/>
    </row>
    <row r="10" spans="2:4" ht="75">
      <c r="B10" t="s">
        <v>233</v>
      </c>
      <c r="C10" s="110" t="s">
        <v>234</v>
      </c>
      <c r="D10" s="90" t="s">
        <v>235</v>
      </c>
    </row>
    <row r="11" spans="2:4" ht="195">
      <c r="B11" t="s">
        <v>236</v>
      </c>
      <c r="C11" s="110" t="s">
        <v>237</v>
      </c>
      <c r="D11" s="90" t="s">
        <v>238</v>
      </c>
    </row>
    <row r="12" spans="2:4" ht="240">
      <c r="B12" t="s">
        <v>239</v>
      </c>
      <c r="C12" s="110" t="s">
        <v>240</v>
      </c>
      <c r="D12" s="90" t="s">
        <v>241</v>
      </c>
    </row>
    <row r="13" spans="2:4" ht="135">
      <c r="B13" t="s">
        <v>242</v>
      </c>
      <c r="C13" s="110" t="s">
        <v>243</v>
      </c>
      <c r="D13" s="90" t="s">
        <v>244</v>
      </c>
    </row>
    <row r="14" spans="2:4" ht="90">
      <c r="B14" t="s">
        <v>245</v>
      </c>
      <c r="C14" s="110" t="s">
        <v>246</v>
      </c>
      <c r="D14" s="90" t="s">
        <v>247</v>
      </c>
    </row>
    <row r="16" spans="2:4" s="111" customFormat="1">
      <c r="B16" s="115" t="s">
        <v>248</v>
      </c>
      <c r="D16" s="113"/>
    </row>
    <row r="17" spans="2:4" s="79" customFormat="1" ht="30">
      <c r="B17" s="119" t="s">
        <v>249</v>
      </c>
      <c r="C17" s="86" t="s">
        <v>250</v>
      </c>
      <c r="D17" s="117" t="s">
        <v>251</v>
      </c>
    </row>
    <row r="18" spans="2:4" s="79" customFormat="1" ht="30">
      <c r="B18" s="119" t="s">
        <v>252</v>
      </c>
      <c r="C18" s="86" t="s">
        <v>253</v>
      </c>
      <c r="D18" s="117" t="s">
        <v>254</v>
      </c>
    </row>
    <row r="19" spans="2:4" s="79" customFormat="1" ht="90">
      <c r="B19" s="119" t="s">
        <v>255</v>
      </c>
      <c r="C19" s="118" t="s">
        <v>256</v>
      </c>
      <c r="D19" s="117" t="s">
        <v>257</v>
      </c>
    </row>
    <row r="20" spans="2:4" s="79" customFormat="1">
      <c r="B20" s="119" t="s">
        <v>258</v>
      </c>
      <c r="C20" s="118" t="s">
        <v>259</v>
      </c>
      <c r="D20" s="117" t="s">
        <v>260</v>
      </c>
    </row>
    <row r="21" spans="2:4" s="79" customFormat="1" ht="105">
      <c r="B21" s="119" t="s">
        <v>261</v>
      </c>
      <c r="C21" s="118" t="s">
        <v>262</v>
      </c>
      <c r="D21" s="117" t="s">
        <v>263</v>
      </c>
    </row>
    <row r="22" spans="2:4" ht="90">
      <c r="B22" t="s">
        <v>264</v>
      </c>
      <c r="C22" s="110" t="s">
        <v>265</v>
      </c>
      <c r="D22" s="90" t="s">
        <v>266</v>
      </c>
    </row>
    <row r="23" spans="2:4" ht="315">
      <c r="B23" t="s">
        <v>267</v>
      </c>
      <c r="C23" s="110" t="s">
        <v>268</v>
      </c>
      <c r="D23" s="90" t="s">
        <v>269</v>
      </c>
    </row>
    <row r="24" spans="2:4" ht="210">
      <c r="B24" t="s">
        <v>270</v>
      </c>
      <c r="C24" s="110" t="s">
        <v>271</v>
      </c>
      <c r="D24" s="90" t="s">
        <v>272</v>
      </c>
    </row>
    <row r="25" spans="2:4" ht="285">
      <c r="B25" t="s">
        <v>273</v>
      </c>
      <c r="C25" s="110" t="s">
        <v>274</v>
      </c>
      <c r="D25" s="90" t="s">
        <v>275</v>
      </c>
    </row>
    <row r="26" spans="2:4" ht="120">
      <c r="B26" t="s">
        <v>276</v>
      </c>
      <c r="C26" s="110" t="s">
        <v>277</v>
      </c>
      <c r="D26" s="90" t="s">
        <v>278</v>
      </c>
    </row>
    <row r="27" spans="2:4" ht="225">
      <c r="B27" t="s">
        <v>279</v>
      </c>
      <c r="C27" s="110" t="s">
        <v>280</v>
      </c>
      <c r="D27" s="90" t="s">
        <v>281</v>
      </c>
    </row>
    <row r="28" spans="2:4" ht="360">
      <c r="B28" t="s">
        <v>282</v>
      </c>
      <c r="C28" s="110" t="s">
        <v>283</v>
      </c>
      <c r="D28" s="90" t="s">
        <v>284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5DD8-2765-455F-8315-C6D7BD0EB027}">
  <dimension ref="A1:A6"/>
  <sheetViews>
    <sheetView workbookViewId="0">
      <selection sqref="A1:A6"/>
    </sheetView>
  </sheetViews>
  <sheetFormatPr defaultRowHeight="15"/>
  <cols>
    <col min="1" max="1" width="22.5703125" customWidth="1"/>
  </cols>
  <sheetData>
    <row r="1" spans="1:1">
      <c r="A1" s="102" t="s">
        <v>285</v>
      </c>
    </row>
    <row r="2" spans="1:1">
      <c r="A2" s="101" t="s">
        <v>55</v>
      </c>
    </row>
    <row r="3" spans="1:1">
      <c r="A3" s="101" t="s">
        <v>91</v>
      </c>
    </row>
    <row r="4" spans="1:1">
      <c r="A4" s="101" t="s">
        <v>286</v>
      </c>
    </row>
    <row r="5" spans="1:1">
      <c r="A5" s="101" t="s">
        <v>89</v>
      </c>
    </row>
    <row r="6" spans="1:1">
      <c r="A6" s="101"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GUM Instructions</vt:lpstr>
      <vt:lpstr>GUM Uncertainty</vt:lpstr>
      <vt:lpstr>Type B</vt:lpstr>
      <vt:lpstr>Repeatability</vt:lpstr>
      <vt:lpstr>Reproducibility</vt:lpstr>
      <vt:lpstr>GUM Examples</vt:lpstr>
      <vt:lpstr>Manual Monte Carlo</vt:lpstr>
      <vt:lpstr>Formula Reference</vt:lpstr>
      <vt:lpstr>Lookups</vt:lpstr>
      <vt:lpstr>'GUM Uncertainty'!Confidence</vt:lpstr>
      <vt:lpstr>'GUM Uncertainty'!CorrelationMatrix</vt:lpstr>
      <vt:lpstr>'GUM Uncertainty'!CoverageFactorGUM</vt:lpstr>
      <vt:lpstr>'GUM Uncertainty'!DegFreedomGUM</vt:lpstr>
      <vt:lpstr>Distributions</vt:lpstr>
      <vt:lpstr>'GUM Uncertainty'!MeasurandDegF</vt:lpstr>
      <vt:lpstr>'GUM Uncertainty'!MeasurandDistributions</vt:lpstr>
      <vt:lpstr>'GUM Uncertainty'!Measurands</vt:lpstr>
      <vt:lpstr>'GUM Uncertainty'!MeasurandSensitivities</vt:lpstr>
      <vt:lpstr>'GUM Uncertainty'!MeasurandStdUnc</vt:lpstr>
      <vt:lpstr>'GUM Uncertainty'!MeasurandUncertainty</vt:lpstr>
      <vt:lpstr>NBINS</vt:lpstr>
      <vt:lpstr>'GUM Uncertainty'!NSamples</vt:lpstr>
      <vt:lpstr>'GUM Uncertainty'!OutputCoverageHiGUM</vt:lpstr>
      <vt:lpstr>'GUM Uncertainty'!OutputCoverageHiMC</vt:lpstr>
      <vt:lpstr>'GUM Uncertainty'!OutputCoverageLoGUM</vt:lpstr>
      <vt:lpstr>'GUM Uncertainty'!OutputCoverageLoMC</vt:lpstr>
      <vt:lpstr>'GUM Uncertainty'!OutputExpandedGUM</vt:lpstr>
      <vt:lpstr>'GUM Uncertainty'!OutputMeasurandGUM</vt:lpstr>
      <vt:lpstr>'GUM Uncertainty'!OutputStdevGUM</vt:lpstr>
      <vt:lpstr>'GUM Uncertainty'!OutputUnits</vt:lpstr>
      <vt:lpstr>'GUM Uncertainty'!OutputVarianceGUM</vt:lpstr>
      <vt:lpstr>'GUM Uncertainty'!SigFigs</vt:lpstr>
      <vt:lpstr>'GUM Uncertainty'!ValidityCheckDelta</vt:lpstr>
      <vt:lpstr>'GUM Uncertainty'!VariableNames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Delker, Collin</dc:creator>
  <cp:keywords/>
  <dc:description/>
  <cp:lastModifiedBy>uncertainty@sandia.gov</cp:lastModifiedBy>
  <cp:revision/>
  <dcterms:created xsi:type="dcterms:W3CDTF">2025-07-14T18:29:56Z</dcterms:created>
  <dcterms:modified xsi:type="dcterms:W3CDTF">2026-03-23T14:22:01Z</dcterms:modified>
  <cp:category/>
  <cp:contentStatus/>
</cp:coreProperties>
</file>